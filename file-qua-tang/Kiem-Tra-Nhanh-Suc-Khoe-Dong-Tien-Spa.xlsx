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TEST NHANH" sheetId="1" state="visible" r:id="rId1"/>
    <sheet xmlns:r="http://schemas.openxmlformats.org/officeDocument/2006/relationships" name="1. NHẬP DỮ LIỆU" sheetId="2" state="visible" r:id="rId2"/>
    <sheet xmlns:r="http://schemas.openxmlformats.org/officeDocument/2006/relationships" name="2. DASHBOARD" sheetId="3" state="visible" r:id="rId3"/>
    <sheet xmlns:r="http://schemas.openxmlformats.org/officeDocument/2006/relationships" name="3. HƯỚNG DẪN" sheetId="4" state="visible" r:id="rId4"/>
    <sheet xmlns:r="http://schemas.openxmlformats.org/officeDocument/2006/relationships" name="4. CÀI ĐẶT" sheetId="5" state="hidden" r:id="rId5"/>
  </sheets>
  <definedNames>
    <definedName name="DANH_MUC">'4. CÀI ĐẶT'!$A$2:$A$32</definedName>
  </definedNames>
  <calcPr calcId="124519" fullCalcOnLoad="1"/>
</workbook>
</file>

<file path=xl/styles.xml><?xml version="1.0" encoding="utf-8"?>
<styleSheet xmlns="http://schemas.openxmlformats.org/spreadsheetml/2006/main">
  <numFmts count="3">
    <numFmt numFmtId="164" formatCode="dd/mm/yyyy"/>
    <numFmt numFmtId="165" formatCode="#,##0&quot; đ&quot;"/>
    <numFmt numFmtId="166" formatCode="#,##0&quot; đ&quot;;-#,##0&quot; đ&quot;;&quot;–&quot;"/>
  </numFmts>
  <fonts count="34">
    <font>
      <name val="Calibri"/>
      <family val="2"/>
      <color theme="1"/>
      <sz val="11"/>
      <scheme val="minor"/>
    </font>
    <font>
      <name val="Arial"/>
      <b val="1"/>
      <color rgb="00FFFFFF"/>
      <sz val="10"/>
    </font>
    <font>
      <name val="Arial"/>
      <b val="1"/>
      <color rgb="00C9A227"/>
      <sz val="10"/>
    </font>
    <font>
      <name val="Arial"/>
      <color rgb="002C3E50"/>
      <sz val="10"/>
    </font>
    <font>
      <name val="Arial"/>
      <b val="1"/>
      <color rgb="001F4E4A"/>
      <sz val="11"/>
    </font>
    <font>
      <name val="Arial"/>
      <b val="1"/>
      <color rgb="002C3E50"/>
      <sz val="10"/>
    </font>
    <font>
      <name val="Arial"/>
      <color rgb="002C3E50"/>
      <sz val="12"/>
    </font>
    <font>
      <name val="Arial"/>
      <b val="1"/>
      <color rgb="00C0392B"/>
      <sz val="10"/>
    </font>
    <font>
      <name val="Arial"/>
      <b val="1"/>
      <color rgb="00FFFFFF"/>
      <sz val="16"/>
    </font>
    <font>
      <name val="Arial"/>
      <b val="1"/>
      <color rgb="001B2B34"/>
      <sz val="12"/>
    </font>
    <font>
      <name val="Arial"/>
      <i val="1"/>
      <color rgb="007F8C8D"/>
      <sz val="9"/>
    </font>
    <font>
      <name val="Arial"/>
      <color rgb="001F4E4A"/>
      <sz val="10"/>
    </font>
    <font>
      <name val="Arial"/>
      <color rgb="001B2B34"/>
      <sz val="11"/>
    </font>
    <font>
      <name val="Arial"/>
      <b val="1"/>
      <color rgb="007F8C8D"/>
      <sz val="11"/>
    </font>
    <font>
      <name val="Arial"/>
      <b val="1"/>
      <color rgb="001F4E4A"/>
      <sz val="10"/>
    </font>
    <font>
      <name val="Arial"/>
      <b val="1"/>
      <color rgb="001B2B34"/>
      <sz val="9"/>
    </font>
    <font>
      <name val="Arial"/>
      <b val="1"/>
      <color rgb="00FFFFFF"/>
      <sz val="14"/>
    </font>
    <font>
      <name val="Arial"/>
      <b val="1"/>
      <color rgb="00FFFFFF"/>
      <sz val="12"/>
    </font>
    <font>
      <name val="Arial"/>
      <b val="1"/>
      <color rgb="001F4E4A"/>
      <sz val="13"/>
    </font>
    <font>
      <name val="Arial"/>
      <b val="1"/>
      <color rgb="001F4E4A"/>
      <sz val="14"/>
    </font>
    <font>
      <name val="Arial"/>
      <i val="1"/>
      <color rgb="002E7D6B"/>
      <sz val="9"/>
    </font>
    <font>
      <name val="Arial"/>
      <b val="1"/>
      <color rgb="00FFFFFF"/>
      <sz val="11"/>
    </font>
    <font>
      <name val="Arial"/>
      <color rgb="001B2B34"/>
      <sz val="10"/>
    </font>
    <font>
      <name val="Arial"/>
      <i val="1"/>
      <color rgb="007F8C8D"/>
      <sz val="10"/>
    </font>
    <font>
      <name val="Arial"/>
      <color rgb="00FFFFFF"/>
      <sz val="9"/>
    </font>
    <font>
      <name val="Arial"/>
      <b val="1"/>
      <color rgb="001F4E4A"/>
      <sz val="12"/>
    </font>
    <font>
      <name val="Arial"/>
      <b val="1"/>
      <color rgb="00C9A227"/>
      <sz val="11"/>
    </font>
    <font>
      <name val="Arial"/>
      <color rgb="002C3E50"/>
      <sz val="11"/>
    </font>
    <font>
      <name val="Arial"/>
      <b val="1"/>
      <color rgb="00FFFFFF"/>
      <sz val="15"/>
    </font>
    <font>
      <name val="Arial"/>
      <color rgb="007F8C8D"/>
      <sz val="10"/>
    </font>
    <font>
      <name val="Arial"/>
      <b val="1"/>
      <color rgb="001B2B34"/>
      <sz val="11"/>
    </font>
    <font>
      <name val="Arial"/>
      <color rgb="002C3E50"/>
      <sz val="14"/>
    </font>
    <font>
      <name val="Arial"/>
      <i val="1"/>
      <color rgb="002C3E50"/>
      <sz val="10"/>
    </font>
    <font>
      <name val="Arial"/>
      <color rgb="002E7D6B"/>
      <sz val="10"/>
    </font>
  </fonts>
  <fills count="11">
    <fill>
      <patternFill/>
    </fill>
    <fill>
      <patternFill patternType="gray125"/>
    </fill>
    <fill>
      <patternFill patternType="solid">
        <fgColor rgb="001F4E4A"/>
      </patternFill>
    </fill>
    <fill>
      <patternFill patternType="solid">
        <fgColor rgb="00FFF9E6"/>
      </patternFill>
    </fill>
    <fill>
      <patternFill patternType="solid">
        <fgColor rgb="00FFF3B0"/>
      </patternFill>
    </fill>
    <fill>
      <patternFill patternType="solid">
        <fgColor rgb="00E8F0EC"/>
      </patternFill>
    </fill>
    <fill>
      <patternFill patternType="solid">
        <fgColor rgb="002E7D6B"/>
      </patternFill>
    </fill>
    <fill>
      <patternFill patternType="solid">
        <fgColor rgb="00C9A227"/>
      </patternFill>
    </fill>
    <fill>
      <patternFill patternType="solid">
        <fgColor rgb="00F4F6F5"/>
      </patternFill>
    </fill>
    <fill>
      <patternFill patternType="solid">
        <fgColor rgb="007F8C8D"/>
      </patternFill>
    </fill>
    <fill>
      <patternFill patternType="solid">
        <fgColor rgb="00FBFCFB"/>
      </patternFill>
    </fill>
  </fills>
  <borders count="7">
    <border>
      <left/>
      <right/>
      <top/>
      <bottom/>
      <diagonal/>
    </border>
    <border>
      <left style="thin">
        <color rgb="00CFDDD6"/>
      </left>
      <right style="thin">
        <color rgb="00CFDDD6"/>
      </right>
      <top style="thin">
        <color rgb="00CFDDD6"/>
      </top>
      <bottom style="thin">
        <color rgb="00CFDDD6"/>
      </bottom>
    </border>
    <border/>
    <border>
      <left/>
      <right/>
      <top style="thin">
        <color rgb="00CFDDD6"/>
      </top>
      <bottom/>
      <diagonal/>
    </border>
    <border>
      <left/>
      <right style="thin">
        <color rgb="00CFDDD6"/>
      </right>
      <top style="thin">
        <color rgb="00CFDDD6"/>
      </top>
      <bottom/>
      <diagonal/>
    </border>
    <border>
      <left/>
      <right style="thin">
        <color rgb="00CFDDD6"/>
      </right>
      <top style="thin">
        <color rgb="00CFDDD6"/>
      </top>
      <bottom style="thin">
        <color rgb="00CFDDD6"/>
      </bottom>
      <diagonal/>
    </border>
    <border>
      <left/>
      <right/>
      <top style="thin">
        <color rgb="00CFDDD6"/>
      </top>
      <bottom style="thin">
        <color rgb="00CFDDD6"/>
      </bottom>
      <diagonal/>
    </border>
  </borders>
  <cellStyleXfs count="1">
    <xf numFmtId="0" fontId="0" fillId="0" borderId="0"/>
  </cellStyleXfs>
  <cellXfs count="86">
    <xf numFmtId="0" fontId="0" fillId="0" borderId="0" pivotButton="0" quotePrefix="0" xfId="0"/>
    <xf numFmtId="0" fontId="8" fillId="2" borderId="0" applyAlignment="1" pivotButton="0" quotePrefix="0" xfId="0">
      <alignment horizontal="left" vertical="center" indent="1"/>
    </xf>
    <xf numFmtId="0" fontId="4" fillId="3" borderId="0" applyAlignment="1" pivotButton="0" quotePrefix="0" xfId="0">
      <alignment horizontal="right" vertical="center" indent="1"/>
    </xf>
    <xf numFmtId="0" fontId="9" fillId="4" borderId="1" applyAlignment="1" pivotButton="0" quotePrefix="0" xfId="0">
      <alignment horizontal="center" vertical="center"/>
    </xf>
    <xf numFmtId="0" fontId="10" fillId="0" borderId="0" applyAlignment="1" pivotButton="0" quotePrefix="0" xfId="0">
      <alignment horizontal="left" vertical="center" indent="1"/>
    </xf>
    <xf numFmtId="0" fontId="11" fillId="5" borderId="0" applyAlignment="1" pivotButton="0" quotePrefix="0" xfId="0">
      <alignment horizontal="left" vertical="center" inden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164" fontId="12" fillId="3" borderId="1" applyAlignment="1" pivotButton="0" quotePrefix="0" xfId="0">
      <alignment horizontal="center"/>
    </xf>
    <xf numFmtId="0" fontId="12" fillId="3" borderId="1" applyAlignment="1" pivotButton="0" quotePrefix="0" xfId="0">
      <alignment horizontal="left" indent="1"/>
    </xf>
    <xf numFmtId="165" fontId="12" fillId="3" borderId="1" pivotButton="0" quotePrefix="0" xfId="0"/>
    <xf numFmtId="166" fontId="13" fillId="8" borderId="1" pivotButton="0" quotePrefix="0" xfId="0"/>
    <xf numFmtId="166" fontId="0" fillId="0" borderId="0" pivotButton="0" quotePrefix="0" xfId="0"/>
    <xf numFmtId="164" fontId="0" fillId="0" borderId="0" pivotButton="0" quotePrefix="0" xfId="0"/>
    <xf numFmtId="0" fontId="8" fillId="2" borderId="0" applyAlignment="1" pivotButton="0" quotePrefix="0" xfId="0">
      <alignment horizontal="left" vertical="center" wrapText="1" indent="1"/>
    </xf>
    <xf numFmtId="0" fontId="0" fillId="2" borderId="0" pivotButton="0" quotePrefix="0" xfId="0"/>
    <xf numFmtId="1" fontId="0" fillId="0" borderId="0" pivotButton="0" quotePrefix="0" xfId="0"/>
    <xf numFmtId="0" fontId="14" fillId="3" borderId="0" applyAlignment="1" pivotButton="0" quotePrefix="0" xfId="0">
      <alignment horizontal="right" vertical="center" indent="1"/>
    </xf>
    <xf numFmtId="0" fontId="0" fillId="3" borderId="0" pivotButton="0" quotePrefix="0" xfId="0"/>
    <xf numFmtId="0" fontId="15" fillId="3" borderId="1" applyAlignment="1" pivotButton="0" quotePrefix="0" xfId="0">
      <alignment horizontal="center" vertical="center" wrapText="1"/>
    </xf>
    <xf numFmtId="0" fontId="16" fillId="9" borderId="0" applyAlignment="1" pivotButton="0" quotePrefix="0" xfId="0">
      <alignment horizontal="left" vertical="center" wrapText="1" indent="1"/>
    </xf>
    <xf numFmtId="0" fontId="0" fillId="9" borderId="0" pivotButton="0" quotePrefix="0" xfId="0"/>
    <xf numFmtId="0" fontId="12" fillId="5" borderId="0" applyAlignment="1" pivotButton="0" quotePrefix="0" xfId="0">
      <alignment horizontal="left" vertical="center" wrapText="1" indent="1"/>
    </xf>
    <xf numFmtId="0" fontId="0" fillId="5" borderId="0" pivotButton="0" quotePrefix="0" xfId="0"/>
    <xf numFmtId="0" fontId="17" fillId="6" borderId="0" applyAlignment="1" pivotButton="0" quotePrefix="0" xfId="0">
      <alignment horizontal="left" vertical="center" wrapText="1" indent="1"/>
    </xf>
    <xf numFmtId="0" fontId="0" fillId="6" borderId="0" pivotButton="0" quotePrefix="0" xfId="0"/>
    <xf numFmtId="0" fontId="12" fillId="0" borderId="1" applyAlignment="1" pivotButton="0" quotePrefix="0" xfId="0">
      <alignment horizontal="left" vertical="center" wrapText="1" indent="1"/>
    </xf>
    <xf numFmtId="166" fontId="18" fillId="0" borderId="1" applyAlignment="1" pivotButton="0" quotePrefix="0" xfId="0">
      <alignment horizontal="right" vertical="center"/>
    </xf>
    <xf numFmtId="0" fontId="0" fillId="0" borderId="1" pivotButton="0" quotePrefix="0" xfId="0"/>
    <xf numFmtId="0" fontId="19" fillId="0" borderId="1" applyAlignment="1" pivotButton="0" quotePrefix="0" xfId="0">
      <alignment horizontal="right" vertical="center"/>
    </xf>
    <xf numFmtId="0" fontId="18" fillId="0" borderId="1" applyAlignment="1" pivotButton="0" quotePrefix="0" xfId="0">
      <alignment horizontal="right" vertical="center"/>
    </xf>
    <xf numFmtId="0" fontId="10" fillId="0" borderId="2" applyAlignment="1" pivotButton="0" quotePrefix="0" xfId="0">
      <alignment horizontal="left" vertical="center" wrapText="1" indent="1"/>
    </xf>
    <xf numFmtId="0" fontId="0" fillId="0" borderId="2" pivotButton="0" quotePrefix="0" xfId="0"/>
    <xf numFmtId="0" fontId="20" fillId="10" borderId="0" applyAlignment="1" pivotButton="0" quotePrefix="0" xfId="0">
      <alignment horizontal="left" vertical="center" wrapText="1" indent="1"/>
    </xf>
    <xf numFmtId="0" fontId="0" fillId="10" borderId="0" pivotButton="0" quotePrefix="0" xfId="0"/>
    <xf numFmtId="0" fontId="12" fillId="3" borderId="1" applyAlignment="1" pivotButton="0" quotePrefix="0" xfId="0">
      <alignment horizontal="left" vertical="center" wrapText="1" indent="1"/>
    </xf>
    <xf numFmtId="0" fontId="0" fillId="3" borderId="1" pivotButton="0" quotePrefix="0" xfId="0"/>
    <xf numFmtId="0" fontId="21" fillId="6" borderId="0" applyAlignment="1" pivotButton="0" quotePrefix="0" xfId="0">
      <alignment horizontal="left" vertical="center" wrapText="1" indent="1"/>
    </xf>
    <xf numFmtId="0" fontId="22" fillId="5" borderId="0" applyAlignment="1" pivotButton="0" quotePrefix="0" xfId="0">
      <alignment horizontal="left" vertical="center" wrapText="1" indent="1"/>
    </xf>
    <xf numFmtId="0" fontId="14" fillId="10" borderId="1" applyAlignment="1" pivotButton="0" quotePrefix="0" xfId="0">
      <alignment horizontal="left" vertical="center" indent="1"/>
    </xf>
    <xf numFmtId="0" fontId="23" fillId="4" borderId="1" applyAlignment="1" pivotButton="0" quotePrefix="0" xfId="0">
      <alignment horizontal="left" vertical="center" indent="1"/>
    </xf>
    <xf numFmtId="0" fontId="24" fillId="2" borderId="0" applyAlignment="1" pivotButton="0" quotePrefix="0" xfId="0">
      <alignment horizontal="center" vertical="center" wrapText="1" indent="1"/>
    </xf>
    <xf numFmtId="0" fontId="25" fillId="5" borderId="0" applyAlignment="1" pivotButton="0" quotePrefix="0" xfId="0">
      <alignment horizontal="left" vertical="center" wrapText="1"/>
    </xf>
    <xf numFmtId="0" fontId="26" fillId="0" borderId="0" applyAlignment="1" pivotButton="0" quotePrefix="0" xfId="0">
      <alignment horizontal="center" vertical="top"/>
    </xf>
    <xf numFmtId="0" fontId="27" fillId="0" borderId="0" applyAlignment="1" pivotButton="0" quotePrefix="0" xfId="0">
      <alignment horizontal="left" vertical="center" wrapText="1"/>
    </xf>
    <xf numFmtId="0" fontId="25" fillId="0" borderId="0" applyAlignment="1" pivotButton="0" quotePrefix="0" xfId="0">
      <alignment horizontal="left" vertical="center" wrapText="1"/>
    </xf>
    <xf numFmtId="0" fontId="26" fillId="3" borderId="0" applyAlignment="1" pivotButton="0" quotePrefix="0" xfId="0">
      <alignment horizontal="center" vertical="top"/>
    </xf>
    <xf numFmtId="0" fontId="12" fillId="3" borderId="0" applyAlignment="1" pivotButton="0" quotePrefix="0" xfId="0">
      <alignment horizontal="left" vertical="center" wrapText="1"/>
    </xf>
    <xf numFmtId="0" fontId="3" fillId="0" borderId="0" applyAlignment="1" pivotButton="0" quotePrefix="0" xfId="0">
      <alignment horizontal="left" vertical="center" wrapText="1"/>
    </xf>
    <xf numFmtId="0" fontId="22"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4" fillId="5" borderId="0" applyAlignment="1" pivotButton="0" quotePrefix="0" xfId="0">
      <alignment horizontal="left" vertical="center" wrapText="1"/>
    </xf>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4" fillId="0" borderId="0" pivotButton="0" quotePrefix="0" xfId="0"/>
    <xf numFmtId="164" fontId="3" fillId="0" borderId="0" pivotButton="0" quotePrefix="0" xfId="0"/>
    <xf numFmtId="166" fontId="5" fillId="0" borderId="0" pivotButton="0" quotePrefix="0" xfId="0"/>
    <xf numFmtId="166" fontId="3" fillId="0" borderId="0" pivotButton="0" quotePrefix="0" xfId="0"/>
    <xf numFmtId="1" fontId="3" fillId="0" borderId="0" pivotButton="0" quotePrefix="0" xfId="0"/>
    <xf numFmtId="1" fontId="5" fillId="0" borderId="0" pivotButton="0" quotePrefix="0" xfId="0"/>
    <xf numFmtId="0" fontId="6" fillId="0" borderId="0" pivotButton="0" quotePrefix="0" xfId="0"/>
    <xf numFmtId="0" fontId="7" fillId="0" borderId="0" pivotButton="0" quotePrefix="0" xfId="0"/>
    <xf numFmtId="165" fontId="12" fillId="3" borderId="1" pivotButton="0" quotePrefix="0" xfId="0"/>
    <xf numFmtId="166" fontId="13" fillId="8" borderId="1" pivotButton="0" quotePrefix="0" xfId="0"/>
    <xf numFmtId="166" fontId="0" fillId="0" borderId="0" pivotButton="0" quotePrefix="0" xfId="0"/>
    <xf numFmtId="166" fontId="18" fillId="0" borderId="1" applyAlignment="1" pivotButton="0" quotePrefix="0" xfId="0">
      <alignment horizontal="right" vertical="center"/>
    </xf>
    <xf numFmtId="0" fontId="0" fillId="0" borderId="6" pivotButton="0" quotePrefix="0" xfId="0"/>
    <xf numFmtId="0" fontId="0" fillId="0" borderId="5" pivotButton="0" quotePrefix="0" xfId="0"/>
    <xf numFmtId="166" fontId="5" fillId="0" borderId="0" pivotButton="0" quotePrefix="0" xfId="0"/>
    <xf numFmtId="166" fontId="3" fillId="0" borderId="0" pivotButton="0" quotePrefix="0" xfId="0"/>
    <xf numFmtId="0" fontId="28" fillId="2" borderId="0" applyAlignment="1" pivotButton="0" quotePrefix="0" xfId="0">
      <alignment horizontal="left" vertical="center" wrapText="1" indent="1"/>
    </xf>
    <xf numFmtId="0" fontId="11" fillId="5" borderId="0" applyAlignment="1" pivotButton="0" quotePrefix="0" xfId="0">
      <alignment horizontal="left" vertical="center" wrapText="1" indent="1"/>
    </xf>
    <xf numFmtId="0" fontId="29" fillId="0" borderId="0" applyAlignment="1" pivotButton="0" quotePrefix="0" xfId="0">
      <alignment horizontal="right" vertical="center"/>
    </xf>
    <xf numFmtId="0" fontId="5" fillId="4" borderId="1" applyAlignment="1" pivotButton="0" quotePrefix="0" xfId="0">
      <alignment horizontal="center" vertical="center"/>
    </xf>
    <xf numFmtId="0" fontId="22" fillId="0" borderId="1" applyAlignment="1" pivotButton="0" quotePrefix="0" xfId="0">
      <alignment horizontal="left" vertical="center" wrapText="1" indent="1"/>
    </xf>
    <xf numFmtId="166" fontId="30" fillId="4" borderId="1" applyAlignment="1" pivotButton="0" quotePrefix="0" xfId="0">
      <alignment horizontal="right" vertical="center"/>
    </xf>
    <xf numFmtId="0" fontId="10" fillId="0" borderId="0" applyAlignment="1" pivotButton="0" quotePrefix="0" xfId="0">
      <alignment horizontal="left" vertical="center" wrapText="1" indent="1"/>
    </xf>
    <xf numFmtId="0" fontId="4" fillId="0" borderId="1" applyAlignment="1" pivotButton="0" quotePrefix="0" xfId="0">
      <alignment horizontal="left" vertical="center" indent="1"/>
    </xf>
    <xf numFmtId="0" fontId="31" fillId="0" borderId="1" applyAlignment="1" pivotButton="0" quotePrefix="0" xfId="0">
      <alignment horizontal="center" vertical="center"/>
    </xf>
    <xf numFmtId="0" fontId="32" fillId="10" borderId="0" applyAlignment="1" pivotButton="0" quotePrefix="0" xfId="0">
      <alignment horizontal="left" vertical="center" wrapText="1" indent="1"/>
    </xf>
    <xf numFmtId="0" fontId="22" fillId="3" borderId="1" applyAlignment="1" pivotButton="0" quotePrefix="0" xfId="0">
      <alignment horizontal="left" vertical="center" wrapText="1" indent="1"/>
    </xf>
    <xf numFmtId="0" fontId="33" fillId="5" borderId="0" applyAlignment="1" pivotButton="0" quotePrefix="0" xfId="0">
      <alignment horizontal="left" vertical="center" wrapText="1" indent="1"/>
    </xf>
    <xf numFmtId="0" fontId="24" fillId="2" borderId="0" applyAlignment="1" pivotButton="0" quotePrefix="0" xfId="0">
      <alignment horizontal="left" vertical="center" wrapText="1" indent="1"/>
    </xf>
  </cellXfs>
  <cellStyles count="1">
    <cellStyle name="Normal" xfId="0" builtinId="0" hidden="0"/>
  </cellStyles>
  <dxfs count="8">
    <dxf>
      <font>
        <name val="Arial"/>
        <b val="1"/>
        <color rgb="00C0392B"/>
        <sz val="11"/>
      </font>
    </dxf>
    <dxf>
      <font>
        <name val="Arial"/>
        <b val="1"/>
        <color rgb="001E8449"/>
        <sz val="11"/>
      </font>
    </dxf>
    <dxf>
      <font>
        <name val="Arial"/>
        <b val="1"/>
        <color rgb="00C0392B"/>
        <sz val="11"/>
      </font>
      <fill>
        <patternFill patternType="solid">
          <fgColor rgb="00F9D5CF"/>
        </patternFill>
      </fill>
    </dxf>
    <dxf>
      <fill>
        <patternFill patternType="solid">
          <fgColor rgb="00C0392B"/>
        </patternFill>
      </fill>
    </dxf>
    <dxf>
      <fill>
        <patternFill patternType="solid">
          <fgColor rgb="00E67E22"/>
        </patternFill>
      </fill>
    </dxf>
    <dxf>
      <fill>
        <patternFill patternType="solid">
          <fgColor rgb="001E8449"/>
        </patternFill>
      </fill>
    </dxf>
    <dxf>
      <fill>
        <patternFill patternType="solid">
          <fgColor rgb="005B7C99"/>
        </patternFill>
      </fill>
    </dxf>
    <dxf>
      <font>
        <name val="Arial"/>
        <b val="1"/>
        <color rgb="00C0392B"/>
        <sz val="1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6"/>
  <sheetViews>
    <sheetView showGridLines="0" workbookViewId="0">
      <selection activeCell="A1" sqref="A1"/>
    </sheetView>
  </sheetViews>
  <sheetFormatPr baseColWidth="8" defaultRowHeight="15"/>
  <cols>
    <col width="2" customWidth="1" min="1" max="1"/>
    <col width="52" customWidth="1" min="2" max="2"/>
    <col width="20" customWidth="1" min="3" max="3"/>
    <col width="44" customWidth="1" min="4" max="4"/>
    <col width="2" customWidth="1" min="5" max="5"/>
  </cols>
  <sheetData>
    <row r="1" ht="36" customHeight="1">
      <c r="B1" s="73" t="inlineStr">
        <is>
          <t>⚡ TEST NHANH — DÒNG TIỀN THÁNG VỪA RỒI (5 phút)</t>
        </is>
      </c>
      <c r="C1" s="15" t="n"/>
      <c r="D1" s="15" t="n"/>
    </row>
    <row r="2" ht="30" customHeight="1">
      <c r="B2" s="74" t="inlineStr">
        <is>
          <t>Điền 6 ô vàng cho MỘT THÁNG ĐÃ KHÉP SỔ (thường là tháng vừa rồi). Kết quả hiện ngay bên dưới. Test xong, muốn theo dõi thật hằng ngày → sang sheet '1. NHẬP DỮ LIỆU'.</t>
        </is>
      </c>
      <c r="C2" s="23" t="n"/>
      <c r="D2" s="23" t="n"/>
    </row>
    <row r="3" ht="20" customHeight="1">
      <c r="B3" s="75" t="inlineStr">
        <is>
          <t>Tháng đang test (ghi cho nhớ, vd: 6/2026):</t>
        </is>
      </c>
      <c r="C3" s="76" t="inlineStr">
        <is>
          <t>6/2026</t>
        </is>
      </c>
    </row>
    <row r="4" ht="24" customHeight="1">
      <c r="B4" s="37" t="inlineStr">
        <is>
          <t>BƯỚC 1 — ĐIỀN 6 Ô (số mẫu đang điền sẵn — xóa đi, điền số của bạn)</t>
        </is>
      </c>
      <c r="C4" s="25" t="n"/>
      <c r="D4" s="25" t="n"/>
    </row>
    <row r="5" ht="32" customHeight="1">
      <c r="B5" s="77" t="inlineStr">
        <is>
          <t>① Tiền có ĐẦU tháng test (= dư cuối tháng trước đó dồn sang — lỗ dồn thì điền số ÂM)</t>
        </is>
      </c>
      <c r="C5" s="78" t="n">
        <v>35000000</v>
      </c>
      <c r="D5" s="79" t="inlineStr">
        <is>
          <t>VD test tháng 6 → điền số dư cuối tháng 5</t>
        </is>
      </c>
    </row>
    <row r="6" ht="32" customHeight="1">
      <c r="B6" s="77" t="inlineStr">
        <is>
          <t>② Tổng tiền khách trả trong tháng test</t>
        </is>
      </c>
      <c r="C6" s="78" t="n">
        <v>190000000</v>
      </c>
      <c r="D6" s="79" t="inlineStr">
        <is>
          <t>App ngân hàng + sổ/két — cộng nhanh</t>
        </is>
      </c>
    </row>
    <row r="7" ht="32" customHeight="1">
      <c r="B7" s="77" t="inlineStr">
        <is>
          <t>③ Tổng chi cho spa trong tháng (nhà, lương, hàng, ads…) — KHÔNG tính tiền mình rút</t>
        </is>
      </c>
      <c r="C7" s="78" t="n">
        <v>151000000</v>
      </c>
      <c r="D7" s="79" t="inlineStr">
        <is>
          <t>Cộng nhẩm các khoản lớn là đủ</t>
        </is>
      </c>
    </row>
    <row r="8" ht="32" customHeight="1">
      <c r="B8" s="77" t="inlineStr">
        <is>
          <t>④ Tiền mình RÚT tiêu riêng trong tháng</t>
        </is>
      </c>
      <c r="C8" s="78" t="n">
        <v>20000000</v>
      </c>
      <c r="D8" s="79" t="inlineStr">
        <is>
          <t>Thành thật nha 😄</t>
        </is>
      </c>
    </row>
    <row r="9" ht="32" customHeight="1">
      <c r="B9" s="77" t="inlineStr">
        <is>
          <t>⑤ Tiền spa còn lại CUỐI tháng test (két + tài khoản)</t>
        </is>
      </c>
      <c r="C9" s="78" t="n">
        <v>29000000</v>
      </c>
      <c r="D9" s="79" t="inlineStr">
        <is>
          <t>Số tại ngày cuối tháng — KHÔNG lấy số hôm nay</t>
        </is>
      </c>
    </row>
    <row r="10" ht="32" customHeight="1">
      <c r="B10" s="77" t="inlineStr">
        <is>
          <t>⑥ Nợ buổi gói với khách hiện tại (gói đã bán, chưa làm xong)</t>
        </is>
      </c>
      <c r="C10" s="78" t="n">
        <v>115000000</v>
      </c>
      <c r="D10" s="79" t="inlineStr">
        <is>
          <t>Ước nhanh từ 5–10 khách gói gần nhất. Chưa nắm → ĐỂ TRỐNG. Không bán gói → điền 0</t>
        </is>
      </c>
    </row>
    <row r="11" ht="8" customHeight="1"/>
    <row r="12" ht="24" customHeight="1">
      <c r="B12" s="37" t="inlineStr">
        <is>
          <t>BƯỚC 2 — 4 CON SỐ NÓI THẬT</t>
        </is>
      </c>
      <c r="C12" s="25" t="n"/>
      <c r="D12" s="25" t="n"/>
    </row>
    <row r="13" ht="24" customHeight="1">
      <c r="B13" s="80" t="inlineStr">
        <is>
          <t>① TIỀN TIÊU ĐƯỢC THẬT SỰ  (= tiền cuối kỳ − nợ khách)</t>
        </is>
      </c>
      <c r="C13" s="68">
        <f>IF($C$9="","Chưa tính được",IF($C$10="","Chưa tính được",$C$9-$C$10))</f>
        <v/>
      </c>
      <c r="D13" s="81">
        <f>IF($C$9="","⚪",IF($C$10="","⚪",IF($C$9-$C$10&lt;0,"🔴",IF(AND($C$7&lt;&gt;"",$C$9-$C$10&lt;$C$7/2),"🟡","🟢"))))</f>
        <v/>
      </c>
    </row>
    <row r="14" ht="30" customHeight="1">
      <c r="B14" s="82">
        <f>IF($C$9="","Còn thiếu ô ⑤ (tiền spa còn lại cuối tháng test) — điền vào là số này hiện ngay.",IF($C$10="","Bạn chưa biết mình nợ khách bao nhiêu — đó chính là con số cần đi tìm đầu tiên (xem việc cần làm bên dưới).",IF($C$9-$C$10&lt;0,"Nợ khách nhiều hơn tiền đang có: mỗi đồng tiêu thêm là tiêu vào tiền của khách.",IF($C$9-$C$10=0,"Vừa khít — không còn đệm an toàn nào.","Đây mới là số bạn thật sự được phép tiêu — không phải số trong két."))))</f>
        <v/>
      </c>
      <c r="C14" s="34" t="n"/>
      <c r="D14" s="34" t="n"/>
    </row>
    <row r="15" ht="24" customHeight="1">
      <c r="B15" s="80" t="inlineStr">
        <is>
          <t>② TIỀN CỦA KHÁCH ĐANG GỬI TRONG KÉT  (nợ dịch vụ)</t>
        </is>
      </c>
      <c r="C15" s="68">
        <f>IF($C$10="","Chưa đo được",$C$10)</f>
        <v/>
      </c>
      <c r="D15" s="81">
        <f>IF(AND($C$9="",$C$10&lt;&gt;"",$C$10&gt;0),"⚪",IF($C$10="","⚪",IF($C$10&lt;=0,"🟢",IF($C$9&lt;=0,"🔴",IF($C$10/$C$9&lt;=0.5,"🟢",IF($C$10/$C$9&lt;=1,"🟡","🔴"))))))</f>
        <v/>
      </c>
    </row>
    <row r="16" ht="30" customHeight="1">
      <c r="B16" s="82">
        <f>IF(AND($C$9="",$C$10&lt;&gt;"",$C$10&gt;0),"Còn thiếu ô ⑤ (tiền còn cuối tháng) nên chưa biết tiền khách chiếm bao nhiêu phần trong két.",IF($C$10="","Chưa đo được — bảng vẫn chạy 2 chỉ số dưới.",IF($C$10&lt;=0,"Không nợ gói — nhẹ gánh một mối lớn.",IF($C$9&lt;=0,"Két gần trống trong khi vẫn còn nợ khách dịch vụ — mức báo động.",IF($C$10/$C$9&lt;=0.5,"Trong tầm kiểm soát — nhớ để riêng phần này ra khi chi tiêu.",IF($C$10/$C$9&lt;=1,"QUÁ NỬA tiền trong két là tiền của khách — cẩn trọng với mọi khoản chi lớn.","Nợ khách NHIỀU HƠN toàn bộ tiền đang có — két đầy hay vơi không còn nói lên điều gì."))))))</f>
        <v/>
      </c>
      <c r="C16" s="34" t="n"/>
      <c r="D16" s="34" t="n"/>
    </row>
    <row r="17" ht="24" customHeight="1">
      <c r="B17" s="80" t="inlineStr">
        <is>
          <t>③ TIỀN KHÔNG LỜI GIẢI  (đối chiếu sổ ↔ thực tế)</t>
        </is>
      </c>
      <c r="C17" s="68">
        <f>IF(OR($C$5="",$C$6="",$C$7="",$C$8="",$C$9=""),"Chưa đủ số",(($C$5+$C$6-$C$7-$C$8)-$C$9))</f>
        <v/>
      </c>
      <c r="D17" s="81">
        <f>IF(OR($C$5="",$C$6="",$C$7="",$C$8="",$C$9=""),"⚪",IF(ABS((($C$5+$C$6-$C$7-$C$8)-$C$9))&lt;=0.1*$C$6,"🟢",IF(ABS((($C$5+$C$6-$C$7-$C$8)-$C$9))&lt;=0.25*$C$6,"🟡","🔴")))</f>
        <v/>
      </c>
    </row>
    <row r="18" ht="40" customHeight="1">
      <c r="B18" s="82">
        <f>IF(OR($C$5="",$C$6="",$C$7="",$C$8="",$C$9=""),"Còn thiếu số ở BƯỚC 1 — phép đối chiếu này cần đủ 5 ô ① ② ③ ④ ⑤.",IF(ABS((($C$5+$C$6-$C$7-$C$8)-$C$9))&lt;=0.1*$C$6,"Lệch trong biên sai số trí nhớ (dưới 10% tổng thu) — coi như khớp.",IF((($C$5+$C$6-$C$7-$C$8)-$C$9)&gt;0,"Theo số bạn điền, đáng lẽ cuối tháng còn "&amp;TEXT(($C$5+$C$6-$C$7-$C$8),"#,##0")&amp;"đ — thực tế còn "&amp;TEXT($C$9,"#,##0")&amp;"đ. Khoản chênh này đã rời spa mà không có lời giải: chi không ghi, lẫn tiền túi, hoặc thất thoát.","Thực tế còn NHIỀU hơn sổ tính "&amp;TEXT(ABS((($C$5+$C$6-$C$7-$C$8)-$C$9)),"#,##0")&amp;"đ — thường do quên kể một khoản thu, hoặc tiền túi bù vào không ghi. Cũng là dấu hai túi đang lẫn nhau.")))</f>
        <v/>
      </c>
      <c r="C18" s="34" t="n"/>
      <c r="D18" s="34" t="n"/>
    </row>
    <row r="19" ht="24" customHeight="1">
      <c r="B19" s="80" t="inlineStr">
        <is>
          <t>④ THÁNG RỒI, MÌNH SỐNG BẰNG TIỀN GÌ?  (spa làm ra vs mình rút)</t>
        </is>
      </c>
      <c r="C19" s="30">
        <f>IF(OR($C$6="",$C$7="",$C$8=""),"Chưa đủ số","Làm ra "&amp;TEXT(($C$6-$C$7),"#,##0")&amp;" · Rút "&amp;TEXT($C$8,"#,##0"))</f>
        <v/>
      </c>
      <c r="D19" s="81">
        <f>IF(OR($C$6="",$C$7="",$C$8=""),"⚪",IF(($C$6-$C$7)&lt;=0,IF($C$8&gt;0,"🔴","🟡"),IF($C$8&gt;($C$6-$C$7),"🟡",IF(AND($C$10&lt;&gt;"",$C$9-$C$10&lt;0),"🟡","🟢"))))</f>
        <v/>
      </c>
    </row>
    <row r="20" ht="40" customHeight="1">
      <c r="B20" s="82">
        <f>IF(OR($C$6="",$C$7="",$C$8=""),"Còn thiếu số ở BƯỚC 1 — câu này cần 3 ô: ② tổng thu · ③ chi cho spa · ④ mình rút.",IF(($C$6-$C$7)&lt;=0,IF($C$8&gt;0,"Spa không làm ra đồng nào mà bạn vẫn rút "&amp;TEXT($C$8,"#,##0")&amp;"đ — toàn bộ khoản này lấy từ vốn cũ hoặc tiền ứng trước của khách.","Spa không làm ra — may là bạn cũng chưa rút. Câu hỏi là: bạn đang sống bằng gì?"),IF($C$8&gt;($C$6-$C$7),"Spa làm ra "&amp;TEXT(($C$6-$C$7),"#,##0")&amp;"đ nhưng bạn rút "&amp;TEXT($C$8,"#,##0")&amp;"đ — phần chênh đang lấy từ két, không phải từ lợi nhuận.",IF(AND($C$10&lt;&gt;"",$C$9-$C$10&lt;0),"Nhìn thì ổn — NHƯNG tiền tiêu được đang ÂM: trong số làm ra có tiền ứng trước của khách. Chưa được yên tâm.","Bạn đang sống bằng tiền spa làm ra — đúng nguồn. (Lưu ý: số làm ra chưa trừ phần buổi gói còn nợ — lãi thật thường thấp hơn.)"))))</f>
        <v/>
      </c>
      <c r="C20" s="34" t="n"/>
      <c r="D20" s="34" t="n"/>
    </row>
    <row r="21" ht="8" customHeight="1"/>
    <row r="22" ht="24" customHeight="1">
      <c r="B22" s="37" t="inlineStr">
        <is>
          <t>BƯỚC 3 — MỘT VIỆC LÀM NGAY (10–15 phút, bắt đầu từ hôm nay)</t>
        </is>
      </c>
      <c r="C22" s="25" t="n"/>
      <c r="D22" s="25" t="n"/>
    </row>
    <row r="23" ht="52" customHeight="1">
      <c r="B23" s="83">
        <f>IF(AND($C$5="",$C$6="",$C$7="",$C$8="",$C$9="",$C$10=""),"Điền 6 ô ở BƯỚC 1 (số của một tháng đã khép sổ) — 5 phút thôi. Kết quả và việc cần làm sẽ hiện ngay tại đây.",IF(OR($C$5="",$C$6="",$C$7="",$C$8="",$C$9=""),"Còn ô trống ở BƯỚC 1. Điền nốt 5 ô ① ② ③ ④ ⑤ (riêng ô ⑥ chưa nắm thì cứ để trống) — bảng sẽ chỉ đúng một việc cần làm.",IF($C$10="","Mở note điện thoại, tạo trang ""SỔ GÓI"": ghi 10 khách mua gói gần nhất còn nhớ (tên · buổi còn lại · giá buổi). Từ nay bán gói mới nào ghi thêm 1 dòng ngay lúc thu tiền. Chưa đầy đủ không sao — từ hôm nay không phát sinh thêm khoản nợ vô hình nào nữa.",IF(AND($C$10&gt;0,$C$9-$C$10&lt;0),"Mở note điện thoại, tạo trang ""SỔ GÓI"": ghi 10 khách mua gói gần nhất còn nhớ (tên · buổi còn lại · giá buổi). Từ nay bán gói mới nào ghi thêm 1 dòng ngay lúc thu tiền. Chưa đầy đủ không sao — từ hôm nay không phát sinh thêm khoản nợ vô hình nào nữa.",IF(ABS((($C$5+$C$6-$C$7-$C$8)-$C$9))&gt;0.1*$C$6,"Ngay bây giờ: mở app ngân hàng + đếm két → cộng thành MỘT con số ""tiền spa đang có hôm nay"", chụp màn hình kèm ngày. Hẹn 7 ngày sau làm lại. Hiệu 2 con số = lần đầu bạn NHÌN THẤY tuần này dư hay hụt.",IF(OR(($C$6-$C$7)&lt;=0,$C$8&gt;($C$6-$C$7)),"Chốt MỘT mức lương cho chính mình (tạm cũng được), đặt lịch chuyển đúng số đó một ngày cố định mỗi tháng. Lỡ cần lấy thêm từ két → ghi 1 dòng ""mượn của spa"". Ranh giới bắt đầu tồn tại từ hôm nay.","Sáu số này chưa lộ lỗ thủng gấp nào — việc của bạn là GIỮ NẾP: sang sheet '1. NHẬP DỮ LIỆU' dùng bảng theo dõi hằng ngày để tháng sau vẫn nói được những con số này trong 1 phút."))))))</f>
        <v/>
      </c>
      <c r="C23" s="36" t="n"/>
      <c r="D23" s="36" t="n"/>
    </row>
    <row r="24" ht="8" customHeight="1"/>
    <row r="25" ht="34" customHeight="1">
      <c r="B25" s="84" t="inlineStr">
        <is>
          <t>➡️ Test xong: theo dõi thật hằng ngày ở sheet '1. NHẬP DỮ LIỆU' (dashboard tự chạy ở sheet '2. DASHBOARD'). Muốn biết VÌ SAO và sửa từ đâu → Chẩn Đoán Sức Khỏe Spa cùng Đàm Thanh Hoa (link ở cuối sheet '2. DASHBOARD').</t>
        </is>
      </c>
      <c r="C25" s="23" t="n"/>
      <c r="D25" s="23" t="n"/>
    </row>
    <row r="26" ht="20" customHeight="1">
      <c r="B26" s="85" t="inlineStr">
        <is>
          <t>Giải Pháp Đàm Hoa · Đàm Thị Thanh Hoa — 15 năm nghề spa, 6 chi nhánh.</t>
        </is>
      </c>
      <c r="C26" s="15" t="n"/>
      <c r="D26" s="15" t="n"/>
    </row>
  </sheetData>
  <mergeCells count="12">
    <mergeCell ref="B14:D14"/>
    <mergeCell ref="B23:D23"/>
    <mergeCell ref="B1:D1"/>
    <mergeCell ref="B22:D22"/>
    <mergeCell ref="B4:D4"/>
    <mergeCell ref="B16:D16"/>
    <mergeCell ref="B18:D18"/>
    <mergeCell ref="B26:D26"/>
    <mergeCell ref="B12:D12"/>
    <mergeCell ref="B25:D25"/>
    <mergeCell ref="B2:D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04"/>
  <sheetViews>
    <sheetView showGridLines="0" workbookViewId="0">
      <pane ySplit="4" topLeftCell="A5" activePane="bottomLeft" state="frozen"/>
      <selection pane="bottomLeft" activeCell="A1" sqref="A1"/>
    </sheetView>
  </sheetViews>
  <sheetFormatPr baseColWidth="8" defaultRowHeight="15"/>
  <cols>
    <col width="13" customWidth="1" min="1" max="1"/>
    <col width="42" customWidth="1" min="2" max="2"/>
    <col width="17" customWidth="1" min="3" max="3"/>
    <col width="26" customWidth="1" min="4" max="4"/>
    <col width="17"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s>
  <sheetData>
    <row r="1" ht="32" customHeight="1">
      <c r="A1" s="1" t="inlineStr">
        <is>
          <t>1️⃣  NHẬP DỮ LIỆU  —  chị chỉ điền ở tab này</t>
        </is>
      </c>
    </row>
    <row r="2" ht="24" customHeight="1">
      <c r="A2" s="2" t="inlineStr">
        <is>
          <t>① Spa của chị có bán gói / liệu trình trả trước không?  →</t>
        </is>
      </c>
      <c r="D2" s="3" t="inlineStr">
        <is>
          <t>Có</t>
        </is>
      </c>
      <c r="E2" s="4" t="inlineStr">
        <is>
          <t>(trả lời 1 lần)</t>
        </is>
      </c>
    </row>
    <row r="3" ht="22" customHeight="1">
      <c r="A3" s="5" t="inlineStr">
        <is>
          <t>② Mỗi việc thu/chi = 1 dòng (nhập trong ngày hoặc 2–3 lần/tuần). Điền: NGÀY · HẠNG MỤC · SỐ TIỀN. Cột xám tự tính.</t>
        </is>
      </c>
    </row>
    <row r="4" ht="26" customHeight="1">
      <c r="A4" s="6" t="inlineStr">
        <is>
          <t>NGÀY</t>
        </is>
      </c>
      <c r="B4" s="6" t="inlineStr">
        <is>
          <t>HẠNG MỤC (bấm ▼)</t>
        </is>
      </c>
      <c r="C4" s="6" t="inlineStr">
        <is>
          <t>SỐ TIỀN</t>
        </is>
      </c>
      <c r="D4" s="6" t="inlineStr">
        <is>
          <t>GHI CHÚ</t>
        </is>
      </c>
      <c r="E4" s="7" t="inlineStr">
        <is>
          <t>→ VÀO KÉT</t>
        </is>
      </c>
      <c r="F4" s="6" t="inlineStr">
        <is>
          <t>sys_dt</t>
        </is>
      </c>
      <c r="G4" s="6" t="inlineStr">
        <is>
          <t>sys_cp</t>
        </is>
      </c>
      <c r="H4" s="6" t="inlineStr">
        <is>
          <t>sys_quy</t>
        </is>
      </c>
      <c r="I4" s="6" t="inlineStr">
        <is>
          <t>sys_nhom</t>
        </is>
      </c>
      <c r="J4" s="6" t="inlineStr">
        <is>
          <t>sys_thang</t>
        </is>
      </c>
      <c r="K4" s="6" t="inlineStr">
        <is>
          <t>sys_tc</t>
        </is>
      </c>
    </row>
    <row r="5">
      <c r="A5" s="8">
        <f>MIN(DATE(YEAR(TODAY()),MONTH(TODAY()),1),TODAY())</f>
        <v/>
      </c>
      <c r="B5" s="9" t="inlineStr">
        <is>
          <t>⚙️ Số dư đầu kỳ (tiền đang có sẵn)</t>
        </is>
      </c>
      <c r="C5" s="65" t="n">
        <v>30000000</v>
      </c>
      <c r="D5" s="9" t="inlineStr">
        <is>
          <t>Tiền có sẵn lúc bắt đầu</t>
        </is>
      </c>
      <c r="E5" s="66">
        <f>IF($B5="","",IF(LEFT($B5,1)="━","⚠️ Chọn hạng mục cụ thể",$C5*VLOOKUP($B5,'4. CÀI ĐẶT'!$A$2:$H$32,2,FALSE)))</f>
        <v/>
      </c>
      <c r="F5" s="67">
        <f>IF($B5="",0,IF(LEFT($B5,1)="━",0,$C5*VLOOKUP($B5,'4. CÀI ĐẶT'!$A$2:$H$32,3,FALSE)))</f>
        <v/>
      </c>
      <c r="G5" s="67">
        <f>IF($B5="",0,IF(LEFT($B5,1)="━",0,$C5*VLOOKUP($B5,'4. CÀI ĐẶT'!$A$2:$H$32,4,FALSE)))</f>
        <v/>
      </c>
      <c r="H5" s="67">
        <f>IF($B5="",0,IF(LEFT($B5,1)="━",0,$C5*VLOOKUP($B5,'4. CÀI ĐẶT'!$A$2:$H$32,5,FALSE)))</f>
        <v/>
      </c>
      <c r="I5">
        <f>IF($B5="","",IF(LEFT($B5,1)="━","",VLOOKUP($B5,'4. CÀI ĐẶT'!$A$2:$H$32,6,FALSE)))</f>
        <v/>
      </c>
      <c r="J5" s="13">
        <f>IF($A5="","",EOMONTH($A5,0))</f>
        <v/>
      </c>
      <c r="K5" s="67">
        <f>IF($B5="",0,IF(LEFT($B5,1)="━",0,$C5*VLOOKUP($B5,'4. CÀI ĐẶT'!$A$2:$H$32,7,FALSE)))</f>
        <v/>
      </c>
    </row>
    <row r="6">
      <c r="A6" s="8">
        <f>MIN(DATE(YEAR(TODAY()),MONTH(TODAY()),2),TODAY())</f>
        <v/>
      </c>
      <c r="B6" s="9" t="inlineStr">
        <is>
          <t>🎟️ Bán gói trả trước</t>
        </is>
      </c>
      <c r="C6" s="65" t="n">
        <v>90000000</v>
      </c>
      <c r="D6" s="9" t="inlineStr">
        <is>
          <t>6 khách mua gói 12 buổi</t>
        </is>
      </c>
      <c r="E6" s="66">
        <f>IF($B6="","",IF(LEFT($B6,1)="━","⚠️ Chọn hạng mục cụ thể",$C6*VLOOKUP($B6,'4. CÀI ĐẶT'!$A$2:$H$32,2,FALSE)))</f>
        <v/>
      </c>
      <c r="F6" s="67">
        <f>IF($B6="",0,IF(LEFT($B6,1)="━",0,$C6*VLOOKUP($B6,'4. CÀI ĐẶT'!$A$2:$H$32,3,FALSE)))</f>
        <v/>
      </c>
      <c r="G6" s="67">
        <f>IF($B6="",0,IF(LEFT($B6,1)="━",0,$C6*VLOOKUP($B6,'4. CÀI ĐẶT'!$A$2:$H$32,4,FALSE)))</f>
        <v/>
      </c>
      <c r="H6" s="67">
        <f>IF($B6="",0,IF(LEFT($B6,1)="━",0,$C6*VLOOKUP($B6,'4. CÀI ĐẶT'!$A$2:$H$32,5,FALSE)))</f>
        <v/>
      </c>
      <c r="I6">
        <f>IF($B6="","",IF(LEFT($B6,1)="━","",VLOOKUP($B6,'4. CÀI ĐẶT'!$A$2:$H$32,6,FALSE)))</f>
        <v/>
      </c>
      <c r="J6" s="13">
        <f>IF($A6="","",EOMONTH($A6,0))</f>
        <v/>
      </c>
      <c r="K6" s="67">
        <f>IF($B6="",0,IF(LEFT($B6,1)="━",0,$C6*VLOOKUP($B6,'4. CÀI ĐẶT'!$A$2:$H$32,7,FALSE)))</f>
        <v/>
      </c>
    </row>
    <row r="7">
      <c r="A7" s="8">
        <f>MIN(DATE(YEAR(TODAY()),MONTH(TODAY()),3),TODAY())</f>
        <v/>
      </c>
      <c r="B7" s="9" t="inlineStr">
        <is>
          <t>💰 Khách lẻ trả tiền ngay</t>
        </is>
      </c>
      <c r="C7" s="65" t="n">
        <v>22000000</v>
      </c>
      <c r="D7" s="9" t="inlineStr">
        <is>
          <t>Khách lẻ tuần 1</t>
        </is>
      </c>
      <c r="E7" s="66">
        <f>IF($B7="","",IF(LEFT($B7,1)="━","⚠️ Chọn hạng mục cụ thể",$C7*VLOOKUP($B7,'4. CÀI ĐẶT'!$A$2:$H$32,2,FALSE)))</f>
        <v/>
      </c>
      <c r="F7" s="67">
        <f>IF($B7="",0,IF(LEFT($B7,1)="━",0,$C7*VLOOKUP($B7,'4. CÀI ĐẶT'!$A$2:$H$32,3,FALSE)))</f>
        <v/>
      </c>
      <c r="G7" s="67">
        <f>IF($B7="",0,IF(LEFT($B7,1)="━",0,$C7*VLOOKUP($B7,'4. CÀI ĐẶT'!$A$2:$H$32,4,FALSE)))</f>
        <v/>
      </c>
      <c r="H7" s="67">
        <f>IF($B7="",0,IF(LEFT($B7,1)="━",0,$C7*VLOOKUP($B7,'4. CÀI ĐẶT'!$A$2:$H$32,5,FALSE)))</f>
        <v/>
      </c>
      <c r="I7">
        <f>IF($B7="","",IF(LEFT($B7,1)="━","",VLOOKUP($B7,'4. CÀI ĐẶT'!$A$2:$H$32,6,FALSE)))</f>
        <v/>
      </c>
      <c r="J7" s="13">
        <f>IF($A7="","",EOMONTH($A7,0))</f>
        <v/>
      </c>
      <c r="K7" s="67">
        <f>IF($B7="",0,IF(LEFT($B7,1)="━",0,$C7*VLOOKUP($B7,'4. CÀI ĐẶT'!$A$2:$H$32,7,FALSE)))</f>
        <v/>
      </c>
    </row>
    <row r="8">
      <c r="A8" s="8">
        <f>MIN(DATE(YEAR(TODAY()),MONTH(TODAY()),5),TODAY())</f>
        <v/>
      </c>
      <c r="B8" s="9" t="inlineStr">
        <is>
          <t>🏠 Thuê mặt bằng</t>
        </is>
      </c>
      <c r="C8" s="65" t="n">
        <v>25000000</v>
      </c>
      <c r="D8" s="9" t="inlineStr">
        <is>
          <t>Tiền nhà</t>
        </is>
      </c>
      <c r="E8" s="66">
        <f>IF($B8="","",IF(LEFT($B8,1)="━","⚠️ Chọn hạng mục cụ thể",$C8*VLOOKUP($B8,'4. CÀI ĐẶT'!$A$2:$H$32,2,FALSE)))</f>
        <v/>
      </c>
      <c r="F8" s="67">
        <f>IF($B8="",0,IF(LEFT($B8,1)="━",0,$C8*VLOOKUP($B8,'4. CÀI ĐẶT'!$A$2:$H$32,3,FALSE)))</f>
        <v/>
      </c>
      <c r="G8" s="67">
        <f>IF($B8="",0,IF(LEFT($B8,1)="━",0,$C8*VLOOKUP($B8,'4. CÀI ĐẶT'!$A$2:$H$32,4,FALSE)))</f>
        <v/>
      </c>
      <c r="H8" s="67">
        <f>IF($B8="",0,IF(LEFT($B8,1)="━",0,$C8*VLOOKUP($B8,'4. CÀI ĐẶT'!$A$2:$H$32,5,FALSE)))</f>
        <v/>
      </c>
      <c r="I8">
        <f>IF($B8="","",IF(LEFT($B8,1)="━","",VLOOKUP($B8,'4. CÀI ĐẶT'!$A$2:$H$32,6,FALSE)))</f>
        <v/>
      </c>
      <c r="J8" s="13">
        <f>IF($A8="","",EOMONTH($A8,0))</f>
        <v/>
      </c>
      <c r="K8" s="67">
        <f>IF($B8="",0,IF(LEFT($B8,1)="━",0,$C8*VLOOKUP($B8,'4. CÀI ĐẶT'!$A$2:$H$32,7,FALSE)))</f>
        <v/>
      </c>
    </row>
    <row r="9">
      <c r="A9" s="8">
        <f>MIN(DATE(YEAR(TODAY()),MONTH(TODAY()),6),TODAY())</f>
        <v/>
      </c>
      <c r="B9" s="9" t="inlineStr">
        <is>
          <t>✅ Giá trị dịch vụ gói đã làm trong tuần</t>
        </is>
      </c>
      <c r="C9" s="65" t="n">
        <v>18000000</v>
      </c>
      <c r="D9" s="9" t="inlineStr">
        <is>
          <t>Tuần 1: buổi gói đã làm</t>
        </is>
      </c>
      <c r="E9" s="66">
        <f>IF($B9="","",IF(LEFT($B9,1)="━","⚠️ Chọn hạng mục cụ thể",$C9*VLOOKUP($B9,'4. CÀI ĐẶT'!$A$2:$H$32,2,FALSE)))</f>
        <v/>
      </c>
      <c r="F9" s="67">
        <f>IF($B9="",0,IF(LEFT($B9,1)="━",0,$C9*VLOOKUP($B9,'4. CÀI ĐẶT'!$A$2:$H$32,3,FALSE)))</f>
        <v/>
      </c>
      <c r="G9" s="67">
        <f>IF($B9="",0,IF(LEFT($B9,1)="━",0,$C9*VLOOKUP($B9,'4. CÀI ĐẶT'!$A$2:$H$32,4,FALSE)))</f>
        <v/>
      </c>
      <c r="H9" s="67">
        <f>IF($B9="",0,IF(LEFT($B9,1)="━",0,$C9*VLOOKUP($B9,'4. CÀI ĐẶT'!$A$2:$H$32,5,FALSE)))</f>
        <v/>
      </c>
      <c r="I9">
        <f>IF($B9="","",IF(LEFT($B9,1)="━","",VLOOKUP($B9,'4. CÀI ĐẶT'!$A$2:$H$32,6,FALSE)))</f>
        <v/>
      </c>
      <c r="J9" s="13">
        <f>IF($A9="","",EOMONTH($A9,0))</f>
        <v/>
      </c>
      <c r="K9" s="67">
        <f>IF($B9="",0,IF(LEFT($B9,1)="━",0,$C9*VLOOKUP($B9,'4. CÀI ĐẶT'!$A$2:$H$32,7,FALSE)))</f>
        <v/>
      </c>
    </row>
    <row r="10">
      <c r="A10" s="8">
        <f>MIN(DATE(YEAR(TODAY()),MONTH(TODAY()),8),TODAY())</f>
        <v/>
      </c>
      <c r="B10" s="9" t="inlineStr">
        <is>
          <t>🧴 Mỹ phẩm · vật tư cho khách</t>
        </is>
      </c>
      <c r="C10" s="65" t="n">
        <v>12000000</v>
      </c>
      <c r="D10" s="9" t="inlineStr">
        <is>
          <t>Nhập mỹ phẩm</t>
        </is>
      </c>
      <c r="E10" s="66">
        <f>IF($B10="","",IF(LEFT($B10,1)="━","⚠️ Chọn hạng mục cụ thể",$C10*VLOOKUP($B10,'4. CÀI ĐẶT'!$A$2:$H$32,2,FALSE)))</f>
        <v/>
      </c>
      <c r="F10" s="67">
        <f>IF($B10="",0,IF(LEFT($B10,1)="━",0,$C10*VLOOKUP($B10,'4. CÀI ĐẶT'!$A$2:$H$32,3,FALSE)))</f>
        <v/>
      </c>
      <c r="G10" s="67">
        <f>IF($B10="",0,IF(LEFT($B10,1)="━",0,$C10*VLOOKUP($B10,'4. CÀI ĐẶT'!$A$2:$H$32,4,FALSE)))</f>
        <v/>
      </c>
      <c r="H10" s="67">
        <f>IF($B10="",0,IF(LEFT($B10,1)="━",0,$C10*VLOOKUP($B10,'4. CÀI ĐẶT'!$A$2:$H$32,5,FALSE)))</f>
        <v/>
      </c>
      <c r="I10">
        <f>IF($B10="","",IF(LEFT($B10,1)="━","",VLOOKUP($B10,'4. CÀI ĐẶT'!$A$2:$H$32,6,FALSE)))</f>
        <v/>
      </c>
      <c r="J10" s="13">
        <f>IF($A10="","",EOMONTH($A10,0))</f>
        <v/>
      </c>
      <c r="K10" s="67">
        <f>IF($B10="",0,IF(LEFT($B10,1)="━",0,$C10*VLOOKUP($B10,'4. CÀI ĐẶT'!$A$2:$H$32,7,FALSE)))</f>
        <v/>
      </c>
    </row>
    <row r="11">
      <c r="A11" s="8">
        <f>MIN(DATE(YEAR(TODAY()),MONTH(TODAY()),10),TODAY())</f>
        <v/>
      </c>
      <c r="B11" s="9" t="inlineStr">
        <is>
          <t>🎟️ Bán gói trả trước</t>
        </is>
      </c>
      <c r="C11" s="65" t="n">
        <v>60000000</v>
      </c>
      <c r="D11" s="9" t="inlineStr">
        <is>
          <t>Ưu đãi</t>
        </is>
      </c>
      <c r="E11" s="66">
        <f>IF($B11="","",IF(LEFT($B11,1)="━","⚠️ Chọn hạng mục cụ thể",$C11*VLOOKUP($B11,'4. CÀI ĐẶT'!$A$2:$H$32,2,FALSE)))</f>
        <v/>
      </c>
      <c r="F11" s="67">
        <f>IF($B11="",0,IF(LEFT($B11,1)="━",0,$C11*VLOOKUP($B11,'4. CÀI ĐẶT'!$A$2:$H$32,3,FALSE)))</f>
        <v/>
      </c>
      <c r="G11" s="67">
        <f>IF($B11="",0,IF(LEFT($B11,1)="━",0,$C11*VLOOKUP($B11,'4. CÀI ĐẶT'!$A$2:$H$32,4,FALSE)))</f>
        <v/>
      </c>
      <c r="H11" s="67">
        <f>IF($B11="",0,IF(LEFT($B11,1)="━",0,$C11*VLOOKUP($B11,'4. CÀI ĐẶT'!$A$2:$H$32,5,FALSE)))</f>
        <v/>
      </c>
      <c r="I11">
        <f>IF($B11="","",IF(LEFT($B11,1)="━","",VLOOKUP($B11,'4. CÀI ĐẶT'!$A$2:$H$32,6,FALSE)))</f>
        <v/>
      </c>
      <c r="J11" s="13">
        <f>IF($A11="","",EOMONTH($A11,0))</f>
        <v/>
      </c>
      <c r="K11" s="67">
        <f>IF($B11="",0,IF(LEFT($B11,1)="━",0,$C11*VLOOKUP($B11,'4. CÀI ĐẶT'!$A$2:$H$32,7,FALSE)))</f>
        <v/>
      </c>
    </row>
    <row r="12">
      <c r="A12" s="8">
        <f>MIN(DATE(YEAR(TODAY()),MONTH(TODAY()),12),TODAY())</f>
        <v/>
      </c>
      <c r="B12" s="9" t="inlineStr">
        <is>
          <t>💡 Điện · nước · internet</t>
        </is>
      </c>
      <c r="C12" s="65" t="n">
        <v>6000000</v>
      </c>
      <c r="D12" s="9" t="inlineStr"/>
      <c r="E12" s="66">
        <f>IF($B12="","",IF(LEFT($B12,1)="━","⚠️ Chọn hạng mục cụ thể",$C12*VLOOKUP($B12,'4. CÀI ĐẶT'!$A$2:$H$32,2,FALSE)))</f>
        <v/>
      </c>
      <c r="F12" s="67">
        <f>IF($B12="",0,IF(LEFT($B12,1)="━",0,$C12*VLOOKUP($B12,'4. CÀI ĐẶT'!$A$2:$H$32,3,FALSE)))</f>
        <v/>
      </c>
      <c r="G12" s="67">
        <f>IF($B12="",0,IF(LEFT($B12,1)="━",0,$C12*VLOOKUP($B12,'4. CÀI ĐẶT'!$A$2:$H$32,4,FALSE)))</f>
        <v/>
      </c>
      <c r="H12" s="67">
        <f>IF($B12="",0,IF(LEFT($B12,1)="━",0,$C12*VLOOKUP($B12,'4. CÀI ĐẶT'!$A$2:$H$32,5,FALSE)))</f>
        <v/>
      </c>
      <c r="I12">
        <f>IF($B12="","",IF(LEFT($B12,1)="━","",VLOOKUP($B12,'4. CÀI ĐẶT'!$A$2:$H$32,6,FALSE)))</f>
        <v/>
      </c>
      <c r="J12" s="13">
        <f>IF($A12="","",EOMONTH($A12,0))</f>
        <v/>
      </c>
      <c r="K12" s="67">
        <f>IF($B12="",0,IF(LEFT($B12,1)="━",0,$C12*VLOOKUP($B12,'4. CÀI ĐẶT'!$A$2:$H$32,7,FALSE)))</f>
        <v/>
      </c>
    </row>
    <row r="13">
      <c r="A13" s="8">
        <f>MIN(DATE(YEAR(TODAY()),MONTH(TODAY()),13),TODAY())</f>
        <v/>
      </c>
      <c r="B13" s="9" t="inlineStr">
        <is>
          <t>📣 Quảng cáo · marketing</t>
        </is>
      </c>
      <c r="C13" s="65" t="n">
        <v>15000000</v>
      </c>
      <c r="D13" s="9" t="inlineStr">
        <is>
          <t>Ads Facebook</t>
        </is>
      </c>
      <c r="E13" s="66">
        <f>IF($B13="","",IF(LEFT($B13,1)="━","⚠️ Chọn hạng mục cụ thể",$C13*VLOOKUP($B13,'4. CÀI ĐẶT'!$A$2:$H$32,2,FALSE)))</f>
        <v/>
      </c>
      <c r="F13" s="67">
        <f>IF($B13="",0,IF(LEFT($B13,1)="━",0,$C13*VLOOKUP($B13,'4. CÀI ĐẶT'!$A$2:$H$32,3,FALSE)))</f>
        <v/>
      </c>
      <c r="G13" s="67">
        <f>IF($B13="",0,IF(LEFT($B13,1)="━",0,$C13*VLOOKUP($B13,'4. CÀI ĐẶT'!$A$2:$H$32,4,FALSE)))</f>
        <v/>
      </c>
      <c r="H13" s="67">
        <f>IF($B13="",0,IF(LEFT($B13,1)="━",0,$C13*VLOOKUP($B13,'4. CÀI ĐẶT'!$A$2:$H$32,5,FALSE)))</f>
        <v/>
      </c>
      <c r="I13">
        <f>IF($B13="","",IF(LEFT($B13,1)="━","",VLOOKUP($B13,'4. CÀI ĐẶT'!$A$2:$H$32,6,FALSE)))</f>
        <v/>
      </c>
      <c r="J13" s="13">
        <f>IF($A13="","",EOMONTH($A13,0))</f>
        <v/>
      </c>
      <c r="K13" s="67">
        <f>IF($B13="",0,IF(LEFT($B13,1)="━",0,$C13*VLOOKUP($B13,'4. CÀI ĐẶT'!$A$2:$H$32,7,FALSE)))</f>
        <v/>
      </c>
    </row>
    <row r="14">
      <c r="A14" s="8">
        <f>MIN(DATE(YEAR(TODAY()),MONTH(TODAY()),14),TODAY())</f>
        <v/>
      </c>
      <c r="B14" s="9" t="inlineStr">
        <is>
          <t>✅ Giá trị dịch vụ gói đã làm trong tuần</t>
        </is>
      </c>
      <c r="C14" s="65" t="n">
        <v>17000000</v>
      </c>
      <c r="D14" s="9" t="inlineStr">
        <is>
          <t>Tuần 2: buổi gói đã làm</t>
        </is>
      </c>
      <c r="E14" s="66">
        <f>IF($B14="","",IF(LEFT($B14,1)="━","⚠️ Chọn hạng mục cụ thể",$C14*VLOOKUP($B14,'4. CÀI ĐẶT'!$A$2:$H$32,2,FALSE)))</f>
        <v/>
      </c>
      <c r="F14" s="67">
        <f>IF($B14="",0,IF(LEFT($B14,1)="━",0,$C14*VLOOKUP($B14,'4. CÀI ĐẶT'!$A$2:$H$32,3,FALSE)))</f>
        <v/>
      </c>
      <c r="G14" s="67">
        <f>IF($B14="",0,IF(LEFT($B14,1)="━",0,$C14*VLOOKUP($B14,'4. CÀI ĐẶT'!$A$2:$H$32,4,FALSE)))</f>
        <v/>
      </c>
      <c r="H14" s="67">
        <f>IF($B14="",0,IF(LEFT($B14,1)="━",0,$C14*VLOOKUP($B14,'4. CÀI ĐẶT'!$A$2:$H$32,5,FALSE)))</f>
        <v/>
      </c>
      <c r="I14">
        <f>IF($B14="","",IF(LEFT($B14,1)="━","",VLOOKUP($B14,'4. CÀI ĐẶT'!$A$2:$H$32,6,FALSE)))</f>
        <v/>
      </c>
      <c r="J14" s="13">
        <f>IF($A14="","",EOMONTH($A14,0))</f>
        <v/>
      </c>
      <c r="K14" s="67">
        <f>IF($B14="",0,IF(LEFT($B14,1)="━",0,$C14*VLOOKUP($B14,'4. CÀI ĐẶT'!$A$2:$H$32,7,FALSE)))</f>
        <v/>
      </c>
    </row>
    <row r="15">
      <c r="A15" s="8">
        <f>MIN(DATE(YEAR(TODAY()),MONTH(TODAY()),15),TODAY())</f>
        <v/>
      </c>
      <c r="B15" s="9" t="inlineStr">
        <is>
          <t>👩 Lương cứng nhân viên</t>
        </is>
      </c>
      <c r="C15" s="65" t="n">
        <v>45000000</v>
      </c>
      <c r="D15" s="9" t="inlineStr">
        <is>
          <t>Lương 5 bạn</t>
        </is>
      </c>
      <c r="E15" s="66">
        <f>IF($B15="","",IF(LEFT($B15,1)="━","⚠️ Chọn hạng mục cụ thể",$C15*VLOOKUP($B15,'4. CÀI ĐẶT'!$A$2:$H$32,2,FALSE)))</f>
        <v/>
      </c>
      <c r="F15" s="67">
        <f>IF($B15="",0,IF(LEFT($B15,1)="━",0,$C15*VLOOKUP($B15,'4. CÀI ĐẶT'!$A$2:$H$32,3,FALSE)))</f>
        <v/>
      </c>
      <c r="G15" s="67">
        <f>IF($B15="",0,IF(LEFT($B15,1)="━",0,$C15*VLOOKUP($B15,'4. CÀI ĐẶT'!$A$2:$H$32,4,FALSE)))</f>
        <v/>
      </c>
      <c r="H15" s="67">
        <f>IF($B15="",0,IF(LEFT($B15,1)="━",0,$C15*VLOOKUP($B15,'4. CÀI ĐẶT'!$A$2:$H$32,5,FALSE)))</f>
        <v/>
      </c>
      <c r="I15">
        <f>IF($B15="","",IF(LEFT($B15,1)="━","",VLOOKUP($B15,'4. CÀI ĐẶT'!$A$2:$H$32,6,FALSE)))</f>
        <v/>
      </c>
      <c r="J15" s="13">
        <f>IF($A15="","",EOMONTH($A15,0))</f>
        <v/>
      </c>
      <c r="K15" s="67">
        <f>IF($B15="",0,IF(LEFT($B15,1)="━",0,$C15*VLOOKUP($B15,'4. CÀI ĐẶT'!$A$2:$H$32,7,FALSE)))</f>
        <v/>
      </c>
    </row>
    <row r="16">
      <c r="A16" s="8">
        <f>MIN(DATE(YEAR(TODAY()),MONTH(TODAY()),16),TODAY())</f>
        <v/>
      </c>
      <c r="B16" s="9" t="inlineStr">
        <is>
          <t>💰 Khách lẻ trả tiền ngay</t>
        </is>
      </c>
      <c r="C16" s="65" t="n">
        <v>18000000</v>
      </c>
      <c r="D16" s="9" t="inlineStr">
        <is>
          <t>Khách lẻ tuần 2</t>
        </is>
      </c>
      <c r="E16" s="66">
        <f>IF($B16="","",IF(LEFT($B16,1)="━","⚠️ Chọn hạng mục cụ thể",$C16*VLOOKUP($B16,'4. CÀI ĐẶT'!$A$2:$H$32,2,FALSE)))</f>
        <v/>
      </c>
      <c r="F16" s="67">
        <f>IF($B16="",0,IF(LEFT($B16,1)="━",0,$C16*VLOOKUP($B16,'4. CÀI ĐẶT'!$A$2:$H$32,3,FALSE)))</f>
        <v/>
      </c>
      <c r="G16" s="67">
        <f>IF($B16="",0,IF(LEFT($B16,1)="━",0,$C16*VLOOKUP($B16,'4. CÀI ĐẶT'!$A$2:$H$32,4,FALSE)))</f>
        <v/>
      </c>
      <c r="H16" s="67">
        <f>IF($B16="",0,IF(LEFT($B16,1)="━",0,$C16*VLOOKUP($B16,'4. CÀI ĐẶT'!$A$2:$H$32,5,FALSE)))</f>
        <v/>
      </c>
      <c r="I16">
        <f>IF($B16="","",IF(LEFT($B16,1)="━","",VLOOKUP($B16,'4. CÀI ĐẶT'!$A$2:$H$32,6,FALSE)))</f>
        <v/>
      </c>
      <c r="J16" s="13">
        <f>IF($A16="","",EOMONTH($A16,0))</f>
        <v/>
      </c>
      <c r="K16" s="67">
        <f>IF($B16="",0,IF(LEFT($B16,1)="━",0,$C16*VLOOKUP($B16,'4. CÀI ĐẶT'!$A$2:$H$32,7,FALSE)))</f>
        <v/>
      </c>
    </row>
    <row r="17">
      <c r="A17" s="8">
        <f>MIN(DATE(YEAR(TODAY()),MONTH(TODAY()),18),TODAY())</f>
        <v/>
      </c>
      <c r="B17" s="9" t="inlineStr">
        <is>
          <t>💵 Hoa hồng · thưởng theo doanh số</t>
        </is>
      </c>
      <c r="C17" s="65" t="n">
        <v>8000000</v>
      </c>
      <c r="D17" s="9" t="inlineStr"/>
      <c r="E17" s="66">
        <f>IF($B17="","",IF(LEFT($B17,1)="━","⚠️ Chọn hạng mục cụ thể",$C17*VLOOKUP($B17,'4. CÀI ĐẶT'!$A$2:$H$32,2,FALSE)))</f>
        <v/>
      </c>
      <c r="F17" s="67">
        <f>IF($B17="",0,IF(LEFT($B17,1)="━",0,$C17*VLOOKUP($B17,'4. CÀI ĐẶT'!$A$2:$H$32,3,FALSE)))</f>
        <v/>
      </c>
      <c r="G17" s="67">
        <f>IF($B17="",0,IF(LEFT($B17,1)="━",0,$C17*VLOOKUP($B17,'4. CÀI ĐẶT'!$A$2:$H$32,4,FALSE)))</f>
        <v/>
      </c>
      <c r="H17" s="67">
        <f>IF($B17="",0,IF(LEFT($B17,1)="━",0,$C17*VLOOKUP($B17,'4. CÀI ĐẶT'!$A$2:$H$32,5,FALSE)))</f>
        <v/>
      </c>
      <c r="I17">
        <f>IF($B17="","",IF(LEFT($B17,1)="━","",VLOOKUP($B17,'4. CÀI ĐẶT'!$A$2:$H$32,6,FALSE)))</f>
        <v/>
      </c>
      <c r="J17" s="13">
        <f>IF($A17="","",EOMONTH($A17,0))</f>
        <v/>
      </c>
      <c r="K17" s="67">
        <f>IF($B17="",0,IF(LEFT($B17,1)="━",0,$C17*VLOOKUP($B17,'4. CÀI ĐẶT'!$A$2:$H$32,7,FALSE)))</f>
        <v/>
      </c>
    </row>
    <row r="18">
      <c r="A18" s="8">
        <f>MIN(DATE(YEAR(TODAY()),MONTH(TODAY()),20),TODAY())</f>
        <v/>
      </c>
      <c r="B18" s="9" t="inlineStr">
        <is>
          <t>👑 Chủ rút tiền tiêu riêng</t>
        </is>
      </c>
      <c r="C18" s="65" t="n">
        <v>20000000</v>
      </c>
      <c r="D18" s="9" t="inlineStr">
        <is>
          <t>Chi tiêu gia đình</t>
        </is>
      </c>
      <c r="E18" s="66">
        <f>IF($B18="","",IF(LEFT($B18,1)="━","⚠️ Chọn hạng mục cụ thể",$C18*VLOOKUP($B18,'4. CÀI ĐẶT'!$A$2:$H$32,2,FALSE)))</f>
        <v/>
      </c>
      <c r="F18" s="67">
        <f>IF($B18="",0,IF(LEFT($B18,1)="━",0,$C18*VLOOKUP($B18,'4. CÀI ĐẶT'!$A$2:$H$32,3,FALSE)))</f>
        <v/>
      </c>
      <c r="G18" s="67">
        <f>IF($B18="",0,IF(LEFT($B18,1)="━",0,$C18*VLOOKUP($B18,'4. CÀI ĐẶT'!$A$2:$H$32,4,FALSE)))</f>
        <v/>
      </c>
      <c r="H18" s="67">
        <f>IF($B18="",0,IF(LEFT($B18,1)="━",0,$C18*VLOOKUP($B18,'4. CÀI ĐẶT'!$A$2:$H$32,5,FALSE)))</f>
        <v/>
      </c>
      <c r="I18">
        <f>IF($B18="","",IF(LEFT($B18,1)="━","",VLOOKUP($B18,'4. CÀI ĐẶT'!$A$2:$H$32,6,FALSE)))</f>
        <v/>
      </c>
      <c r="J18" s="13">
        <f>IF($A18="","",EOMONTH($A18,0))</f>
        <v/>
      </c>
      <c r="K18" s="67">
        <f>IF($B18="",0,IF(LEFT($B18,1)="━",0,$C18*VLOOKUP($B18,'4. CÀI ĐẶT'!$A$2:$H$32,7,FALSE)))</f>
        <v/>
      </c>
    </row>
    <row r="19">
      <c r="A19" s="8">
        <f>MIN(DATE(YEAR(TODAY()),MONTH(TODAY()),20),TODAY())</f>
        <v/>
      </c>
      <c r="B19" s="9" t="inlineStr">
        <is>
          <t>🪑 Mua máy móc · đầu tư lớn</t>
        </is>
      </c>
      <c r="C19" s="65" t="n">
        <v>60000000</v>
      </c>
      <c r="D19" s="9" t="inlineStr">
        <is>
          <t>Máy triệt lông</t>
        </is>
      </c>
      <c r="E19" s="66">
        <f>IF($B19="","",IF(LEFT($B19,1)="━","⚠️ Chọn hạng mục cụ thể",$C19*VLOOKUP($B19,'4. CÀI ĐẶT'!$A$2:$H$32,2,FALSE)))</f>
        <v/>
      </c>
      <c r="F19" s="67">
        <f>IF($B19="",0,IF(LEFT($B19,1)="━",0,$C19*VLOOKUP($B19,'4. CÀI ĐẶT'!$A$2:$H$32,3,FALSE)))</f>
        <v/>
      </c>
      <c r="G19" s="67">
        <f>IF($B19="",0,IF(LEFT($B19,1)="━",0,$C19*VLOOKUP($B19,'4. CÀI ĐẶT'!$A$2:$H$32,4,FALSE)))</f>
        <v/>
      </c>
      <c r="H19" s="67">
        <f>IF($B19="",0,IF(LEFT($B19,1)="━",0,$C19*VLOOKUP($B19,'4. CÀI ĐẶT'!$A$2:$H$32,5,FALSE)))</f>
        <v/>
      </c>
      <c r="I19">
        <f>IF($B19="","",IF(LEFT($B19,1)="━","",VLOOKUP($B19,'4. CÀI ĐẶT'!$A$2:$H$32,6,FALSE)))</f>
        <v/>
      </c>
      <c r="J19" s="13">
        <f>IF($A19="","",EOMONTH($A19,0))</f>
        <v/>
      </c>
      <c r="K19" s="67">
        <f>IF($B19="",0,IF(LEFT($B19,1)="━",0,$C19*VLOOKUP($B19,'4. CÀI ĐẶT'!$A$2:$H$32,7,FALSE)))</f>
        <v/>
      </c>
    </row>
    <row r="20">
      <c r="A20" s="8" t="n"/>
      <c r="B20" s="9" t="n"/>
      <c r="C20" s="65" t="n"/>
      <c r="D20" s="9" t="n"/>
      <c r="E20" s="66">
        <f>IF($B20="","",IF(LEFT($B20,1)="━","⚠️ Chọn hạng mục cụ thể",$C20*VLOOKUP($B20,'4. CÀI ĐẶT'!$A$2:$H$32,2,FALSE)))</f>
        <v/>
      </c>
      <c r="F20" s="67">
        <f>IF($B20="",0,IF(LEFT($B20,1)="━",0,$C20*VLOOKUP($B20,'4. CÀI ĐẶT'!$A$2:$H$32,3,FALSE)))</f>
        <v/>
      </c>
      <c r="G20" s="67">
        <f>IF($B20="",0,IF(LEFT($B20,1)="━",0,$C20*VLOOKUP($B20,'4. CÀI ĐẶT'!$A$2:$H$32,4,FALSE)))</f>
        <v/>
      </c>
      <c r="H20" s="67">
        <f>IF($B20="",0,IF(LEFT($B20,1)="━",0,$C20*VLOOKUP($B20,'4. CÀI ĐẶT'!$A$2:$H$32,5,FALSE)))</f>
        <v/>
      </c>
      <c r="I20">
        <f>IF($B20="","",IF(LEFT($B20,1)="━","",VLOOKUP($B20,'4. CÀI ĐẶT'!$A$2:$H$32,6,FALSE)))</f>
        <v/>
      </c>
      <c r="J20" s="13">
        <f>IF($A20="","",EOMONTH($A20,0))</f>
        <v/>
      </c>
      <c r="K20" s="67">
        <f>IF($B20="",0,IF(LEFT($B20,1)="━",0,$C20*VLOOKUP($B20,'4. CÀI ĐẶT'!$A$2:$H$32,7,FALSE)))</f>
        <v/>
      </c>
    </row>
    <row r="21">
      <c r="A21" s="8" t="n"/>
      <c r="B21" s="9" t="n"/>
      <c r="C21" s="65" t="n"/>
      <c r="D21" s="9" t="n"/>
      <c r="E21" s="66">
        <f>IF($B21="","",IF(LEFT($B21,1)="━","⚠️ Chọn hạng mục cụ thể",$C21*VLOOKUP($B21,'4. CÀI ĐẶT'!$A$2:$H$32,2,FALSE)))</f>
        <v/>
      </c>
      <c r="F21" s="67">
        <f>IF($B21="",0,IF(LEFT($B21,1)="━",0,$C21*VLOOKUP($B21,'4. CÀI ĐẶT'!$A$2:$H$32,3,FALSE)))</f>
        <v/>
      </c>
      <c r="G21" s="67">
        <f>IF($B21="",0,IF(LEFT($B21,1)="━",0,$C21*VLOOKUP($B21,'4. CÀI ĐẶT'!$A$2:$H$32,4,FALSE)))</f>
        <v/>
      </c>
      <c r="H21" s="67">
        <f>IF($B21="",0,IF(LEFT($B21,1)="━",0,$C21*VLOOKUP($B21,'4. CÀI ĐẶT'!$A$2:$H$32,5,FALSE)))</f>
        <v/>
      </c>
      <c r="I21">
        <f>IF($B21="","",IF(LEFT($B21,1)="━","",VLOOKUP($B21,'4. CÀI ĐẶT'!$A$2:$H$32,6,FALSE)))</f>
        <v/>
      </c>
      <c r="J21" s="13">
        <f>IF($A21="","",EOMONTH($A21,0))</f>
        <v/>
      </c>
      <c r="K21" s="67">
        <f>IF($B21="",0,IF(LEFT($B21,1)="━",0,$C21*VLOOKUP($B21,'4. CÀI ĐẶT'!$A$2:$H$32,7,FALSE)))</f>
        <v/>
      </c>
    </row>
    <row r="22">
      <c r="A22" s="8" t="n"/>
      <c r="B22" s="9" t="n"/>
      <c r="C22" s="65" t="n"/>
      <c r="D22" s="9" t="n"/>
      <c r="E22" s="66">
        <f>IF($B22="","",IF(LEFT($B22,1)="━","⚠️ Chọn hạng mục cụ thể",$C22*VLOOKUP($B22,'4. CÀI ĐẶT'!$A$2:$H$32,2,FALSE)))</f>
        <v/>
      </c>
      <c r="F22" s="67">
        <f>IF($B22="",0,IF(LEFT($B22,1)="━",0,$C22*VLOOKUP($B22,'4. CÀI ĐẶT'!$A$2:$H$32,3,FALSE)))</f>
        <v/>
      </c>
      <c r="G22" s="67">
        <f>IF($B22="",0,IF(LEFT($B22,1)="━",0,$C22*VLOOKUP($B22,'4. CÀI ĐẶT'!$A$2:$H$32,4,FALSE)))</f>
        <v/>
      </c>
      <c r="H22" s="67">
        <f>IF($B22="",0,IF(LEFT($B22,1)="━",0,$C22*VLOOKUP($B22,'4. CÀI ĐẶT'!$A$2:$H$32,5,FALSE)))</f>
        <v/>
      </c>
      <c r="I22">
        <f>IF($B22="","",IF(LEFT($B22,1)="━","",VLOOKUP($B22,'4. CÀI ĐẶT'!$A$2:$H$32,6,FALSE)))</f>
        <v/>
      </c>
      <c r="J22" s="13">
        <f>IF($A22="","",EOMONTH($A22,0))</f>
        <v/>
      </c>
      <c r="K22" s="67">
        <f>IF($B22="",0,IF(LEFT($B22,1)="━",0,$C22*VLOOKUP($B22,'4. CÀI ĐẶT'!$A$2:$H$32,7,FALSE)))</f>
        <v/>
      </c>
    </row>
    <row r="23">
      <c r="A23" s="8" t="n"/>
      <c r="B23" s="9" t="n"/>
      <c r="C23" s="65" t="n"/>
      <c r="D23" s="9" t="n"/>
      <c r="E23" s="66">
        <f>IF($B23="","",IF(LEFT($B23,1)="━","⚠️ Chọn hạng mục cụ thể",$C23*VLOOKUP($B23,'4. CÀI ĐẶT'!$A$2:$H$32,2,FALSE)))</f>
        <v/>
      </c>
      <c r="F23" s="67">
        <f>IF($B23="",0,IF(LEFT($B23,1)="━",0,$C23*VLOOKUP($B23,'4. CÀI ĐẶT'!$A$2:$H$32,3,FALSE)))</f>
        <v/>
      </c>
      <c r="G23" s="67">
        <f>IF($B23="",0,IF(LEFT($B23,1)="━",0,$C23*VLOOKUP($B23,'4. CÀI ĐẶT'!$A$2:$H$32,4,FALSE)))</f>
        <v/>
      </c>
      <c r="H23" s="67">
        <f>IF($B23="",0,IF(LEFT($B23,1)="━",0,$C23*VLOOKUP($B23,'4. CÀI ĐẶT'!$A$2:$H$32,5,FALSE)))</f>
        <v/>
      </c>
      <c r="I23">
        <f>IF($B23="","",IF(LEFT($B23,1)="━","",VLOOKUP($B23,'4. CÀI ĐẶT'!$A$2:$H$32,6,FALSE)))</f>
        <v/>
      </c>
      <c r="J23" s="13">
        <f>IF($A23="","",EOMONTH($A23,0))</f>
        <v/>
      </c>
      <c r="K23" s="67">
        <f>IF($B23="",0,IF(LEFT($B23,1)="━",0,$C23*VLOOKUP($B23,'4. CÀI ĐẶT'!$A$2:$H$32,7,FALSE)))</f>
        <v/>
      </c>
    </row>
    <row r="24">
      <c r="A24" s="8" t="n"/>
      <c r="B24" s="9" t="n"/>
      <c r="C24" s="65" t="n"/>
      <c r="D24" s="9" t="n"/>
      <c r="E24" s="66">
        <f>IF($B24="","",IF(LEFT($B24,1)="━","⚠️ Chọn hạng mục cụ thể",$C24*VLOOKUP($B24,'4. CÀI ĐẶT'!$A$2:$H$32,2,FALSE)))</f>
        <v/>
      </c>
      <c r="F24" s="67">
        <f>IF($B24="",0,IF(LEFT($B24,1)="━",0,$C24*VLOOKUP($B24,'4. CÀI ĐẶT'!$A$2:$H$32,3,FALSE)))</f>
        <v/>
      </c>
      <c r="G24" s="67">
        <f>IF($B24="",0,IF(LEFT($B24,1)="━",0,$C24*VLOOKUP($B24,'4. CÀI ĐẶT'!$A$2:$H$32,4,FALSE)))</f>
        <v/>
      </c>
      <c r="H24" s="67">
        <f>IF($B24="",0,IF(LEFT($B24,1)="━",0,$C24*VLOOKUP($B24,'4. CÀI ĐẶT'!$A$2:$H$32,5,FALSE)))</f>
        <v/>
      </c>
      <c r="I24">
        <f>IF($B24="","",IF(LEFT($B24,1)="━","",VLOOKUP($B24,'4. CÀI ĐẶT'!$A$2:$H$32,6,FALSE)))</f>
        <v/>
      </c>
      <c r="J24" s="13">
        <f>IF($A24="","",EOMONTH($A24,0))</f>
        <v/>
      </c>
      <c r="K24" s="67">
        <f>IF($B24="",0,IF(LEFT($B24,1)="━",0,$C24*VLOOKUP($B24,'4. CÀI ĐẶT'!$A$2:$H$32,7,FALSE)))</f>
        <v/>
      </c>
    </row>
    <row r="25">
      <c r="A25" s="8" t="n"/>
      <c r="B25" s="9" t="n"/>
      <c r="C25" s="65" t="n"/>
      <c r="D25" s="9" t="n"/>
      <c r="E25" s="66">
        <f>IF($B25="","",IF(LEFT($B25,1)="━","⚠️ Chọn hạng mục cụ thể",$C25*VLOOKUP($B25,'4. CÀI ĐẶT'!$A$2:$H$32,2,FALSE)))</f>
        <v/>
      </c>
      <c r="F25" s="67">
        <f>IF($B25="",0,IF(LEFT($B25,1)="━",0,$C25*VLOOKUP($B25,'4. CÀI ĐẶT'!$A$2:$H$32,3,FALSE)))</f>
        <v/>
      </c>
      <c r="G25" s="67">
        <f>IF($B25="",0,IF(LEFT($B25,1)="━",0,$C25*VLOOKUP($B25,'4. CÀI ĐẶT'!$A$2:$H$32,4,FALSE)))</f>
        <v/>
      </c>
      <c r="H25" s="67">
        <f>IF($B25="",0,IF(LEFT($B25,1)="━",0,$C25*VLOOKUP($B25,'4. CÀI ĐẶT'!$A$2:$H$32,5,FALSE)))</f>
        <v/>
      </c>
      <c r="I25">
        <f>IF($B25="","",IF(LEFT($B25,1)="━","",VLOOKUP($B25,'4. CÀI ĐẶT'!$A$2:$H$32,6,FALSE)))</f>
        <v/>
      </c>
      <c r="J25" s="13">
        <f>IF($A25="","",EOMONTH($A25,0))</f>
        <v/>
      </c>
      <c r="K25" s="67">
        <f>IF($B25="",0,IF(LEFT($B25,1)="━",0,$C25*VLOOKUP($B25,'4. CÀI ĐẶT'!$A$2:$H$32,7,FALSE)))</f>
        <v/>
      </c>
    </row>
    <row r="26">
      <c r="A26" s="8" t="n"/>
      <c r="B26" s="9" t="n"/>
      <c r="C26" s="65" t="n"/>
      <c r="D26" s="9" t="n"/>
      <c r="E26" s="66">
        <f>IF($B26="","",IF(LEFT($B26,1)="━","⚠️ Chọn hạng mục cụ thể",$C26*VLOOKUP($B26,'4. CÀI ĐẶT'!$A$2:$H$32,2,FALSE)))</f>
        <v/>
      </c>
      <c r="F26" s="67">
        <f>IF($B26="",0,IF(LEFT($B26,1)="━",0,$C26*VLOOKUP($B26,'4. CÀI ĐẶT'!$A$2:$H$32,3,FALSE)))</f>
        <v/>
      </c>
      <c r="G26" s="67">
        <f>IF($B26="",0,IF(LEFT($B26,1)="━",0,$C26*VLOOKUP($B26,'4. CÀI ĐẶT'!$A$2:$H$32,4,FALSE)))</f>
        <v/>
      </c>
      <c r="H26" s="67">
        <f>IF($B26="",0,IF(LEFT($B26,1)="━",0,$C26*VLOOKUP($B26,'4. CÀI ĐẶT'!$A$2:$H$32,5,FALSE)))</f>
        <v/>
      </c>
      <c r="I26">
        <f>IF($B26="","",IF(LEFT($B26,1)="━","",VLOOKUP($B26,'4. CÀI ĐẶT'!$A$2:$H$32,6,FALSE)))</f>
        <v/>
      </c>
      <c r="J26" s="13">
        <f>IF($A26="","",EOMONTH($A26,0))</f>
        <v/>
      </c>
      <c r="K26" s="67">
        <f>IF($B26="",0,IF(LEFT($B26,1)="━",0,$C26*VLOOKUP($B26,'4. CÀI ĐẶT'!$A$2:$H$32,7,FALSE)))</f>
        <v/>
      </c>
    </row>
    <row r="27">
      <c r="A27" s="8" t="n"/>
      <c r="B27" s="9" t="n"/>
      <c r="C27" s="65" t="n"/>
      <c r="D27" s="9" t="n"/>
      <c r="E27" s="66">
        <f>IF($B27="","",IF(LEFT($B27,1)="━","⚠️ Chọn hạng mục cụ thể",$C27*VLOOKUP($B27,'4. CÀI ĐẶT'!$A$2:$H$32,2,FALSE)))</f>
        <v/>
      </c>
      <c r="F27" s="67">
        <f>IF($B27="",0,IF(LEFT($B27,1)="━",0,$C27*VLOOKUP($B27,'4. CÀI ĐẶT'!$A$2:$H$32,3,FALSE)))</f>
        <v/>
      </c>
      <c r="G27" s="67">
        <f>IF($B27="",0,IF(LEFT($B27,1)="━",0,$C27*VLOOKUP($B27,'4. CÀI ĐẶT'!$A$2:$H$32,4,FALSE)))</f>
        <v/>
      </c>
      <c r="H27" s="67">
        <f>IF($B27="",0,IF(LEFT($B27,1)="━",0,$C27*VLOOKUP($B27,'4. CÀI ĐẶT'!$A$2:$H$32,5,FALSE)))</f>
        <v/>
      </c>
      <c r="I27">
        <f>IF($B27="","",IF(LEFT($B27,1)="━","",VLOOKUP($B27,'4. CÀI ĐẶT'!$A$2:$H$32,6,FALSE)))</f>
        <v/>
      </c>
      <c r="J27" s="13">
        <f>IF($A27="","",EOMONTH($A27,0))</f>
        <v/>
      </c>
      <c r="K27" s="67">
        <f>IF($B27="",0,IF(LEFT($B27,1)="━",0,$C27*VLOOKUP($B27,'4. CÀI ĐẶT'!$A$2:$H$32,7,FALSE)))</f>
        <v/>
      </c>
    </row>
    <row r="28">
      <c r="A28" s="8" t="n"/>
      <c r="B28" s="9" t="n"/>
      <c r="C28" s="65" t="n"/>
      <c r="D28" s="9" t="n"/>
      <c r="E28" s="66">
        <f>IF($B28="","",IF(LEFT($B28,1)="━","⚠️ Chọn hạng mục cụ thể",$C28*VLOOKUP($B28,'4. CÀI ĐẶT'!$A$2:$H$32,2,FALSE)))</f>
        <v/>
      </c>
      <c r="F28" s="67">
        <f>IF($B28="",0,IF(LEFT($B28,1)="━",0,$C28*VLOOKUP($B28,'4. CÀI ĐẶT'!$A$2:$H$32,3,FALSE)))</f>
        <v/>
      </c>
      <c r="G28" s="67">
        <f>IF($B28="",0,IF(LEFT($B28,1)="━",0,$C28*VLOOKUP($B28,'4. CÀI ĐẶT'!$A$2:$H$32,4,FALSE)))</f>
        <v/>
      </c>
      <c r="H28" s="67">
        <f>IF($B28="",0,IF(LEFT($B28,1)="━",0,$C28*VLOOKUP($B28,'4. CÀI ĐẶT'!$A$2:$H$32,5,FALSE)))</f>
        <v/>
      </c>
      <c r="I28">
        <f>IF($B28="","",IF(LEFT($B28,1)="━","",VLOOKUP($B28,'4. CÀI ĐẶT'!$A$2:$H$32,6,FALSE)))</f>
        <v/>
      </c>
      <c r="J28" s="13">
        <f>IF($A28="","",EOMONTH($A28,0))</f>
        <v/>
      </c>
      <c r="K28" s="67">
        <f>IF($B28="",0,IF(LEFT($B28,1)="━",0,$C28*VLOOKUP($B28,'4. CÀI ĐẶT'!$A$2:$H$32,7,FALSE)))</f>
        <v/>
      </c>
    </row>
    <row r="29">
      <c r="A29" s="8" t="n"/>
      <c r="B29" s="9" t="n"/>
      <c r="C29" s="65" t="n"/>
      <c r="D29" s="9" t="n"/>
      <c r="E29" s="66">
        <f>IF($B29="","",IF(LEFT($B29,1)="━","⚠️ Chọn hạng mục cụ thể",$C29*VLOOKUP($B29,'4. CÀI ĐẶT'!$A$2:$H$32,2,FALSE)))</f>
        <v/>
      </c>
      <c r="F29" s="67">
        <f>IF($B29="",0,IF(LEFT($B29,1)="━",0,$C29*VLOOKUP($B29,'4. CÀI ĐẶT'!$A$2:$H$32,3,FALSE)))</f>
        <v/>
      </c>
      <c r="G29" s="67">
        <f>IF($B29="",0,IF(LEFT($B29,1)="━",0,$C29*VLOOKUP($B29,'4. CÀI ĐẶT'!$A$2:$H$32,4,FALSE)))</f>
        <v/>
      </c>
      <c r="H29" s="67">
        <f>IF($B29="",0,IF(LEFT($B29,1)="━",0,$C29*VLOOKUP($B29,'4. CÀI ĐẶT'!$A$2:$H$32,5,FALSE)))</f>
        <v/>
      </c>
      <c r="I29">
        <f>IF($B29="","",IF(LEFT($B29,1)="━","",VLOOKUP($B29,'4. CÀI ĐẶT'!$A$2:$H$32,6,FALSE)))</f>
        <v/>
      </c>
      <c r="J29" s="13">
        <f>IF($A29="","",EOMONTH($A29,0))</f>
        <v/>
      </c>
      <c r="K29" s="67">
        <f>IF($B29="",0,IF(LEFT($B29,1)="━",0,$C29*VLOOKUP($B29,'4. CÀI ĐẶT'!$A$2:$H$32,7,FALSE)))</f>
        <v/>
      </c>
    </row>
    <row r="30">
      <c r="A30" s="8" t="n"/>
      <c r="B30" s="9" t="n"/>
      <c r="C30" s="65" t="n"/>
      <c r="D30" s="9" t="n"/>
      <c r="E30" s="66">
        <f>IF($B30="","",IF(LEFT($B30,1)="━","⚠️ Chọn hạng mục cụ thể",$C30*VLOOKUP($B30,'4. CÀI ĐẶT'!$A$2:$H$32,2,FALSE)))</f>
        <v/>
      </c>
      <c r="F30" s="67">
        <f>IF($B30="",0,IF(LEFT($B30,1)="━",0,$C30*VLOOKUP($B30,'4. CÀI ĐẶT'!$A$2:$H$32,3,FALSE)))</f>
        <v/>
      </c>
      <c r="G30" s="67">
        <f>IF($B30="",0,IF(LEFT($B30,1)="━",0,$C30*VLOOKUP($B30,'4. CÀI ĐẶT'!$A$2:$H$32,4,FALSE)))</f>
        <v/>
      </c>
      <c r="H30" s="67">
        <f>IF($B30="",0,IF(LEFT($B30,1)="━",0,$C30*VLOOKUP($B30,'4. CÀI ĐẶT'!$A$2:$H$32,5,FALSE)))</f>
        <v/>
      </c>
      <c r="I30">
        <f>IF($B30="","",IF(LEFT($B30,1)="━","",VLOOKUP($B30,'4. CÀI ĐẶT'!$A$2:$H$32,6,FALSE)))</f>
        <v/>
      </c>
      <c r="J30" s="13">
        <f>IF($A30="","",EOMONTH($A30,0))</f>
        <v/>
      </c>
      <c r="K30" s="67">
        <f>IF($B30="",0,IF(LEFT($B30,1)="━",0,$C30*VLOOKUP($B30,'4. CÀI ĐẶT'!$A$2:$H$32,7,FALSE)))</f>
        <v/>
      </c>
    </row>
    <row r="31">
      <c r="A31" s="8" t="n"/>
      <c r="B31" s="9" t="n"/>
      <c r="C31" s="65" t="n"/>
      <c r="D31" s="9" t="n"/>
      <c r="E31" s="66">
        <f>IF($B31="","",IF(LEFT($B31,1)="━","⚠️ Chọn hạng mục cụ thể",$C31*VLOOKUP($B31,'4. CÀI ĐẶT'!$A$2:$H$32,2,FALSE)))</f>
        <v/>
      </c>
      <c r="F31" s="67">
        <f>IF($B31="",0,IF(LEFT($B31,1)="━",0,$C31*VLOOKUP($B31,'4. CÀI ĐẶT'!$A$2:$H$32,3,FALSE)))</f>
        <v/>
      </c>
      <c r="G31" s="67">
        <f>IF($B31="",0,IF(LEFT($B31,1)="━",0,$C31*VLOOKUP($B31,'4. CÀI ĐẶT'!$A$2:$H$32,4,FALSE)))</f>
        <v/>
      </c>
      <c r="H31" s="67">
        <f>IF($B31="",0,IF(LEFT($B31,1)="━",0,$C31*VLOOKUP($B31,'4. CÀI ĐẶT'!$A$2:$H$32,5,FALSE)))</f>
        <v/>
      </c>
      <c r="I31">
        <f>IF($B31="","",IF(LEFT($B31,1)="━","",VLOOKUP($B31,'4. CÀI ĐẶT'!$A$2:$H$32,6,FALSE)))</f>
        <v/>
      </c>
      <c r="J31" s="13">
        <f>IF($A31="","",EOMONTH($A31,0))</f>
        <v/>
      </c>
      <c r="K31" s="67">
        <f>IF($B31="",0,IF(LEFT($B31,1)="━",0,$C31*VLOOKUP($B31,'4. CÀI ĐẶT'!$A$2:$H$32,7,FALSE)))</f>
        <v/>
      </c>
    </row>
    <row r="32">
      <c r="A32" s="8" t="n"/>
      <c r="B32" s="9" t="n"/>
      <c r="C32" s="65" t="n"/>
      <c r="D32" s="9" t="n"/>
      <c r="E32" s="66">
        <f>IF($B32="","",IF(LEFT($B32,1)="━","⚠️ Chọn hạng mục cụ thể",$C32*VLOOKUP($B32,'4. CÀI ĐẶT'!$A$2:$H$32,2,FALSE)))</f>
        <v/>
      </c>
      <c r="F32" s="67">
        <f>IF($B32="",0,IF(LEFT($B32,1)="━",0,$C32*VLOOKUP($B32,'4. CÀI ĐẶT'!$A$2:$H$32,3,FALSE)))</f>
        <v/>
      </c>
      <c r="G32" s="67">
        <f>IF($B32="",0,IF(LEFT($B32,1)="━",0,$C32*VLOOKUP($B32,'4. CÀI ĐẶT'!$A$2:$H$32,4,FALSE)))</f>
        <v/>
      </c>
      <c r="H32" s="67">
        <f>IF($B32="",0,IF(LEFT($B32,1)="━",0,$C32*VLOOKUP($B32,'4. CÀI ĐẶT'!$A$2:$H$32,5,FALSE)))</f>
        <v/>
      </c>
      <c r="I32">
        <f>IF($B32="","",IF(LEFT($B32,1)="━","",VLOOKUP($B32,'4. CÀI ĐẶT'!$A$2:$H$32,6,FALSE)))</f>
        <v/>
      </c>
      <c r="J32" s="13">
        <f>IF($A32="","",EOMONTH($A32,0))</f>
        <v/>
      </c>
      <c r="K32" s="67">
        <f>IF($B32="",0,IF(LEFT($B32,1)="━",0,$C32*VLOOKUP($B32,'4. CÀI ĐẶT'!$A$2:$H$32,7,FALSE)))</f>
        <v/>
      </c>
    </row>
    <row r="33">
      <c r="A33" s="8" t="n"/>
      <c r="B33" s="9" t="n"/>
      <c r="C33" s="65" t="n"/>
      <c r="D33" s="9" t="n"/>
      <c r="E33" s="66">
        <f>IF($B33="","",IF(LEFT($B33,1)="━","⚠️ Chọn hạng mục cụ thể",$C33*VLOOKUP($B33,'4. CÀI ĐẶT'!$A$2:$H$32,2,FALSE)))</f>
        <v/>
      </c>
      <c r="F33" s="67">
        <f>IF($B33="",0,IF(LEFT($B33,1)="━",0,$C33*VLOOKUP($B33,'4. CÀI ĐẶT'!$A$2:$H$32,3,FALSE)))</f>
        <v/>
      </c>
      <c r="G33" s="67">
        <f>IF($B33="",0,IF(LEFT($B33,1)="━",0,$C33*VLOOKUP($B33,'4. CÀI ĐẶT'!$A$2:$H$32,4,FALSE)))</f>
        <v/>
      </c>
      <c r="H33" s="67">
        <f>IF($B33="",0,IF(LEFT($B33,1)="━",0,$C33*VLOOKUP($B33,'4. CÀI ĐẶT'!$A$2:$H$32,5,FALSE)))</f>
        <v/>
      </c>
      <c r="I33">
        <f>IF($B33="","",IF(LEFT($B33,1)="━","",VLOOKUP($B33,'4. CÀI ĐẶT'!$A$2:$H$32,6,FALSE)))</f>
        <v/>
      </c>
      <c r="J33" s="13">
        <f>IF($A33="","",EOMONTH($A33,0))</f>
        <v/>
      </c>
      <c r="K33" s="67">
        <f>IF($B33="",0,IF(LEFT($B33,1)="━",0,$C33*VLOOKUP($B33,'4. CÀI ĐẶT'!$A$2:$H$32,7,FALSE)))</f>
        <v/>
      </c>
    </row>
    <row r="34">
      <c r="A34" s="8" t="n"/>
      <c r="B34" s="9" t="n"/>
      <c r="C34" s="65" t="n"/>
      <c r="D34" s="9" t="n"/>
      <c r="E34" s="66">
        <f>IF($B34="","",IF(LEFT($B34,1)="━","⚠️ Chọn hạng mục cụ thể",$C34*VLOOKUP($B34,'4. CÀI ĐẶT'!$A$2:$H$32,2,FALSE)))</f>
        <v/>
      </c>
      <c r="F34" s="67">
        <f>IF($B34="",0,IF(LEFT($B34,1)="━",0,$C34*VLOOKUP($B34,'4. CÀI ĐẶT'!$A$2:$H$32,3,FALSE)))</f>
        <v/>
      </c>
      <c r="G34" s="67">
        <f>IF($B34="",0,IF(LEFT($B34,1)="━",0,$C34*VLOOKUP($B34,'4. CÀI ĐẶT'!$A$2:$H$32,4,FALSE)))</f>
        <v/>
      </c>
      <c r="H34" s="67">
        <f>IF($B34="",0,IF(LEFT($B34,1)="━",0,$C34*VLOOKUP($B34,'4. CÀI ĐẶT'!$A$2:$H$32,5,FALSE)))</f>
        <v/>
      </c>
      <c r="I34">
        <f>IF($B34="","",IF(LEFT($B34,1)="━","",VLOOKUP($B34,'4. CÀI ĐẶT'!$A$2:$H$32,6,FALSE)))</f>
        <v/>
      </c>
      <c r="J34" s="13">
        <f>IF($A34="","",EOMONTH($A34,0))</f>
        <v/>
      </c>
      <c r="K34" s="67">
        <f>IF($B34="",0,IF(LEFT($B34,1)="━",0,$C34*VLOOKUP($B34,'4. CÀI ĐẶT'!$A$2:$H$32,7,FALSE)))</f>
        <v/>
      </c>
    </row>
    <row r="35">
      <c r="A35" s="8" t="n"/>
      <c r="B35" s="9" t="n"/>
      <c r="C35" s="65" t="n"/>
      <c r="D35" s="9" t="n"/>
      <c r="E35" s="66">
        <f>IF($B35="","",IF(LEFT($B35,1)="━","⚠️ Chọn hạng mục cụ thể",$C35*VLOOKUP($B35,'4. CÀI ĐẶT'!$A$2:$H$32,2,FALSE)))</f>
        <v/>
      </c>
      <c r="F35" s="67">
        <f>IF($B35="",0,IF(LEFT($B35,1)="━",0,$C35*VLOOKUP($B35,'4. CÀI ĐẶT'!$A$2:$H$32,3,FALSE)))</f>
        <v/>
      </c>
      <c r="G35" s="67">
        <f>IF($B35="",0,IF(LEFT($B35,1)="━",0,$C35*VLOOKUP($B35,'4. CÀI ĐẶT'!$A$2:$H$32,4,FALSE)))</f>
        <v/>
      </c>
      <c r="H35" s="67">
        <f>IF($B35="",0,IF(LEFT($B35,1)="━",0,$C35*VLOOKUP($B35,'4. CÀI ĐẶT'!$A$2:$H$32,5,FALSE)))</f>
        <v/>
      </c>
      <c r="I35">
        <f>IF($B35="","",IF(LEFT($B35,1)="━","",VLOOKUP($B35,'4. CÀI ĐẶT'!$A$2:$H$32,6,FALSE)))</f>
        <v/>
      </c>
      <c r="J35" s="13">
        <f>IF($A35="","",EOMONTH($A35,0))</f>
        <v/>
      </c>
      <c r="K35" s="67">
        <f>IF($B35="",0,IF(LEFT($B35,1)="━",0,$C35*VLOOKUP($B35,'4. CÀI ĐẶT'!$A$2:$H$32,7,FALSE)))</f>
        <v/>
      </c>
    </row>
    <row r="36">
      <c r="A36" s="8" t="n"/>
      <c r="B36" s="9" t="n"/>
      <c r="C36" s="65" t="n"/>
      <c r="D36" s="9" t="n"/>
      <c r="E36" s="66">
        <f>IF($B36="","",IF(LEFT($B36,1)="━","⚠️ Chọn hạng mục cụ thể",$C36*VLOOKUP($B36,'4. CÀI ĐẶT'!$A$2:$H$32,2,FALSE)))</f>
        <v/>
      </c>
      <c r="F36" s="67">
        <f>IF($B36="",0,IF(LEFT($B36,1)="━",0,$C36*VLOOKUP($B36,'4. CÀI ĐẶT'!$A$2:$H$32,3,FALSE)))</f>
        <v/>
      </c>
      <c r="G36" s="67">
        <f>IF($B36="",0,IF(LEFT($B36,1)="━",0,$C36*VLOOKUP($B36,'4. CÀI ĐẶT'!$A$2:$H$32,4,FALSE)))</f>
        <v/>
      </c>
      <c r="H36" s="67">
        <f>IF($B36="",0,IF(LEFT($B36,1)="━",0,$C36*VLOOKUP($B36,'4. CÀI ĐẶT'!$A$2:$H$32,5,FALSE)))</f>
        <v/>
      </c>
      <c r="I36">
        <f>IF($B36="","",IF(LEFT($B36,1)="━","",VLOOKUP($B36,'4. CÀI ĐẶT'!$A$2:$H$32,6,FALSE)))</f>
        <v/>
      </c>
      <c r="J36" s="13">
        <f>IF($A36="","",EOMONTH($A36,0))</f>
        <v/>
      </c>
      <c r="K36" s="67">
        <f>IF($B36="",0,IF(LEFT($B36,1)="━",0,$C36*VLOOKUP($B36,'4. CÀI ĐẶT'!$A$2:$H$32,7,FALSE)))</f>
        <v/>
      </c>
    </row>
    <row r="37">
      <c r="A37" s="8" t="n"/>
      <c r="B37" s="9" t="n"/>
      <c r="C37" s="65" t="n"/>
      <c r="D37" s="9" t="n"/>
      <c r="E37" s="66">
        <f>IF($B37="","",IF(LEFT($B37,1)="━","⚠️ Chọn hạng mục cụ thể",$C37*VLOOKUP($B37,'4. CÀI ĐẶT'!$A$2:$H$32,2,FALSE)))</f>
        <v/>
      </c>
      <c r="F37" s="67">
        <f>IF($B37="",0,IF(LEFT($B37,1)="━",0,$C37*VLOOKUP($B37,'4. CÀI ĐẶT'!$A$2:$H$32,3,FALSE)))</f>
        <v/>
      </c>
      <c r="G37" s="67">
        <f>IF($B37="",0,IF(LEFT($B37,1)="━",0,$C37*VLOOKUP($B37,'4. CÀI ĐẶT'!$A$2:$H$32,4,FALSE)))</f>
        <v/>
      </c>
      <c r="H37" s="67">
        <f>IF($B37="",0,IF(LEFT($B37,1)="━",0,$C37*VLOOKUP($B37,'4. CÀI ĐẶT'!$A$2:$H$32,5,FALSE)))</f>
        <v/>
      </c>
      <c r="I37">
        <f>IF($B37="","",IF(LEFT($B37,1)="━","",VLOOKUP($B37,'4. CÀI ĐẶT'!$A$2:$H$32,6,FALSE)))</f>
        <v/>
      </c>
      <c r="J37" s="13">
        <f>IF($A37="","",EOMONTH($A37,0))</f>
        <v/>
      </c>
      <c r="K37" s="67">
        <f>IF($B37="",0,IF(LEFT($B37,1)="━",0,$C37*VLOOKUP($B37,'4. CÀI ĐẶT'!$A$2:$H$32,7,FALSE)))</f>
        <v/>
      </c>
    </row>
    <row r="38">
      <c r="A38" s="8" t="n"/>
      <c r="B38" s="9" t="n"/>
      <c r="C38" s="65" t="n"/>
      <c r="D38" s="9" t="n"/>
      <c r="E38" s="66">
        <f>IF($B38="","",IF(LEFT($B38,1)="━","⚠️ Chọn hạng mục cụ thể",$C38*VLOOKUP($B38,'4. CÀI ĐẶT'!$A$2:$H$32,2,FALSE)))</f>
        <v/>
      </c>
      <c r="F38" s="67">
        <f>IF($B38="",0,IF(LEFT($B38,1)="━",0,$C38*VLOOKUP($B38,'4. CÀI ĐẶT'!$A$2:$H$32,3,FALSE)))</f>
        <v/>
      </c>
      <c r="G38" s="67">
        <f>IF($B38="",0,IF(LEFT($B38,1)="━",0,$C38*VLOOKUP($B38,'4. CÀI ĐẶT'!$A$2:$H$32,4,FALSE)))</f>
        <v/>
      </c>
      <c r="H38" s="67">
        <f>IF($B38="",0,IF(LEFT($B38,1)="━",0,$C38*VLOOKUP($B38,'4. CÀI ĐẶT'!$A$2:$H$32,5,FALSE)))</f>
        <v/>
      </c>
      <c r="I38">
        <f>IF($B38="","",IF(LEFT($B38,1)="━","",VLOOKUP($B38,'4. CÀI ĐẶT'!$A$2:$H$32,6,FALSE)))</f>
        <v/>
      </c>
      <c r="J38" s="13">
        <f>IF($A38="","",EOMONTH($A38,0))</f>
        <v/>
      </c>
      <c r="K38" s="67">
        <f>IF($B38="",0,IF(LEFT($B38,1)="━",0,$C38*VLOOKUP($B38,'4. CÀI ĐẶT'!$A$2:$H$32,7,FALSE)))</f>
        <v/>
      </c>
    </row>
    <row r="39">
      <c r="A39" s="8" t="n"/>
      <c r="B39" s="9" t="n"/>
      <c r="C39" s="65" t="n"/>
      <c r="D39" s="9" t="n"/>
      <c r="E39" s="66">
        <f>IF($B39="","",IF(LEFT($B39,1)="━","⚠️ Chọn hạng mục cụ thể",$C39*VLOOKUP($B39,'4. CÀI ĐẶT'!$A$2:$H$32,2,FALSE)))</f>
        <v/>
      </c>
      <c r="F39" s="67">
        <f>IF($B39="",0,IF(LEFT($B39,1)="━",0,$C39*VLOOKUP($B39,'4. CÀI ĐẶT'!$A$2:$H$32,3,FALSE)))</f>
        <v/>
      </c>
      <c r="G39" s="67">
        <f>IF($B39="",0,IF(LEFT($B39,1)="━",0,$C39*VLOOKUP($B39,'4. CÀI ĐẶT'!$A$2:$H$32,4,FALSE)))</f>
        <v/>
      </c>
      <c r="H39" s="67">
        <f>IF($B39="",0,IF(LEFT($B39,1)="━",0,$C39*VLOOKUP($B39,'4. CÀI ĐẶT'!$A$2:$H$32,5,FALSE)))</f>
        <v/>
      </c>
      <c r="I39">
        <f>IF($B39="","",IF(LEFT($B39,1)="━","",VLOOKUP($B39,'4. CÀI ĐẶT'!$A$2:$H$32,6,FALSE)))</f>
        <v/>
      </c>
      <c r="J39" s="13">
        <f>IF($A39="","",EOMONTH($A39,0))</f>
        <v/>
      </c>
      <c r="K39" s="67">
        <f>IF($B39="",0,IF(LEFT($B39,1)="━",0,$C39*VLOOKUP($B39,'4. CÀI ĐẶT'!$A$2:$H$32,7,FALSE)))</f>
        <v/>
      </c>
    </row>
    <row r="40">
      <c r="A40" s="8" t="n"/>
      <c r="B40" s="9" t="n"/>
      <c r="C40" s="65" t="n"/>
      <c r="D40" s="9" t="n"/>
      <c r="E40" s="66">
        <f>IF($B40="","",IF(LEFT($B40,1)="━","⚠️ Chọn hạng mục cụ thể",$C40*VLOOKUP($B40,'4. CÀI ĐẶT'!$A$2:$H$32,2,FALSE)))</f>
        <v/>
      </c>
      <c r="F40" s="67">
        <f>IF($B40="",0,IF(LEFT($B40,1)="━",0,$C40*VLOOKUP($B40,'4. CÀI ĐẶT'!$A$2:$H$32,3,FALSE)))</f>
        <v/>
      </c>
      <c r="G40" s="67">
        <f>IF($B40="",0,IF(LEFT($B40,1)="━",0,$C40*VLOOKUP($B40,'4. CÀI ĐẶT'!$A$2:$H$32,4,FALSE)))</f>
        <v/>
      </c>
      <c r="H40" s="67">
        <f>IF($B40="",0,IF(LEFT($B40,1)="━",0,$C40*VLOOKUP($B40,'4. CÀI ĐẶT'!$A$2:$H$32,5,FALSE)))</f>
        <v/>
      </c>
      <c r="I40">
        <f>IF($B40="","",IF(LEFT($B40,1)="━","",VLOOKUP($B40,'4. CÀI ĐẶT'!$A$2:$H$32,6,FALSE)))</f>
        <v/>
      </c>
      <c r="J40" s="13">
        <f>IF($A40="","",EOMONTH($A40,0))</f>
        <v/>
      </c>
      <c r="K40" s="67">
        <f>IF($B40="",0,IF(LEFT($B40,1)="━",0,$C40*VLOOKUP($B40,'4. CÀI ĐẶT'!$A$2:$H$32,7,FALSE)))</f>
        <v/>
      </c>
    </row>
    <row r="41">
      <c r="A41" s="8" t="n"/>
      <c r="B41" s="9" t="n"/>
      <c r="C41" s="65" t="n"/>
      <c r="D41" s="9" t="n"/>
      <c r="E41" s="66">
        <f>IF($B41="","",IF(LEFT($B41,1)="━","⚠️ Chọn hạng mục cụ thể",$C41*VLOOKUP($B41,'4. CÀI ĐẶT'!$A$2:$H$32,2,FALSE)))</f>
        <v/>
      </c>
      <c r="F41" s="67">
        <f>IF($B41="",0,IF(LEFT($B41,1)="━",0,$C41*VLOOKUP($B41,'4. CÀI ĐẶT'!$A$2:$H$32,3,FALSE)))</f>
        <v/>
      </c>
      <c r="G41" s="67">
        <f>IF($B41="",0,IF(LEFT($B41,1)="━",0,$C41*VLOOKUP($B41,'4. CÀI ĐẶT'!$A$2:$H$32,4,FALSE)))</f>
        <v/>
      </c>
      <c r="H41" s="67">
        <f>IF($B41="",0,IF(LEFT($B41,1)="━",0,$C41*VLOOKUP($B41,'4. CÀI ĐẶT'!$A$2:$H$32,5,FALSE)))</f>
        <v/>
      </c>
      <c r="I41">
        <f>IF($B41="","",IF(LEFT($B41,1)="━","",VLOOKUP($B41,'4. CÀI ĐẶT'!$A$2:$H$32,6,FALSE)))</f>
        <v/>
      </c>
      <c r="J41" s="13">
        <f>IF($A41="","",EOMONTH($A41,0))</f>
        <v/>
      </c>
      <c r="K41" s="67">
        <f>IF($B41="",0,IF(LEFT($B41,1)="━",0,$C41*VLOOKUP($B41,'4. CÀI ĐẶT'!$A$2:$H$32,7,FALSE)))</f>
        <v/>
      </c>
    </row>
    <row r="42">
      <c r="A42" s="8" t="n"/>
      <c r="B42" s="9" t="n"/>
      <c r="C42" s="65" t="n"/>
      <c r="D42" s="9" t="n"/>
      <c r="E42" s="66">
        <f>IF($B42="","",IF(LEFT($B42,1)="━","⚠️ Chọn hạng mục cụ thể",$C42*VLOOKUP($B42,'4. CÀI ĐẶT'!$A$2:$H$32,2,FALSE)))</f>
        <v/>
      </c>
      <c r="F42" s="67">
        <f>IF($B42="",0,IF(LEFT($B42,1)="━",0,$C42*VLOOKUP($B42,'4. CÀI ĐẶT'!$A$2:$H$32,3,FALSE)))</f>
        <v/>
      </c>
      <c r="G42" s="67">
        <f>IF($B42="",0,IF(LEFT($B42,1)="━",0,$C42*VLOOKUP($B42,'4. CÀI ĐẶT'!$A$2:$H$32,4,FALSE)))</f>
        <v/>
      </c>
      <c r="H42" s="67">
        <f>IF($B42="",0,IF(LEFT($B42,1)="━",0,$C42*VLOOKUP($B42,'4. CÀI ĐẶT'!$A$2:$H$32,5,FALSE)))</f>
        <v/>
      </c>
      <c r="I42">
        <f>IF($B42="","",IF(LEFT($B42,1)="━","",VLOOKUP($B42,'4. CÀI ĐẶT'!$A$2:$H$32,6,FALSE)))</f>
        <v/>
      </c>
      <c r="J42" s="13">
        <f>IF($A42="","",EOMONTH($A42,0))</f>
        <v/>
      </c>
      <c r="K42" s="67">
        <f>IF($B42="",0,IF(LEFT($B42,1)="━",0,$C42*VLOOKUP($B42,'4. CÀI ĐẶT'!$A$2:$H$32,7,FALSE)))</f>
        <v/>
      </c>
    </row>
    <row r="43">
      <c r="A43" s="8" t="n"/>
      <c r="B43" s="9" t="n"/>
      <c r="C43" s="65" t="n"/>
      <c r="D43" s="9" t="n"/>
      <c r="E43" s="66">
        <f>IF($B43="","",IF(LEFT($B43,1)="━","⚠️ Chọn hạng mục cụ thể",$C43*VLOOKUP($B43,'4. CÀI ĐẶT'!$A$2:$H$32,2,FALSE)))</f>
        <v/>
      </c>
      <c r="F43" s="67">
        <f>IF($B43="",0,IF(LEFT($B43,1)="━",0,$C43*VLOOKUP($B43,'4. CÀI ĐẶT'!$A$2:$H$32,3,FALSE)))</f>
        <v/>
      </c>
      <c r="G43" s="67">
        <f>IF($B43="",0,IF(LEFT($B43,1)="━",0,$C43*VLOOKUP($B43,'4. CÀI ĐẶT'!$A$2:$H$32,4,FALSE)))</f>
        <v/>
      </c>
      <c r="H43" s="67">
        <f>IF($B43="",0,IF(LEFT($B43,1)="━",0,$C43*VLOOKUP($B43,'4. CÀI ĐẶT'!$A$2:$H$32,5,FALSE)))</f>
        <v/>
      </c>
      <c r="I43">
        <f>IF($B43="","",IF(LEFT($B43,1)="━","",VLOOKUP($B43,'4. CÀI ĐẶT'!$A$2:$H$32,6,FALSE)))</f>
        <v/>
      </c>
      <c r="J43" s="13">
        <f>IF($A43="","",EOMONTH($A43,0))</f>
        <v/>
      </c>
      <c r="K43" s="67">
        <f>IF($B43="",0,IF(LEFT($B43,1)="━",0,$C43*VLOOKUP($B43,'4. CÀI ĐẶT'!$A$2:$H$32,7,FALSE)))</f>
        <v/>
      </c>
    </row>
    <row r="44">
      <c r="A44" s="8" t="n"/>
      <c r="B44" s="9" t="n"/>
      <c r="C44" s="65" t="n"/>
      <c r="D44" s="9" t="n"/>
      <c r="E44" s="66">
        <f>IF($B44="","",IF(LEFT($B44,1)="━","⚠️ Chọn hạng mục cụ thể",$C44*VLOOKUP($B44,'4. CÀI ĐẶT'!$A$2:$H$32,2,FALSE)))</f>
        <v/>
      </c>
      <c r="F44" s="67">
        <f>IF($B44="",0,IF(LEFT($B44,1)="━",0,$C44*VLOOKUP($B44,'4. CÀI ĐẶT'!$A$2:$H$32,3,FALSE)))</f>
        <v/>
      </c>
      <c r="G44" s="67">
        <f>IF($B44="",0,IF(LEFT($B44,1)="━",0,$C44*VLOOKUP($B44,'4. CÀI ĐẶT'!$A$2:$H$32,4,FALSE)))</f>
        <v/>
      </c>
      <c r="H44" s="67">
        <f>IF($B44="",0,IF(LEFT($B44,1)="━",0,$C44*VLOOKUP($B44,'4. CÀI ĐẶT'!$A$2:$H$32,5,FALSE)))</f>
        <v/>
      </c>
      <c r="I44">
        <f>IF($B44="","",IF(LEFT($B44,1)="━","",VLOOKUP($B44,'4. CÀI ĐẶT'!$A$2:$H$32,6,FALSE)))</f>
        <v/>
      </c>
      <c r="J44" s="13">
        <f>IF($A44="","",EOMONTH($A44,0))</f>
        <v/>
      </c>
      <c r="K44" s="67">
        <f>IF($B44="",0,IF(LEFT($B44,1)="━",0,$C44*VLOOKUP($B44,'4. CÀI ĐẶT'!$A$2:$H$32,7,FALSE)))</f>
        <v/>
      </c>
    </row>
    <row r="45">
      <c r="A45" s="8" t="n"/>
      <c r="B45" s="9" t="n"/>
      <c r="C45" s="65" t="n"/>
      <c r="D45" s="9" t="n"/>
      <c r="E45" s="66">
        <f>IF($B45="","",IF(LEFT($B45,1)="━","⚠️ Chọn hạng mục cụ thể",$C45*VLOOKUP($B45,'4. CÀI ĐẶT'!$A$2:$H$32,2,FALSE)))</f>
        <v/>
      </c>
      <c r="F45" s="67">
        <f>IF($B45="",0,IF(LEFT($B45,1)="━",0,$C45*VLOOKUP($B45,'4. CÀI ĐẶT'!$A$2:$H$32,3,FALSE)))</f>
        <v/>
      </c>
      <c r="G45" s="67">
        <f>IF($B45="",0,IF(LEFT($B45,1)="━",0,$C45*VLOOKUP($B45,'4. CÀI ĐẶT'!$A$2:$H$32,4,FALSE)))</f>
        <v/>
      </c>
      <c r="H45" s="67">
        <f>IF($B45="",0,IF(LEFT($B45,1)="━",0,$C45*VLOOKUP($B45,'4. CÀI ĐẶT'!$A$2:$H$32,5,FALSE)))</f>
        <v/>
      </c>
      <c r="I45">
        <f>IF($B45="","",IF(LEFT($B45,1)="━","",VLOOKUP($B45,'4. CÀI ĐẶT'!$A$2:$H$32,6,FALSE)))</f>
        <v/>
      </c>
      <c r="J45" s="13">
        <f>IF($A45="","",EOMONTH($A45,0))</f>
        <v/>
      </c>
      <c r="K45" s="67">
        <f>IF($B45="",0,IF(LEFT($B45,1)="━",0,$C45*VLOOKUP($B45,'4. CÀI ĐẶT'!$A$2:$H$32,7,FALSE)))</f>
        <v/>
      </c>
    </row>
    <row r="46">
      <c r="A46" s="8" t="n"/>
      <c r="B46" s="9" t="n"/>
      <c r="C46" s="65" t="n"/>
      <c r="D46" s="9" t="n"/>
      <c r="E46" s="66">
        <f>IF($B46="","",IF(LEFT($B46,1)="━","⚠️ Chọn hạng mục cụ thể",$C46*VLOOKUP($B46,'4. CÀI ĐẶT'!$A$2:$H$32,2,FALSE)))</f>
        <v/>
      </c>
      <c r="F46" s="67">
        <f>IF($B46="",0,IF(LEFT($B46,1)="━",0,$C46*VLOOKUP($B46,'4. CÀI ĐẶT'!$A$2:$H$32,3,FALSE)))</f>
        <v/>
      </c>
      <c r="G46" s="67">
        <f>IF($B46="",0,IF(LEFT($B46,1)="━",0,$C46*VLOOKUP($B46,'4. CÀI ĐẶT'!$A$2:$H$32,4,FALSE)))</f>
        <v/>
      </c>
      <c r="H46" s="67">
        <f>IF($B46="",0,IF(LEFT($B46,1)="━",0,$C46*VLOOKUP($B46,'4. CÀI ĐẶT'!$A$2:$H$32,5,FALSE)))</f>
        <v/>
      </c>
      <c r="I46">
        <f>IF($B46="","",IF(LEFT($B46,1)="━","",VLOOKUP($B46,'4. CÀI ĐẶT'!$A$2:$H$32,6,FALSE)))</f>
        <v/>
      </c>
      <c r="J46" s="13">
        <f>IF($A46="","",EOMONTH($A46,0))</f>
        <v/>
      </c>
      <c r="K46" s="67">
        <f>IF($B46="",0,IF(LEFT($B46,1)="━",0,$C46*VLOOKUP($B46,'4. CÀI ĐẶT'!$A$2:$H$32,7,FALSE)))</f>
        <v/>
      </c>
    </row>
    <row r="47">
      <c r="A47" s="8" t="n"/>
      <c r="B47" s="9" t="n"/>
      <c r="C47" s="65" t="n"/>
      <c r="D47" s="9" t="n"/>
      <c r="E47" s="66">
        <f>IF($B47="","",IF(LEFT($B47,1)="━","⚠️ Chọn hạng mục cụ thể",$C47*VLOOKUP($B47,'4. CÀI ĐẶT'!$A$2:$H$32,2,FALSE)))</f>
        <v/>
      </c>
      <c r="F47" s="67">
        <f>IF($B47="",0,IF(LEFT($B47,1)="━",0,$C47*VLOOKUP($B47,'4. CÀI ĐẶT'!$A$2:$H$32,3,FALSE)))</f>
        <v/>
      </c>
      <c r="G47" s="67">
        <f>IF($B47="",0,IF(LEFT($B47,1)="━",0,$C47*VLOOKUP($B47,'4. CÀI ĐẶT'!$A$2:$H$32,4,FALSE)))</f>
        <v/>
      </c>
      <c r="H47" s="67">
        <f>IF($B47="",0,IF(LEFT($B47,1)="━",0,$C47*VLOOKUP($B47,'4. CÀI ĐẶT'!$A$2:$H$32,5,FALSE)))</f>
        <v/>
      </c>
      <c r="I47">
        <f>IF($B47="","",IF(LEFT($B47,1)="━","",VLOOKUP($B47,'4. CÀI ĐẶT'!$A$2:$H$32,6,FALSE)))</f>
        <v/>
      </c>
      <c r="J47" s="13">
        <f>IF($A47="","",EOMONTH($A47,0))</f>
        <v/>
      </c>
      <c r="K47" s="67">
        <f>IF($B47="",0,IF(LEFT($B47,1)="━",0,$C47*VLOOKUP($B47,'4. CÀI ĐẶT'!$A$2:$H$32,7,FALSE)))</f>
        <v/>
      </c>
    </row>
    <row r="48">
      <c r="A48" s="8" t="n"/>
      <c r="B48" s="9" t="n"/>
      <c r="C48" s="65" t="n"/>
      <c r="D48" s="9" t="n"/>
      <c r="E48" s="66">
        <f>IF($B48="","",IF(LEFT($B48,1)="━","⚠️ Chọn hạng mục cụ thể",$C48*VLOOKUP($B48,'4. CÀI ĐẶT'!$A$2:$H$32,2,FALSE)))</f>
        <v/>
      </c>
      <c r="F48" s="67">
        <f>IF($B48="",0,IF(LEFT($B48,1)="━",0,$C48*VLOOKUP($B48,'4. CÀI ĐẶT'!$A$2:$H$32,3,FALSE)))</f>
        <v/>
      </c>
      <c r="G48" s="67">
        <f>IF($B48="",0,IF(LEFT($B48,1)="━",0,$C48*VLOOKUP($B48,'4. CÀI ĐẶT'!$A$2:$H$32,4,FALSE)))</f>
        <v/>
      </c>
      <c r="H48" s="67">
        <f>IF($B48="",0,IF(LEFT($B48,1)="━",0,$C48*VLOOKUP($B48,'4. CÀI ĐẶT'!$A$2:$H$32,5,FALSE)))</f>
        <v/>
      </c>
      <c r="I48">
        <f>IF($B48="","",IF(LEFT($B48,1)="━","",VLOOKUP($B48,'4. CÀI ĐẶT'!$A$2:$H$32,6,FALSE)))</f>
        <v/>
      </c>
      <c r="J48" s="13">
        <f>IF($A48="","",EOMONTH($A48,0))</f>
        <v/>
      </c>
      <c r="K48" s="67">
        <f>IF($B48="",0,IF(LEFT($B48,1)="━",0,$C48*VLOOKUP($B48,'4. CÀI ĐẶT'!$A$2:$H$32,7,FALSE)))</f>
        <v/>
      </c>
    </row>
    <row r="49">
      <c r="A49" s="8" t="n"/>
      <c r="B49" s="9" t="n"/>
      <c r="C49" s="65" t="n"/>
      <c r="D49" s="9" t="n"/>
      <c r="E49" s="66">
        <f>IF($B49="","",IF(LEFT($B49,1)="━","⚠️ Chọn hạng mục cụ thể",$C49*VLOOKUP($B49,'4. CÀI ĐẶT'!$A$2:$H$32,2,FALSE)))</f>
        <v/>
      </c>
      <c r="F49" s="67">
        <f>IF($B49="",0,IF(LEFT($B49,1)="━",0,$C49*VLOOKUP($B49,'4. CÀI ĐẶT'!$A$2:$H$32,3,FALSE)))</f>
        <v/>
      </c>
      <c r="G49" s="67">
        <f>IF($B49="",0,IF(LEFT($B49,1)="━",0,$C49*VLOOKUP($B49,'4. CÀI ĐẶT'!$A$2:$H$32,4,FALSE)))</f>
        <v/>
      </c>
      <c r="H49" s="67">
        <f>IF($B49="",0,IF(LEFT($B49,1)="━",0,$C49*VLOOKUP($B49,'4. CÀI ĐẶT'!$A$2:$H$32,5,FALSE)))</f>
        <v/>
      </c>
      <c r="I49">
        <f>IF($B49="","",IF(LEFT($B49,1)="━","",VLOOKUP($B49,'4. CÀI ĐẶT'!$A$2:$H$32,6,FALSE)))</f>
        <v/>
      </c>
      <c r="J49" s="13">
        <f>IF($A49="","",EOMONTH($A49,0))</f>
        <v/>
      </c>
      <c r="K49" s="67">
        <f>IF($B49="",0,IF(LEFT($B49,1)="━",0,$C49*VLOOKUP($B49,'4. CÀI ĐẶT'!$A$2:$H$32,7,FALSE)))</f>
        <v/>
      </c>
    </row>
    <row r="50">
      <c r="A50" s="8" t="n"/>
      <c r="B50" s="9" t="n"/>
      <c r="C50" s="65" t="n"/>
      <c r="D50" s="9" t="n"/>
      <c r="E50" s="66">
        <f>IF($B50="","",IF(LEFT($B50,1)="━","⚠️ Chọn hạng mục cụ thể",$C50*VLOOKUP($B50,'4. CÀI ĐẶT'!$A$2:$H$32,2,FALSE)))</f>
        <v/>
      </c>
      <c r="F50" s="67">
        <f>IF($B50="",0,IF(LEFT($B50,1)="━",0,$C50*VLOOKUP($B50,'4. CÀI ĐẶT'!$A$2:$H$32,3,FALSE)))</f>
        <v/>
      </c>
      <c r="G50" s="67">
        <f>IF($B50="",0,IF(LEFT($B50,1)="━",0,$C50*VLOOKUP($B50,'4. CÀI ĐẶT'!$A$2:$H$32,4,FALSE)))</f>
        <v/>
      </c>
      <c r="H50" s="67">
        <f>IF($B50="",0,IF(LEFT($B50,1)="━",0,$C50*VLOOKUP($B50,'4. CÀI ĐẶT'!$A$2:$H$32,5,FALSE)))</f>
        <v/>
      </c>
      <c r="I50">
        <f>IF($B50="","",IF(LEFT($B50,1)="━","",VLOOKUP($B50,'4. CÀI ĐẶT'!$A$2:$H$32,6,FALSE)))</f>
        <v/>
      </c>
      <c r="J50" s="13">
        <f>IF($A50="","",EOMONTH($A50,0))</f>
        <v/>
      </c>
      <c r="K50" s="67">
        <f>IF($B50="",0,IF(LEFT($B50,1)="━",0,$C50*VLOOKUP($B50,'4. CÀI ĐẶT'!$A$2:$H$32,7,FALSE)))</f>
        <v/>
      </c>
    </row>
    <row r="51">
      <c r="A51" s="8" t="n"/>
      <c r="B51" s="9" t="n"/>
      <c r="C51" s="65" t="n"/>
      <c r="D51" s="9" t="n"/>
      <c r="E51" s="66">
        <f>IF($B51="","",IF(LEFT($B51,1)="━","⚠️ Chọn hạng mục cụ thể",$C51*VLOOKUP($B51,'4. CÀI ĐẶT'!$A$2:$H$32,2,FALSE)))</f>
        <v/>
      </c>
      <c r="F51" s="67">
        <f>IF($B51="",0,IF(LEFT($B51,1)="━",0,$C51*VLOOKUP($B51,'4. CÀI ĐẶT'!$A$2:$H$32,3,FALSE)))</f>
        <v/>
      </c>
      <c r="G51" s="67">
        <f>IF($B51="",0,IF(LEFT($B51,1)="━",0,$C51*VLOOKUP($B51,'4. CÀI ĐẶT'!$A$2:$H$32,4,FALSE)))</f>
        <v/>
      </c>
      <c r="H51" s="67">
        <f>IF($B51="",0,IF(LEFT($B51,1)="━",0,$C51*VLOOKUP($B51,'4. CÀI ĐẶT'!$A$2:$H$32,5,FALSE)))</f>
        <v/>
      </c>
      <c r="I51">
        <f>IF($B51="","",IF(LEFT($B51,1)="━","",VLOOKUP($B51,'4. CÀI ĐẶT'!$A$2:$H$32,6,FALSE)))</f>
        <v/>
      </c>
      <c r="J51" s="13">
        <f>IF($A51="","",EOMONTH($A51,0))</f>
        <v/>
      </c>
      <c r="K51" s="67">
        <f>IF($B51="",0,IF(LEFT($B51,1)="━",0,$C51*VLOOKUP($B51,'4. CÀI ĐẶT'!$A$2:$H$32,7,FALSE)))</f>
        <v/>
      </c>
    </row>
    <row r="52">
      <c r="A52" s="8" t="n"/>
      <c r="B52" s="9" t="n"/>
      <c r="C52" s="65" t="n"/>
      <c r="D52" s="9" t="n"/>
      <c r="E52" s="66">
        <f>IF($B52="","",IF(LEFT($B52,1)="━","⚠️ Chọn hạng mục cụ thể",$C52*VLOOKUP($B52,'4. CÀI ĐẶT'!$A$2:$H$32,2,FALSE)))</f>
        <v/>
      </c>
      <c r="F52" s="67">
        <f>IF($B52="",0,IF(LEFT($B52,1)="━",0,$C52*VLOOKUP($B52,'4. CÀI ĐẶT'!$A$2:$H$32,3,FALSE)))</f>
        <v/>
      </c>
      <c r="G52" s="67">
        <f>IF($B52="",0,IF(LEFT($B52,1)="━",0,$C52*VLOOKUP($B52,'4. CÀI ĐẶT'!$A$2:$H$32,4,FALSE)))</f>
        <v/>
      </c>
      <c r="H52" s="67">
        <f>IF($B52="",0,IF(LEFT($B52,1)="━",0,$C52*VLOOKUP($B52,'4. CÀI ĐẶT'!$A$2:$H$32,5,FALSE)))</f>
        <v/>
      </c>
      <c r="I52">
        <f>IF($B52="","",IF(LEFT($B52,1)="━","",VLOOKUP($B52,'4. CÀI ĐẶT'!$A$2:$H$32,6,FALSE)))</f>
        <v/>
      </c>
      <c r="J52" s="13">
        <f>IF($A52="","",EOMONTH($A52,0))</f>
        <v/>
      </c>
      <c r="K52" s="67">
        <f>IF($B52="",0,IF(LEFT($B52,1)="━",0,$C52*VLOOKUP($B52,'4. CÀI ĐẶT'!$A$2:$H$32,7,FALSE)))</f>
        <v/>
      </c>
    </row>
    <row r="53">
      <c r="A53" s="8" t="n"/>
      <c r="B53" s="9" t="n"/>
      <c r="C53" s="65" t="n"/>
      <c r="D53" s="9" t="n"/>
      <c r="E53" s="66">
        <f>IF($B53="","",IF(LEFT($B53,1)="━","⚠️ Chọn hạng mục cụ thể",$C53*VLOOKUP($B53,'4. CÀI ĐẶT'!$A$2:$H$32,2,FALSE)))</f>
        <v/>
      </c>
      <c r="F53" s="67">
        <f>IF($B53="",0,IF(LEFT($B53,1)="━",0,$C53*VLOOKUP($B53,'4. CÀI ĐẶT'!$A$2:$H$32,3,FALSE)))</f>
        <v/>
      </c>
      <c r="G53" s="67">
        <f>IF($B53="",0,IF(LEFT($B53,1)="━",0,$C53*VLOOKUP($B53,'4. CÀI ĐẶT'!$A$2:$H$32,4,FALSE)))</f>
        <v/>
      </c>
      <c r="H53" s="67">
        <f>IF($B53="",0,IF(LEFT($B53,1)="━",0,$C53*VLOOKUP($B53,'4. CÀI ĐẶT'!$A$2:$H$32,5,FALSE)))</f>
        <v/>
      </c>
      <c r="I53">
        <f>IF($B53="","",IF(LEFT($B53,1)="━","",VLOOKUP($B53,'4. CÀI ĐẶT'!$A$2:$H$32,6,FALSE)))</f>
        <v/>
      </c>
      <c r="J53" s="13">
        <f>IF($A53="","",EOMONTH($A53,0))</f>
        <v/>
      </c>
      <c r="K53" s="67">
        <f>IF($B53="",0,IF(LEFT($B53,1)="━",0,$C53*VLOOKUP($B53,'4. CÀI ĐẶT'!$A$2:$H$32,7,FALSE)))</f>
        <v/>
      </c>
    </row>
    <row r="54">
      <c r="A54" s="8" t="n"/>
      <c r="B54" s="9" t="n"/>
      <c r="C54" s="65" t="n"/>
      <c r="D54" s="9" t="n"/>
      <c r="E54" s="66">
        <f>IF($B54="","",IF(LEFT($B54,1)="━","⚠️ Chọn hạng mục cụ thể",$C54*VLOOKUP($B54,'4. CÀI ĐẶT'!$A$2:$H$32,2,FALSE)))</f>
        <v/>
      </c>
      <c r="F54" s="67">
        <f>IF($B54="",0,IF(LEFT($B54,1)="━",0,$C54*VLOOKUP($B54,'4. CÀI ĐẶT'!$A$2:$H$32,3,FALSE)))</f>
        <v/>
      </c>
      <c r="G54" s="67">
        <f>IF($B54="",0,IF(LEFT($B54,1)="━",0,$C54*VLOOKUP($B54,'4. CÀI ĐẶT'!$A$2:$H$32,4,FALSE)))</f>
        <v/>
      </c>
      <c r="H54" s="67">
        <f>IF($B54="",0,IF(LEFT($B54,1)="━",0,$C54*VLOOKUP($B54,'4. CÀI ĐẶT'!$A$2:$H$32,5,FALSE)))</f>
        <v/>
      </c>
      <c r="I54">
        <f>IF($B54="","",IF(LEFT($B54,1)="━","",VLOOKUP($B54,'4. CÀI ĐẶT'!$A$2:$H$32,6,FALSE)))</f>
        <v/>
      </c>
      <c r="J54" s="13">
        <f>IF($A54="","",EOMONTH($A54,0))</f>
        <v/>
      </c>
      <c r="K54" s="67">
        <f>IF($B54="",0,IF(LEFT($B54,1)="━",0,$C54*VLOOKUP($B54,'4. CÀI ĐẶT'!$A$2:$H$32,7,FALSE)))</f>
        <v/>
      </c>
    </row>
    <row r="55">
      <c r="A55" s="8" t="n"/>
      <c r="B55" s="9" t="n"/>
      <c r="C55" s="65" t="n"/>
      <c r="D55" s="9" t="n"/>
      <c r="E55" s="66">
        <f>IF($B55="","",IF(LEFT($B55,1)="━","⚠️ Chọn hạng mục cụ thể",$C55*VLOOKUP($B55,'4. CÀI ĐẶT'!$A$2:$H$32,2,FALSE)))</f>
        <v/>
      </c>
      <c r="F55" s="67">
        <f>IF($B55="",0,IF(LEFT($B55,1)="━",0,$C55*VLOOKUP($B55,'4. CÀI ĐẶT'!$A$2:$H$32,3,FALSE)))</f>
        <v/>
      </c>
      <c r="G55" s="67">
        <f>IF($B55="",0,IF(LEFT($B55,1)="━",0,$C55*VLOOKUP($B55,'4. CÀI ĐẶT'!$A$2:$H$32,4,FALSE)))</f>
        <v/>
      </c>
      <c r="H55" s="67">
        <f>IF($B55="",0,IF(LEFT($B55,1)="━",0,$C55*VLOOKUP($B55,'4. CÀI ĐẶT'!$A$2:$H$32,5,FALSE)))</f>
        <v/>
      </c>
      <c r="I55">
        <f>IF($B55="","",IF(LEFT($B55,1)="━","",VLOOKUP($B55,'4. CÀI ĐẶT'!$A$2:$H$32,6,FALSE)))</f>
        <v/>
      </c>
      <c r="J55" s="13">
        <f>IF($A55="","",EOMONTH($A55,0))</f>
        <v/>
      </c>
      <c r="K55" s="67">
        <f>IF($B55="",0,IF(LEFT($B55,1)="━",0,$C55*VLOOKUP($B55,'4. CÀI ĐẶT'!$A$2:$H$32,7,FALSE)))</f>
        <v/>
      </c>
    </row>
    <row r="56">
      <c r="A56" s="8" t="n"/>
      <c r="B56" s="9" t="n"/>
      <c r="C56" s="65" t="n"/>
      <c r="D56" s="9" t="n"/>
      <c r="E56" s="66">
        <f>IF($B56="","",IF(LEFT($B56,1)="━","⚠️ Chọn hạng mục cụ thể",$C56*VLOOKUP($B56,'4. CÀI ĐẶT'!$A$2:$H$32,2,FALSE)))</f>
        <v/>
      </c>
      <c r="F56" s="67">
        <f>IF($B56="",0,IF(LEFT($B56,1)="━",0,$C56*VLOOKUP($B56,'4. CÀI ĐẶT'!$A$2:$H$32,3,FALSE)))</f>
        <v/>
      </c>
      <c r="G56" s="67">
        <f>IF($B56="",0,IF(LEFT($B56,1)="━",0,$C56*VLOOKUP($B56,'4. CÀI ĐẶT'!$A$2:$H$32,4,FALSE)))</f>
        <v/>
      </c>
      <c r="H56" s="67">
        <f>IF($B56="",0,IF(LEFT($B56,1)="━",0,$C56*VLOOKUP($B56,'4. CÀI ĐẶT'!$A$2:$H$32,5,FALSE)))</f>
        <v/>
      </c>
      <c r="I56">
        <f>IF($B56="","",IF(LEFT($B56,1)="━","",VLOOKUP($B56,'4. CÀI ĐẶT'!$A$2:$H$32,6,FALSE)))</f>
        <v/>
      </c>
      <c r="J56" s="13">
        <f>IF($A56="","",EOMONTH($A56,0))</f>
        <v/>
      </c>
      <c r="K56" s="67">
        <f>IF($B56="",0,IF(LEFT($B56,1)="━",0,$C56*VLOOKUP($B56,'4. CÀI ĐẶT'!$A$2:$H$32,7,FALSE)))</f>
        <v/>
      </c>
    </row>
    <row r="57">
      <c r="A57" s="8" t="n"/>
      <c r="B57" s="9" t="n"/>
      <c r="C57" s="65" t="n"/>
      <c r="D57" s="9" t="n"/>
      <c r="E57" s="66">
        <f>IF($B57="","",IF(LEFT($B57,1)="━","⚠️ Chọn hạng mục cụ thể",$C57*VLOOKUP($B57,'4. CÀI ĐẶT'!$A$2:$H$32,2,FALSE)))</f>
        <v/>
      </c>
      <c r="F57" s="67">
        <f>IF($B57="",0,IF(LEFT($B57,1)="━",0,$C57*VLOOKUP($B57,'4. CÀI ĐẶT'!$A$2:$H$32,3,FALSE)))</f>
        <v/>
      </c>
      <c r="G57" s="67">
        <f>IF($B57="",0,IF(LEFT($B57,1)="━",0,$C57*VLOOKUP($B57,'4. CÀI ĐẶT'!$A$2:$H$32,4,FALSE)))</f>
        <v/>
      </c>
      <c r="H57" s="67">
        <f>IF($B57="",0,IF(LEFT($B57,1)="━",0,$C57*VLOOKUP($B57,'4. CÀI ĐẶT'!$A$2:$H$32,5,FALSE)))</f>
        <v/>
      </c>
      <c r="I57">
        <f>IF($B57="","",IF(LEFT($B57,1)="━","",VLOOKUP($B57,'4. CÀI ĐẶT'!$A$2:$H$32,6,FALSE)))</f>
        <v/>
      </c>
      <c r="J57" s="13">
        <f>IF($A57="","",EOMONTH($A57,0))</f>
        <v/>
      </c>
      <c r="K57" s="67">
        <f>IF($B57="",0,IF(LEFT($B57,1)="━",0,$C57*VLOOKUP($B57,'4. CÀI ĐẶT'!$A$2:$H$32,7,FALSE)))</f>
        <v/>
      </c>
    </row>
    <row r="58">
      <c r="A58" s="8" t="n"/>
      <c r="B58" s="9" t="n"/>
      <c r="C58" s="65" t="n"/>
      <c r="D58" s="9" t="n"/>
      <c r="E58" s="66">
        <f>IF($B58="","",IF(LEFT($B58,1)="━","⚠️ Chọn hạng mục cụ thể",$C58*VLOOKUP($B58,'4. CÀI ĐẶT'!$A$2:$H$32,2,FALSE)))</f>
        <v/>
      </c>
      <c r="F58" s="67">
        <f>IF($B58="",0,IF(LEFT($B58,1)="━",0,$C58*VLOOKUP($B58,'4. CÀI ĐẶT'!$A$2:$H$32,3,FALSE)))</f>
        <v/>
      </c>
      <c r="G58" s="67">
        <f>IF($B58="",0,IF(LEFT($B58,1)="━",0,$C58*VLOOKUP($B58,'4. CÀI ĐẶT'!$A$2:$H$32,4,FALSE)))</f>
        <v/>
      </c>
      <c r="H58" s="67">
        <f>IF($B58="",0,IF(LEFT($B58,1)="━",0,$C58*VLOOKUP($B58,'4. CÀI ĐẶT'!$A$2:$H$32,5,FALSE)))</f>
        <v/>
      </c>
      <c r="I58">
        <f>IF($B58="","",IF(LEFT($B58,1)="━","",VLOOKUP($B58,'4. CÀI ĐẶT'!$A$2:$H$32,6,FALSE)))</f>
        <v/>
      </c>
      <c r="J58" s="13">
        <f>IF($A58="","",EOMONTH($A58,0))</f>
        <v/>
      </c>
      <c r="K58" s="67">
        <f>IF($B58="",0,IF(LEFT($B58,1)="━",0,$C58*VLOOKUP($B58,'4. CÀI ĐẶT'!$A$2:$H$32,7,FALSE)))</f>
        <v/>
      </c>
    </row>
    <row r="59">
      <c r="A59" s="8" t="n"/>
      <c r="B59" s="9" t="n"/>
      <c r="C59" s="65" t="n"/>
      <c r="D59" s="9" t="n"/>
      <c r="E59" s="66">
        <f>IF($B59="","",IF(LEFT($B59,1)="━","⚠️ Chọn hạng mục cụ thể",$C59*VLOOKUP($B59,'4. CÀI ĐẶT'!$A$2:$H$32,2,FALSE)))</f>
        <v/>
      </c>
      <c r="F59" s="67">
        <f>IF($B59="",0,IF(LEFT($B59,1)="━",0,$C59*VLOOKUP($B59,'4. CÀI ĐẶT'!$A$2:$H$32,3,FALSE)))</f>
        <v/>
      </c>
      <c r="G59" s="67">
        <f>IF($B59="",0,IF(LEFT($B59,1)="━",0,$C59*VLOOKUP($B59,'4. CÀI ĐẶT'!$A$2:$H$32,4,FALSE)))</f>
        <v/>
      </c>
      <c r="H59" s="67">
        <f>IF($B59="",0,IF(LEFT($B59,1)="━",0,$C59*VLOOKUP($B59,'4. CÀI ĐẶT'!$A$2:$H$32,5,FALSE)))</f>
        <v/>
      </c>
      <c r="I59">
        <f>IF($B59="","",IF(LEFT($B59,1)="━","",VLOOKUP($B59,'4. CÀI ĐẶT'!$A$2:$H$32,6,FALSE)))</f>
        <v/>
      </c>
      <c r="J59" s="13">
        <f>IF($A59="","",EOMONTH($A59,0))</f>
        <v/>
      </c>
      <c r="K59" s="67">
        <f>IF($B59="",0,IF(LEFT($B59,1)="━",0,$C59*VLOOKUP($B59,'4. CÀI ĐẶT'!$A$2:$H$32,7,FALSE)))</f>
        <v/>
      </c>
    </row>
    <row r="60">
      <c r="A60" s="8" t="n"/>
      <c r="B60" s="9" t="n"/>
      <c r="C60" s="65" t="n"/>
      <c r="D60" s="9" t="n"/>
      <c r="E60" s="66">
        <f>IF($B60="","",IF(LEFT($B60,1)="━","⚠️ Chọn hạng mục cụ thể",$C60*VLOOKUP($B60,'4. CÀI ĐẶT'!$A$2:$H$32,2,FALSE)))</f>
        <v/>
      </c>
      <c r="F60" s="67">
        <f>IF($B60="",0,IF(LEFT($B60,1)="━",0,$C60*VLOOKUP($B60,'4. CÀI ĐẶT'!$A$2:$H$32,3,FALSE)))</f>
        <v/>
      </c>
      <c r="G60" s="67">
        <f>IF($B60="",0,IF(LEFT($B60,1)="━",0,$C60*VLOOKUP($B60,'4. CÀI ĐẶT'!$A$2:$H$32,4,FALSE)))</f>
        <v/>
      </c>
      <c r="H60" s="67">
        <f>IF($B60="",0,IF(LEFT($B60,1)="━",0,$C60*VLOOKUP($B60,'4. CÀI ĐẶT'!$A$2:$H$32,5,FALSE)))</f>
        <v/>
      </c>
      <c r="I60">
        <f>IF($B60="","",IF(LEFT($B60,1)="━","",VLOOKUP($B60,'4. CÀI ĐẶT'!$A$2:$H$32,6,FALSE)))</f>
        <v/>
      </c>
      <c r="J60" s="13">
        <f>IF($A60="","",EOMONTH($A60,0))</f>
        <v/>
      </c>
      <c r="K60" s="67">
        <f>IF($B60="",0,IF(LEFT($B60,1)="━",0,$C60*VLOOKUP($B60,'4. CÀI ĐẶT'!$A$2:$H$32,7,FALSE)))</f>
        <v/>
      </c>
    </row>
    <row r="61">
      <c r="A61" s="8" t="n"/>
      <c r="B61" s="9" t="n"/>
      <c r="C61" s="65" t="n"/>
      <c r="D61" s="9" t="n"/>
      <c r="E61" s="66">
        <f>IF($B61="","",IF(LEFT($B61,1)="━","⚠️ Chọn hạng mục cụ thể",$C61*VLOOKUP($B61,'4. CÀI ĐẶT'!$A$2:$H$32,2,FALSE)))</f>
        <v/>
      </c>
      <c r="F61" s="67">
        <f>IF($B61="",0,IF(LEFT($B61,1)="━",0,$C61*VLOOKUP($B61,'4. CÀI ĐẶT'!$A$2:$H$32,3,FALSE)))</f>
        <v/>
      </c>
      <c r="G61" s="67">
        <f>IF($B61="",0,IF(LEFT($B61,1)="━",0,$C61*VLOOKUP($B61,'4. CÀI ĐẶT'!$A$2:$H$32,4,FALSE)))</f>
        <v/>
      </c>
      <c r="H61" s="67">
        <f>IF($B61="",0,IF(LEFT($B61,1)="━",0,$C61*VLOOKUP($B61,'4. CÀI ĐẶT'!$A$2:$H$32,5,FALSE)))</f>
        <v/>
      </c>
      <c r="I61">
        <f>IF($B61="","",IF(LEFT($B61,1)="━","",VLOOKUP($B61,'4. CÀI ĐẶT'!$A$2:$H$32,6,FALSE)))</f>
        <v/>
      </c>
      <c r="J61" s="13">
        <f>IF($A61="","",EOMONTH($A61,0))</f>
        <v/>
      </c>
      <c r="K61" s="67">
        <f>IF($B61="",0,IF(LEFT($B61,1)="━",0,$C61*VLOOKUP($B61,'4. CÀI ĐẶT'!$A$2:$H$32,7,FALSE)))</f>
        <v/>
      </c>
    </row>
    <row r="62">
      <c r="A62" s="8" t="n"/>
      <c r="B62" s="9" t="n"/>
      <c r="C62" s="65" t="n"/>
      <c r="D62" s="9" t="n"/>
      <c r="E62" s="66">
        <f>IF($B62="","",IF(LEFT($B62,1)="━","⚠️ Chọn hạng mục cụ thể",$C62*VLOOKUP($B62,'4. CÀI ĐẶT'!$A$2:$H$32,2,FALSE)))</f>
        <v/>
      </c>
      <c r="F62" s="67">
        <f>IF($B62="",0,IF(LEFT($B62,1)="━",0,$C62*VLOOKUP($B62,'4. CÀI ĐẶT'!$A$2:$H$32,3,FALSE)))</f>
        <v/>
      </c>
      <c r="G62" s="67">
        <f>IF($B62="",0,IF(LEFT($B62,1)="━",0,$C62*VLOOKUP($B62,'4. CÀI ĐẶT'!$A$2:$H$32,4,FALSE)))</f>
        <v/>
      </c>
      <c r="H62" s="67">
        <f>IF($B62="",0,IF(LEFT($B62,1)="━",0,$C62*VLOOKUP($B62,'4. CÀI ĐẶT'!$A$2:$H$32,5,FALSE)))</f>
        <v/>
      </c>
      <c r="I62">
        <f>IF($B62="","",IF(LEFT($B62,1)="━","",VLOOKUP($B62,'4. CÀI ĐẶT'!$A$2:$H$32,6,FALSE)))</f>
        <v/>
      </c>
      <c r="J62" s="13">
        <f>IF($A62="","",EOMONTH($A62,0))</f>
        <v/>
      </c>
      <c r="K62" s="67">
        <f>IF($B62="",0,IF(LEFT($B62,1)="━",0,$C62*VLOOKUP($B62,'4. CÀI ĐẶT'!$A$2:$H$32,7,FALSE)))</f>
        <v/>
      </c>
    </row>
    <row r="63">
      <c r="A63" s="8" t="n"/>
      <c r="B63" s="9" t="n"/>
      <c r="C63" s="65" t="n"/>
      <c r="D63" s="9" t="n"/>
      <c r="E63" s="66">
        <f>IF($B63="","",IF(LEFT($B63,1)="━","⚠️ Chọn hạng mục cụ thể",$C63*VLOOKUP($B63,'4. CÀI ĐẶT'!$A$2:$H$32,2,FALSE)))</f>
        <v/>
      </c>
      <c r="F63" s="67">
        <f>IF($B63="",0,IF(LEFT($B63,1)="━",0,$C63*VLOOKUP($B63,'4. CÀI ĐẶT'!$A$2:$H$32,3,FALSE)))</f>
        <v/>
      </c>
      <c r="G63" s="67">
        <f>IF($B63="",0,IF(LEFT($B63,1)="━",0,$C63*VLOOKUP($B63,'4. CÀI ĐẶT'!$A$2:$H$32,4,FALSE)))</f>
        <v/>
      </c>
      <c r="H63" s="67">
        <f>IF($B63="",0,IF(LEFT($B63,1)="━",0,$C63*VLOOKUP($B63,'4. CÀI ĐẶT'!$A$2:$H$32,5,FALSE)))</f>
        <v/>
      </c>
      <c r="I63">
        <f>IF($B63="","",IF(LEFT($B63,1)="━","",VLOOKUP($B63,'4. CÀI ĐẶT'!$A$2:$H$32,6,FALSE)))</f>
        <v/>
      </c>
      <c r="J63" s="13">
        <f>IF($A63="","",EOMONTH($A63,0))</f>
        <v/>
      </c>
      <c r="K63" s="67">
        <f>IF($B63="",0,IF(LEFT($B63,1)="━",0,$C63*VLOOKUP($B63,'4. CÀI ĐẶT'!$A$2:$H$32,7,FALSE)))</f>
        <v/>
      </c>
    </row>
    <row r="64">
      <c r="A64" s="8" t="n"/>
      <c r="B64" s="9" t="n"/>
      <c r="C64" s="65" t="n"/>
      <c r="D64" s="9" t="n"/>
      <c r="E64" s="66">
        <f>IF($B64="","",IF(LEFT($B64,1)="━","⚠️ Chọn hạng mục cụ thể",$C64*VLOOKUP($B64,'4. CÀI ĐẶT'!$A$2:$H$32,2,FALSE)))</f>
        <v/>
      </c>
      <c r="F64" s="67">
        <f>IF($B64="",0,IF(LEFT($B64,1)="━",0,$C64*VLOOKUP($B64,'4. CÀI ĐẶT'!$A$2:$H$32,3,FALSE)))</f>
        <v/>
      </c>
      <c r="G64" s="67">
        <f>IF($B64="",0,IF(LEFT($B64,1)="━",0,$C64*VLOOKUP($B64,'4. CÀI ĐẶT'!$A$2:$H$32,4,FALSE)))</f>
        <v/>
      </c>
      <c r="H64" s="67">
        <f>IF($B64="",0,IF(LEFT($B64,1)="━",0,$C64*VLOOKUP($B64,'4. CÀI ĐẶT'!$A$2:$H$32,5,FALSE)))</f>
        <v/>
      </c>
      <c r="I64">
        <f>IF($B64="","",IF(LEFT($B64,1)="━","",VLOOKUP($B64,'4. CÀI ĐẶT'!$A$2:$H$32,6,FALSE)))</f>
        <v/>
      </c>
      <c r="J64" s="13">
        <f>IF($A64="","",EOMONTH($A64,0))</f>
        <v/>
      </c>
      <c r="K64" s="67">
        <f>IF($B64="",0,IF(LEFT($B64,1)="━",0,$C64*VLOOKUP($B64,'4. CÀI ĐẶT'!$A$2:$H$32,7,FALSE)))</f>
        <v/>
      </c>
    </row>
    <row r="65">
      <c r="A65" s="8" t="n"/>
      <c r="B65" s="9" t="n"/>
      <c r="C65" s="65" t="n"/>
      <c r="D65" s="9" t="n"/>
      <c r="E65" s="66">
        <f>IF($B65="","",IF(LEFT($B65,1)="━","⚠️ Chọn hạng mục cụ thể",$C65*VLOOKUP($B65,'4. CÀI ĐẶT'!$A$2:$H$32,2,FALSE)))</f>
        <v/>
      </c>
      <c r="F65" s="67">
        <f>IF($B65="",0,IF(LEFT($B65,1)="━",0,$C65*VLOOKUP($B65,'4. CÀI ĐẶT'!$A$2:$H$32,3,FALSE)))</f>
        <v/>
      </c>
      <c r="G65" s="67">
        <f>IF($B65="",0,IF(LEFT($B65,1)="━",0,$C65*VLOOKUP($B65,'4. CÀI ĐẶT'!$A$2:$H$32,4,FALSE)))</f>
        <v/>
      </c>
      <c r="H65" s="67">
        <f>IF($B65="",0,IF(LEFT($B65,1)="━",0,$C65*VLOOKUP($B65,'4. CÀI ĐẶT'!$A$2:$H$32,5,FALSE)))</f>
        <v/>
      </c>
      <c r="I65">
        <f>IF($B65="","",IF(LEFT($B65,1)="━","",VLOOKUP($B65,'4. CÀI ĐẶT'!$A$2:$H$32,6,FALSE)))</f>
        <v/>
      </c>
      <c r="J65" s="13">
        <f>IF($A65="","",EOMONTH($A65,0))</f>
        <v/>
      </c>
      <c r="K65" s="67">
        <f>IF($B65="",0,IF(LEFT($B65,1)="━",0,$C65*VLOOKUP($B65,'4. CÀI ĐẶT'!$A$2:$H$32,7,FALSE)))</f>
        <v/>
      </c>
    </row>
    <row r="66">
      <c r="A66" s="8" t="n"/>
      <c r="B66" s="9" t="n"/>
      <c r="C66" s="65" t="n"/>
      <c r="D66" s="9" t="n"/>
      <c r="E66" s="66">
        <f>IF($B66="","",IF(LEFT($B66,1)="━","⚠️ Chọn hạng mục cụ thể",$C66*VLOOKUP($B66,'4. CÀI ĐẶT'!$A$2:$H$32,2,FALSE)))</f>
        <v/>
      </c>
      <c r="F66" s="67">
        <f>IF($B66="",0,IF(LEFT($B66,1)="━",0,$C66*VLOOKUP($B66,'4. CÀI ĐẶT'!$A$2:$H$32,3,FALSE)))</f>
        <v/>
      </c>
      <c r="G66" s="67">
        <f>IF($B66="",0,IF(LEFT($B66,1)="━",0,$C66*VLOOKUP($B66,'4. CÀI ĐẶT'!$A$2:$H$32,4,FALSE)))</f>
        <v/>
      </c>
      <c r="H66" s="67">
        <f>IF($B66="",0,IF(LEFT($B66,1)="━",0,$C66*VLOOKUP($B66,'4. CÀI ĐẶT'!$A$2:$H$32,5,FALSE)))</f>
        <v/>
      </c>
      <c r="I66">
        <f>IF($B66="","",IF(LEFT($B66,1)="━","",VLOOKUP($B66,'4. CÀI ĐẶT'!$A$2:$H$32,6,FALSE)))</f>
        <v/>
      </c>
      <c r="J66" s="13">
        <f>IF($A66="","",EOMONTH($A66,0))</f>
        <v/>
      </c>
      <c r="K66" s="67">
        <f>IF($B66="",0,IF(LEFT($B66,1)="━",0,$C66*VLOOKUP($B66,'4. CÀI ĐẶT'!$A$2:$H$32,7,FALSE)))</f>
        <v/>
      </c>
    </row>
    <row r="67">
      <c r="A67" s="8" t="n"/>
      <c r="B67" s="9" t="n"/>
      <c r="C67" s="65" t="n"/>
      <c r="D67" s="9" t="n"/>
      <c r="E67" s="66">
        <f>IF($B67="","",IF(LEFT($B67,1)="━","⚠️ Chọn hạng mục cụ thể",$C67*VLOOKUP($B67,'4. CÀI ĐẶT'!$A$2:$H$32,2,FALSE)))</f>
        <v/>
      </c>
      <c r="F67" s="67">
        <f>IF($B67="",0,IF(LEFT($B67,1)="━",0,$C67*VLOOKUP($B67,'4. CÀI ĐẶT'!$A$2:$H$32,3,FALSE)))</f>
        <v/>
      </c>
      <c r="G67" s="67">
        <f>IF($B67="",0,IF(LEFT($B67,1)="━",0,$C67*VLOOKUP($B67,'4. CÀI ĐẶT'!$A$2:$H$32,4,FALSE)))</f>
        <v/>
      </c>
      <c r="H67" s="67">
        <f>IF($B67="",0,IF(LEFT($B67,1)="━",0,$C67*VLOOKUP($B67,'4. CÀI ĐẶT'!$A$2:$H$32,5,FALSE)))</f>
        <v/>
      </c>
      <c r="I67">
        <f>IF($B67="","",IF(LEFT($B67,1)="━","",VLOOKUP($B67,'4. CÀI ĐẶT'!$A$2:$H$32,6,FALSE)))</f>
        <v/>
      </c>
      <c r="J67" s="13">
        <f>IF($A67="","",EOMONTH($A67,0))</f>
        <v/>
      </c>
      <c r="K67" s="67">
        <f>IF($B67="",0,IF(LEFT($B67,1)="━",0,$C67*VLOOKUP($B67,'4. CÀI ĐẶT'!$A$2:$H$32,7,FALSE)))</f>
        <v/>
      </c>
    </row>
    <row r="68">
      <c r="A68" s="8" t="n"/>
      <c r="B68" s="9" t="n"/>
      <c r="C68" s="65" t="n"/>
      <c r="D68" s="9" t="n"/>
      <c r="E68" s="66">
        <f>IF($B68="","",IF(LEFT($B68,1)="━","⚠️ Chọn hạng mục cụ thể",$C68*VLOOKUP($B68,'4. CÀI ĐẶT'!$A$2:$H$32,2,FALSE)))</f>
        <v/>
      </c>
      <c r="F68" s="67">
        <f>IF($B68="",0,IF(LEFT($B68,1)="━",0,$C68*VLOOKUP($B68,'4. CÀI ĐẶT'!$A$2:$H$32,3,FALSE)))</f>
        <v/>
      </c>
      <c r="G68" s="67">
        <f>IF($B68="",0,IF(LEFT($B68,1)="━",0,$C68*VLOOKUP($B68,'4. CÀI ĐẶT'!$A$2:$H$32,4,FALSE)))</f>
        <v/>
      </c>
      <c r="H68" s="67">
        <f>IF($B68="",0,IF(LEFT($B68,1)="━",0,$C68*VLOOKUP($B68,'4. CÀI ĐẶT'!$A$2:$H$32,5,FALSE)))</f>
        <v/>
      </c>
      <c r="I68">
        <f>IF($B68="","",IF(LEFT($B68,1)="━","",VLOOKUP($B68,'4. CÀI ĐẶT'!$A$2:$H$32,6,FALSE)))</f>
        <v/>
      </c>
      <c r="J68" s="13">
        <f>IF($A68="","",EOMONTH($A68,0))</f>
        <v/>
      </c>
      <c r="K68" s="67">
        <f>IF($B68="",0,IF(LEFT($B68,1)="━",0,$C68*VLOOKUP($B68,'4. CÀI ĐẶT'!$A$2:$H$32,7,FALSE)))</f>
        <v/>
      </c>
    </row>
    <row r="69">
      <c r="A69" s="8" t="n"/>
      <c r="B69" s="9" t="n"/>
      <c r="C69" s="65" t="n"/>
      <c r="D69" s="9" t="n"/>
      <c r="E69" s="66">
        <f>IF($B69="","",IF(LEFT($B69,1)="━","⚠️ Chọn hạng mục cụ thể",$C69*VLOOKUP($B69,'4. CÀI ĐẶT'!$A$2:$H$32,2,FALSE)))</f>
        <v/>
      </c>
      <c r="F69" s="67">
        <f>IF($B69="",0,IF(LEFT($B69,1)="━",0,$C69*VLOOKUP($B69,'4. CÀI ĐẶT'!$A$2:$H$32,3,FALSE)))</f>
        <v/>
      </c>
      <c r="G69" s="67">
        <f>IF($B69="",0,IF(LEFT($B69,1)="━",0,$C69*VLOOKUP($B69,'4. CÀI ĐẶT'!$A$2:$H$32,4,FALSE)))</f>
        <v/>
      </c>
      <c r="H69" s="67">
        <f>IF($B69="",0,IF(LEFT($B69,1)="━",0,$C69*VLOOKUP($B69,'4. CÀI ĐẶT'!$A$2:$H$32,5,FALSE)))</f>
        <v/>
      </c>
      <c r="I69">
        <f>IF($B69="","",IF(LEFT($B69,1)="━","",VLOOKUP($B69,'4. CÀI ĐẶT'!$A$2:$H$32,6,FALSE)))</f>
        <v/>
      </c>
      <c r="J69" s="13">
        <f>IF($A69="","",EOMONTH($A69,0))</f>
        <v/>
      </c>
      <c r="K69" s="67">
        <f>IF($B69="",0,IF(LEFT($B69,1)="━",0,$C69*VLOOKUP($B69,'4. CÀI ĐẶT'!$A$2:$H$32,7,FALSE)))</f>
        <v/>
      </c>
    </row>
    <row r="70">
      <c r="A70" s="8" t="n"/>
      <c r="B70" s="9" t="n"/>
      <c r="C70" s="65" t="n"/>
      <c r="D70" s="9" t="n"/>
      <c r="E70" s="66">
        <f>IF($B70="","",IF(LEFT($B70,1)="━","⚠️ Chọn hạng mục cụ thể",$C70*VLOOKUP($B70,'4. CÀI ĐẶT'!$A$2:$H$32,2,FALSE)))</f>
        <v/>
      </c>
      <c r="F70" s="67">
        <f>IF($B70="",0,IF(LEFT($B70,1)="━",0,$C70*VLOOKUP($B70,'4. CÀI ĐẶT'!$A$2:$H$32,3,FALSE)))</f>
        <v/>
      </c>
      <c r="G70" s="67">
        <f>IF($B70="",0,IF(LEFT($B70,1)="━",0,$C70*VLOOKUP($B70,'4. CÀI ĐẶT'!$A$2:$H$32,4,FALSE)))</f>
        <v/>
      </c>
      <c r="H70" s="67">
        <f>IF($B70="",0,IF(LEFT($B70,1)="━",0,$C70*VLOOKUP($B70,'4. CÀI ĐẶT'!$A$2:$H$32,5,FALSE)))</f>
        <v/>
      </c>
      <c r="I70">
        <f>IF($B70="","",IF(LEFT($B70,1)="━","",VLOOKUP($B70,'4. CÀI ĐẶT'!$A$2:$H$32,6,FALSE)))</f>
        <v/>
      </c>
      <c r="J70" s="13">
        <f>IF($A70="","",EOMONTH($A70,0))</f>
        <v/>
      </c>
      <c r="K70" s="67">
        <f>IF($B70="",0,IF(LEFT($B70,1)="━",0,$C70*VLOOKUP($B70,'4. CÀI ĐẶT'!$A$2:$H$32,7,FALSE)))</f>
        <v/>
      </c>
    </row>
    <row r="71">
      <c r="A71" s="8" t="n"/>
      <c r="B71" s="9" t="n"/>
      <c r="C71" s="65" t="n"/>
      <c r="D71" s="9" t="n"/>
      <c r="E71" s="66">
        <f>IF($B71="","",IF(LEFT($B71,1)="━","⚠️ Chọn hạng mục cụ thể",$C71*VLOOKUP($B71,'4. CÀI ĐẶT'!$A$2:$H$32,2,FALSE)))</f>
        <v/>
      </c>
      <c r="F71" s="67">
        <f>IF($B71="",0,IF(LEFT($B71,1)="━",0,$C71*VLOOKUP($B71,'4. CÀI ĐẶT'!$A$2:$H$32,3,FALSE)))</f>
        <v/>
      </c>
      <c r="G71" s="67">
        <f>IF($B71="",0,IF(LEFT($B71,1)="━",0,$C71*VLOOKUP($B71,'4. CÀI ĐẶT'!$A$2:$H$32,4,FALSE)))</f>
        <v/>
      </c>
      <c r="H71" s="67">
        <f>IF($B71="",0,IF(LEFT($B71,1)="━",0,$C71*VLOOKUP($B71,'4. CÀI ĐẶT'!$A$2:$H$32,5,FALSE)))</f>
        <v/>
      </c>
      <c r="I71">
        <f>IF($B71="","",IF(LEFT($B71,1)="━","",VLOOKUP($B71,'4. CÀI ĐẶT'!$A$2:$H$32,6,FALSE)))</f>
        <v/>
      </c>
      <c r="J71" s="13">
        <f>IF($A71="","",EOMONTH($A71,0))</f>
        <v/>
      </c>
      <c r="K71" s="67">
        <f>IF($B71="",0,IF(LEFT($B71,1)="━",0,$C71*VLOOKUP($B71,'4. CÀI ĐẶT'!$A$2:$H$32,7,FALSE)))</f>
        <v/>
      </c>
    </row>
    <row r="72">
      <c r="A72" s="8" t="n"/>
      <c r="B72" s="9" t="n"/>
      <c r="C72" s="65" t="n"/>
      <c r="D72" s="9" t="n"/>
      <c r="E72" s="66">
        <f>IF($B72="","",IF(LEFT($B72,1)="━","⚠️ Chọn hạng mục cụ thể",$C72*VLOOKUP($B72,'4. CÀI ĐẶT'!$A$2:$H$32,2,FALSE)))</f>
        <v/>
      </c>
      <c r="F72" s="67">
        <f>IF($B72="",0,IF(LEFT($B72,1)="━",0,$C72*VLOOKUP($B72,'4. CÀI ĐẶT'!$A$2:$H$32,3,FALSE)))</f>
        <v/>
      </c>
      <c r="G72" s="67">
        <f>IF($B72="",0,IF(LEFT($B72,1)="━",0,$C72*VLOOKUP($B72,'4. CÀI ĐẶT'!$A$2:$H$32,4,FALSE)))</f>
        <v/>
      </c>
      <c r="H72" s="67">
        <f>IF($B72="",0,IF(LEFT($B72,1)="━",0,$C72*VLOOKUP($B72,'4. CÀI ĐẶT'!$A$2:$H$32,5,FALSE)))</f>
        <v/>
      </c>
      <c r="I72">
        <f>IF($B72="","",IF(LEFT($B72,1)="━","",VLOOKUP($B72,'4. CÀI ĐẶT'!$A$2:$H$32,6,FALSE)))</f>
        <v/>
      </c>
      <c r="J72" s="13">
        <f>IF($A72="","",EOMONTH($A72,0))</f>
        <v/>
      </c>
      <c r="K72" s="67">
        <f>IF($B72="",0,IF(LEFT($B72,1)="━",0,$C72*VLOOKUP($B72,'4. CÀI ĐẶT'!$A$2:$H$32,7,FALSE)))</f>
        <v/>
      </c>
    </row>
    <row r="73">
      <c r="A73" s="8" t="n"/>
      <c r="B73" s="9" t="n"/>
      <c r="C73" s="65" t="n"/>
      <c r="D73" s="9" t="n"/>
      <c r="E73" s="66">
        <f>IF($B73="","",IF(LEFT($B73,1)="━","⚠️ Chọn hạng mục cụ thể",$C73*VLOOKUP($B73,'4. CÀI ĐẶT'!$A$2:$H$32,2,FALSE)))</f>
        <v/>
      </c>
      <c r="F73" s="67">
        <f>IF($B73="",0,IF(LEFT($B73,1)="━",0,$C73*VLOOKUP($B73,'4. CÀI ĐẶT'!$A$2:$H$32,3,FALSE)))</f>
        <v/>
      </c>
      <c r="G73" s="67">
        <f>IF($B73="",0,IF(LEFT($B73,1)="━",0,$C73*VLOOKUP($B73,'4. CÀI ĐẶT'!$A$2:$H$32,4,FALSE)))</f>
        <v/>
      </c>
      <c r="H73" s="67">
        <f>IF($B73="",0,IF(LEFT($B73,1)="━",0,$C73*VLOOKUP($B73,'4. CÀI ĐẶT'!$A$2:$H$32,5,FALSE)))</f>
        <v/>
      </c>
      <c r="I73">
        <f>IF($B73="","",IF(LEFT($B73,1)="━","",VLOOKUP($B73,'4. CÀI ĐẶT'!$A$2:$H$32,6,FALSE)))</f>
        <v/>
      </c>
      <c r="J73" s="13">
        <f>IF($A73="","",EOMONTH($A73,0))</f>
        <v/>
      </c>
      <c r="K73" s="67">
        <f>IF($B73="",0,IF(LEFT($B73,1)="━",0,$C73*VLOOKUP($B73,'4. CÀI ĐẶT'!$A$2:$H$32,7,FALSE)))</f>
        <v/>
      </c>
    </row>
    <row r="74">
      <c r="A74" s="8" t="n"/>
      <c r="B74" s="9" t="n"/>
      <c r="C74" s="65" t="n"/>
      <c r="D74" s="9" t="n"/>
      <c r="E74" s="66">
        <f>IF($B74="","",IF(LEFT($B74,1)="━","⚠️ Chọn hạng mục cụ thể",$C74*VLOOKUP($B74,'4. CÀI ĐẶT'!$A$2:$H$32,2,FALSE)))</f>
        <v/>
      </c>
      <c r="F74" s="67">
        <f>IF($B74="",0,IF(LEFT($B74,1)="━",0,$C74*VLOOKUP($B74,'4. CÀI ĐẶT'!$A$2:$H$32,3,FALSE)))</f>
        <v/>
      </c>
      <c r="G74" s="67">
        <f>IF($B74="",0,IF(LEFT($B74,1)="━",0,$C74*VLOOKUP($B74,'4. CÀI ĐẶT'!$A$2:$H$32,4,FALSE)))</f>
        <v/>
      </c>
      <c r="H74" s="67">
        <f>IF($B74="",0,IF(LEFT($B74,1)="━",0,$C74*VLOOKUP($B74,'4. CÀI ĐẶT'!$A$2:$H$32,5,FALSE)))</f>
        <v/>
      </c>
      <c r="I74">
        <f>IF($B74="","",IF(LEFT($B74,1)="━","",VLOOKUP($B74,'4. CÀI ĐẶT'!$A$2:$H$32,6,FALSE)))</f>
        <v/>
      </c>
      <c r="J74" s="13">
        <f>IF($A74="","",EOMONTH($A74,0))</f>
        <v/>
      </c>
      <c r="K74" s="67">
        <f>IF($B74="",0,IF(LEFT($B74,1)="━",0,$C74*VLOOKUP($B74,'4. CÀI ĐẶT'!$A$2:$H$32,7,FALSE)))</f>
        <v/>
      </c>
    </row>
    <row r="75">
      <c r="A75" s="8" t="n"/>
      <c r="B75" s="9" t="n"/>
      <c r="C75" s="65" t="n"/>
      <c r="D75" s="9" t="n"/>
      <c r="E75" s="66">
        <f>IF($B75="","",IF(LEFT($B75,1)="━","⚠️ Chọn hạng mục cụ thể",$C75*VLOOKUP($B75,'4. CÀI ĐẶT'!$A$2:$H$32,2,FALSE)))</f>
        <v/>
      </c>
      <c r="F75" s="67">
        <f>IF($B75="",0,IF(LEFT($B75,1)="━",0,$C75*VLOOKUP($B75,'4. CÀI ĐẶT'!$A$2:$H$32,3,FALSE)))</f>
        <v/>
      </c>
      <c r="G75" s="67">
        <f>IF($B75="",0,IF(LEFT($B75,1)="━",0,$C75*VLOOKUP($B75,'4. CÀI ĐẶT'!$A$2:$H$32,4,FALSE)))</f>
        <v/>
      </c>
      <c r="H75" s="67">
        <f>IF($B75="",0,IF(LEFT($B75,1)="━",0,$C75*VLOOKUP($B75,'4. CÀI ĐẶT'!$A$2:$H$32,5,FALSE)))</f>
        <v/>
      </c>
      <c r="I75">
        <f>IF($B75="","",IF(LEFT($B75,1)="━","",VLOOKUP($B75,'4. CÀI ĐẶT'!$A$2:$H$32,6,FALSE)))</f>
        <v/>
      </c>
      <c r="J75" s="13">
        <f>IF($A75="","",EOMONTH($A75,0))</f>
        <v/>
      </c>
      <c r="K75" s="67">
        <f>IF($B75="",0,IF(LEFT($B75,1)="━",0,$C75*VLOOKUP($B75,'4. CÀI ĐẶT'!$A$2:$H$32,7,FALSE)))</f>
        <v/>
      </c>
    </row>
    <row r="76">
      <c r="A76" s="8" t="n"/>
      <c r="B76" s="9" t="n"/>
      <c r="C76" s="65" t="n"/>
      <c r="D76" s="9" t="n"/>
      <c r="E76" s="66">
        <f>IF($B76="","",IF(LEFT($B76,1)="━","⚠️ Chọn hạng mục cụ thể",$C76*VLOOKUP($B76,'4. CÀI ĐẶT'!$A$2:$H$32,2,FALSE)))</f>
        <v/>
      </c>
      <c r="F76" s="67">
        <f>IF($B76="",0,IF(LEFT($B76,1)="━",0,$C76*VLOOKUP($B76,'4. CÀI ĐẶT'!$A$2:$H$32,3,FALSE)))</f>
        <v/>
      </c>
      <c r="G76" s="67">
        <f>IF($B76="",0,IF(LEFT($B76,1)="━",0,$C76*VLOOKUP($B76,'4. CÀI ĐẶT'!$A$2:$H$32,4,FALSE)))</f>
        <v/>
      </c>
      <c r="H76" s="67">
        <f>IF($B76="",0,IF(LEFT($B76,1)="━",0,$C76*VLOOKUP($B76,'4. CÀI ĐẶT'!$A$2:$H$32,5,FALSE)))</f>
        <v/>
      </c>
      <c r="I76">
        <f>IF($B76="","",IF(LEFT($B76,1)="━","",VLOOKUP($B76,'4. CÀI ĐẶT'!$A$2:$H$32,6,FALSE)))</f>
        <v/>
      </c>
      <c r="J76" s="13">
        <f>IF($A76="","",EOMONTH($A76,0))</f>
        <v/>
      </c>
      <c r="K76" s="67">
        <f>IF($B76="",0,IF(LEFT($B76,1)="━",0,$C76*VLOOKUP($B76,'4. CÀI ĐẶT'!$A$2:$H$32,7,FALSE)))</f>
        <v/>
      </c>
    </row>
    <row r="77">
      <c r="A77" s="8" t="n"/>
      <c r="B77" s="9" t="n"/>
      <c r="C77" s="65" t="n"/>
      <c r="D77" s="9" t="n"/>
      <c r="E77" s="66">
        <f>IF($B77="","",IF(LEFT($B77,1)="━","⚠️ Chọn hạng mục cụ thể",$C77*VLOOKUP($B77,'4. CÀI ĐẶT'!$A$2:$H$32,2,FALSE)))</f>
        <v/>
      </c>
      <c r="F77" s="67">
        <f>IF($B77="",0,IF(LEFT($B77,1)="━",0,$C77*VLOOKUP($B77,'4. CÀI ĐẶT'!$A$2:$H$32,3,FALSE)))</f>
        <v/>
      </c>
      <c r="G77" s="67">
        <f>IF($B77="",0,IF(LEFT($B77,1)="━",0,$C77*VLOOKUP($B77,'4. CÀI ĐẶT'!$A$2:$H$32,4,FALSE)))</f>
        <v/>
      </c>
      <c r="H77" s="67">
        <f>IF($B77="",0,IF(LEFT($B77,1)="━",0,$C77*VLOOKUP($B77,'4. CÀI ĐẶT'!$A$2:$H$32,5,FALSE)))</f>
        <v/>
      </c>
      <c r="I77">
        <f>IF($B77="","",IF(LEFT($B77,1)="━","",VLOOKUP($B77,'4. CÀI ĐẶT'!$A$2:$H$32,6,FALSE)))</f>
        <v/>
      </c>
      <c r="J77" s="13">
        <f>IF($A77="","",EOMONTH($A77,0))</f>
        <v/>
      </c>
      <c r="K77" s="67">
        <f>IF($B77="",0,IF(LEFT($B77,1)="━",0,$C77*VLOOKUP($B77,'4. CÀI ĐẶT'!$A$2:$H$32,7,FALSE)))</f>
        <v/>
      </c>
    </row>
    <row r="78">
      <c r="A78" s="8" t="n"/>
      <c r="B78" s="9" t="n"/>
      <c r="C78" s="65" t="n"/>
      <c r="D78" s="9" t="n"/>
      <c r="E78" s="66">
        <f>IF($B78="","",IF(LEFT($B78,1)="━","⚠️ Chọn hạng mục cụ thể",$C78*VLOOKUP($B78,'4. CÀI ĐẶT'!$A$2:$H$32,2,FALSE)))</f>
        <v/>
      </c>
      <c r="F78" s="67">
        <f>IF($B78="",0,IF(LEFT($B78,1)="━",0,$C78*VLOOKUP($B78,'4. CÀI ĐẶT'!$A$2:$H$32,3,FALSE)))</f>
        <v/>
      </c>
      <c r="G78" s="67">
        <f>IF($B78="",0,IF(LEFT($B78,1)="━",0,$C78*VLOOKUP($B78,'4. CÀI ĐẶT'!$A$2:$H$32,4,FALSE)))</f>
        <v/>
      </c>
      <c r="H78" s="67">
        <f>IF($B78="",0,IF(LEFT($B78,1)="━",0,$C78*VLOOKUP($B78,'4. CÀI ĐẶT'!$A$2:$H$32,5,FALSE)))</f>
        <v/>
      </c>
      <c r="I78">
        <f>IF($B78="","",IF(LEFT($B78,1)="━","",VLOOKUP($B78,'4. CÀI ĐẶT'!$A$2:$H$32,6,FALSE)))</f>
        <v/>
      </c>
      <c r="J78" s="13">
        <f>IF($A78="","",EOMONTH($A78,0))</f>
        <v/>
      </c>
      <c r="K78" s="67">
        <f>IF($B78="",0,IF(LEFT($B78,1)="━",0,$C78*VLOOKUP($B78,'4. CÀI ĐẶT'!$A$2:$H$32,7,FALSE)))</f>
        <v/>
      </c>
    </row>
    <row r="79">
      <c r="A79" s="8" t="n"/>
      <c r="B79" s="9" t="n"/>
      <c r="C79" s="65" t="n"/>
      <c r="D79" s="9" t="n"/>
      <c r="E79" s="66">
        <f>IF($B79="","",IF(LEFT($B79,1)="━","⚠️ Chọn hạng mục cụ thể",$C79*VLOOKUP($B79,'4. CÀI ĐẶT'!$A$2:$H$32,2,FALSE)))</f>
        <v/>
      </c>
      <c r="F79" s="67">
        <f>IF($B79="",0,IF(LEFT($B79,1)="━",0,$C79*VLOOKUP($B79,'4. CÀI ĐẶT'!$A$2:$H$32,3,FALSE)))</f>
        <v/>
      </c>
      <c r="G79" s="67">
        <f>IF($B79="",0,IF(LEFT($B79,1)="━",0,$C79*VLOOKUP($B79,'4. CÀI ĐẶT'!$A$2:$H$32,4,FALSE)))</f>
        <v/>
      </c>
      <c r="H79" s="67">
        <f>IF($B79="",0,IF(LEFT($B79,1)="━",0,$C79*VLOOKUP($B79,'4. CÀI ĐẶT'!$A$2:$H$32,5,FALSE)))</f>
        <v/>
      </c>
      <c r="I79">
        <f>IF($B79="","",IF(LEFT($B79,1)="━","",VLOOKUP($B79,'4. CÀI ĐẶT'!$A$2:$H$32,6,FALSE)))</f>
        <v/>
      </c>
      <c r="J79" s="13">
        <f>IF($A79="","",EOMONTH($A79,0))</f>
        <v/>
      </c>
      <c r="K79" s="67">
        <f>IF($B79="",0,IF(LEFT($B79,1)="━",0,$C79*VLOOKUP($B79,'4. CÀI ĐẶT'!$A$2:$H$32,7,FALSE)))</f>
        <v/>
      </c>
    </row>
    <row r="80">
      <c r="A80" s="8" t="n"/>
      <c r="B80" s="9" t="n"/>
      <c r="C80" s="65" t="n"/>
      <c r="D80" s="9" t="n"/>
      <c r="E80" s="66">
        <f>IF($B80="","",IF(LEFT($B80,1)="━","⚠️ Chọn hạng mục cụ thể",$C80*VLOOKUP($B80,'4. CÀI ĐẶT'!$A$2:$H$32,2,FALSE)))</f>
        <v/>
      </c>
      <c r="F80" s="67">
        <f>IF($B80="",0,IF(LEFT($B80,1)="━",0,$C80*VLOOKUP($B80,'4. CÀI ĐẶT'!$A$2:$H$32,3,FALSE)))</f>
        <v/>
      </c>
      <c r="G80" s="67">
        <f>IF($B80="",0,IF(LEFT($B80,1)="━",0,$C80*VLOOKUP($B80,'4. CÀI ĐẶT'!$A$2:$H$32,4,FALSE)))</f>
        <v/>
      </c>
      <c r="H80" s="67">
        <f>IF($B80="",0,IF(LEFT($B80,1)="━",0,$C80*VLOOKUP($B80,'4. CÀI ĐẶT'!$A$2:$H$32,5,FALSE)))</f>
        <v/>
      </c>
      <c r="I80">
        <f>IF($B80="","",IF(LEFT($B80,1)="━","",VLOOKUP($B80,'4. CÀI ĐẶT'!$A$2:$H$32,6,FALSE)))</f>
        <v/>
      </c>
      <c r="J80" s="13">
        <f>IF($A80="","",EOMONTH($A80,0))</f>
        <v/>
      </c>
      <c r="K80" s="67">
        <f>IF($B80="",0,IF(LEFT($B80,1)="━",0,$C80*VLOOKUP($B80,'4. CÀI ĐẶT'!$A$2:$H$32,7,FALSE)))</f>
        <v/>
      </c>
    </row>
    <row r="81">
      <c r="A81" s="8" t="n"/>
      <c r="B81" s="9" t="n"/>
      <c r="C81" s="65" t="n"/>
      <c r="D81" s="9" t="n"/>
      <c r="E81" s="66">
        <f>IF($B81="","",IF(LEFT($B81,1)="━","⚠️ Chọn hạng mục cụ thể",$C81*VLOOKUP($B81,'4. CÀI ĐẶT'!$A$2:$H$32,2,FALSE)))</f>
        <v/>
      </c>
      <c r="F81" s="67">
        <f>IF($B81="",0,IF(LEFT($B81,1)="━",0,$C81*VLOOKUP($B81,'4. CÀI ĐẶT'!$A$2:$H$32,3,FALSE)))</f>
        <v/>
      </c>
      <c r="G81" s="67">
        <f>IF($B81="",0,IF(LEFT($B81,1)="━",0,$C81*VLOOKUP($B81,'4. CÀI ĐẶT'!$A$2:$H$32,4,FALSE)))</f>
        <v/>
      </c>
      <c r="H81" s="67">
        <f>IF($B81="",0,IF(LEFT($B81,1)="━",0,$C81*VLOOKUP($B81,'4. CÀI ĐẶT'!$A$2:$H$32,5,FALSE)))</f>
        <v/>
      </c>
      <c r="I81">
        <f>IF($B81="","",IF(LEFT($B81,1)="━","",VLOOKUP($B81,'4. CÀI ĐẶT'!$A$2:$H$32,6,FALSE)))</f>
        <v/>
      </c>
      <c r="J81" s="13">
        <f>IF($A81="","",EOMONTH($A81,0))</f>
        <v/>
      </c>
      <c r="K81" s="67">
        <f>IF($B81="",0,IF(LEFT($B81,1)="━",0,$C81*VLOOKUP($B81,'4. CÀI ĐẶT'!$A$2:$H$32,7,FALSE)))</f>
        <v/>
      </c>
    </row>
    <row r="82">
      <c r="A82" s="8" t="n"/>
      <c r="B82" s="9" t="n"/>
      <c r="C82" s="65" t="n"/>
      <c r="D82" s="9" t="n"/>
      <c r="E82" s="66">
        <f>IF($B82="","",IF(LEFT($B82,1)="━","⚠️ Chọn hạng mục cụ thể",$C82*VLOOKUP($B82,'4. CÀI ĐẶT'!$A$2:$H$32,2,FALSE)))</f>
        <v/>
      </c>
      <c r="F82" s="67">
        <f>IF($B82="",0,IF(LEFT($B82,1)="━",0,$C82*VLOOKUP($B82,'4. CÀI ĐẶT'!$A$2:$H$32,3,FALSE)))</f>
        <v/>
      </c>
      <c r="G82" s="67">
        <f>IF($B82="",0,IF(LEFT($B82,1)="━",0,$C82*VLOOKUP($B82,'4. CÀI ĐẶT'!$A$2:$H$32,4,FALSE)))</f>
        <v/>
      </c>
      <c r="H82" s="67">
        <f>IF($B82="",0,IF(LEFT($B82,1)="━",0,$C82*VLOOKUP($B82,'4. CÀI ĐẶT'!$A$2:$H$32,5,FALSE)))</f>
        <v/>
      </c>
      <c r="I82">
        <f>IF($B82="","",IF(LEFT($B82,1)="━","",VLOOKUP($B82,'4. CÀI ĐẶT'!$A$2:$H$32,6,FALSE)))</f>
        <v/>
      </c>
      <c r="J82" s="13">
        <f>IF($A82="","",EOMONTH($A82,0))</f>
        <v/>
      </c>
      <c r="K82" s="67">
        <f>IF($B82="",0,IF(LEFT($B82,1)="━",0,$C82*VLOOKUP($B82,'4. CÀI ĐẶT'!$A$2:$H$32,7,FALSE)))</f>
        <v/>
      </c>
    </row>
    <row r="83">
      <c r="A83" s="8" t="n"/>
      <c r="B83" s="9" t="n"/>
      <c r="C83" s="65" t="n"/>
      <c r="D83" s="9" t="n"/>
      <c r="E83" s="66">
        <f>IF($B83="","",IF(LEFT($B83,1)="━","⚠️ Chọn hạng mục cụ thể",$C83*VLOOKUP($B83,'4. CÀI ĐẶT'!$A$2:$H$32,2,FALSE)))</f>
        <v/>
      </c>
      <c r="F83" s="67">
        <f>IF($B83="",0,IF(LEFT($B83,1)="━",0,$C83*VLOOKUP($B83,'4. CÀI ĐẶT'!$A$2:$H$32,3,FALSE)))</f>
        <v/>
      </c>
      <c r="G83" s="67">
        <f>IF($B83="",0,IF(LEFT($B83,1)="━",0,$C83*VLOOKUP($B83,'4. CÀI ĐẶT'!$A$2:$H$32,4,FALSE)))</f>
        <v/>
      </c>
      <c r="H83" s="67">
        <f>IF($B83="",0,IF(LEFT($B83,1)="━",0,$C83*VLOOKUP($B83,'4. CÀI ĐẶT'!$A$2:$H$32,5,FALSE)))</f>
        <v/>
      </c>
      <c r="I83">
        <f>IF($B83="","",IF(LEFT($B83,1)="━","",VLOOKUP($B83,'4. CÀI ĐẶT'!$A$2:$H$32,6,FALSE)))</f>
        <v/>
      </c>
      <c r="J83" s="13">
        <f>IF($A83="","",EOMONTH($A83,0))</f>
        <v/>
      </c>
      <c r="K83" s="67">
        <f>IF($B83="",0,IF(LEFT($B83,1)="━",0,$C83*VLOOKUP($B83,'4. CÀI ĐẶT'!$A$2:$H$32,7,FALSE)))</f>
        <v/>
      </c>
    </row>
    <row r="84">
      <c r="A84" s="8" t="n"/>
      <c r="B84" s="9" t="n"/>
      <c r="C84" s="65" t="n"/>
      <c r="D84" s="9" t="n"/>
      <c r="E84" s="66">
        <f>IF($B84="","",IF(LEFT($B84,1)="━","⚠️ Chọn hạng mục cụ thể",$C84*VLOOKUP($B84,'4. CÀI ĐẶT'!$A$2:$H$32,2,FALSE)))</f>
        <v/>
      </c>
      <c r="F84" s="67">
        <f>IF($B84="",0,IF(LEFT($B84,1)="━",0,$C84*VLOOKUP($B84,'4. CÀI ĐẶT'!$A$2:$H$32,3,FALSE)))</f>
        <v/>
      </c>
      <c r="G84" s="67">
        <f>IF($B84="",0,IF(LEFT($B84,1)="━",0,$C84*VLOOKUP($B84,'4. CÀI ĐẶT'!$A$2:$H$32,4,FALSE)))</f>
        <v/>
      </c>
      <c r="H84" s="67">
        <f>IF($B84="",0,IF(LEFT($B84,1)="━",0,$C84*VLOOKUP($B84,'4. CÀI ĐẶT'!$A$2:$H$32,5,FALSE)))</f>
        <v/>
      </c>
      <c r="I84">
        <f>IF($B84="","",IF(LEFT($B84,1)="━","",VLOOKUP($B84,'4. CÀI ĐẶT'!$A$2:$H$32,6,FALSE)))</f>
        <v/>
      </c>
      <c r="J84" s="13">
        <f>IF($A84="","",EOMONTH($A84,0))</f>
        <v/>
      </c>
      <c r="K84" s="67">
        <f>IF($B84="",0,IF(LEFT($B84,1)="━",0,$C84*VLOOKUP($B84,'4. CÀI ĐẶT'!$A$2:$H$32,7,FALSE)))</f>
        <v/>
      </c>
    </row>
    <row r="85">
      <c r="A85" s="8" t="n"/>
      <c r="B85" s="9" t="n"/>
      <c r="C85" s="65" t="n"/>
      <c r="D85" s="9" t="n"/>
      <c r="E85" s="66">
        <f>IF($B85="","",IF(LEFT($B85,1)="━","⚠️ Chọn hạng mục cụ thể",$C85*VLOOKUP($B85,'4. CÀI ĐẶT'!$A$2:$H$32,2,FALSE)))</f>
        <v/>
      </c>
      <c r="F85" s="67">
        <f>IF($B85="",0,IF(LEFT($B85,1)="━",0,$C85*VLOOKUP($B85,'4. CÀI ĐẶT'!$A$2:$H$32,3,FALSE)))</f>
        <v/>
      </c>
      <c r="G85" s="67">
        <f>IF($B85="",0,IF(LEFT($B85,1)="━",0,$C85*VLOOKUP($B85,'4. CÀI ĐẶT'!$A$2:$H$32,4,FALSE)))</f>
        <v/>
      </c>
      <c r="H85" s="67">
        <f>IF($B85="",0,IF(LEFT($B85,1)="━",0,$C85*VLOOKUP($B85,'4. CÀI ĐẶT'!$A$2:$H$32,5,FALSE)))</f>
        <v/>
      </c>
      <c r="I85">
        <f>IF($B85="","",IF(LEFT($B85,1)="━","",VLOOKUP($B85,'4. CÀI ĐẶT'!$A$2:$H$32,6,FALSE)))</f>
        <v/>
      </c>
      <c r="J85" s="13">
        <f>IF($A85="","",EOMONTH($A85,0))</f>
        <v/>
      </c>
      <c r="K85" s="67">
        <f>IF($B85="",0,IF(LEFT($B85,1)="━",0,$C85*VLOOKUP($B85,'4. CÀI ĐẶT'!$A$2:$H$32,7,FALSE)))</f>
        <v/>
      </c>
    </row>
    <row r="86">
      <c r="A86" s="8" t="n"/>
      <c r="B86" s="9" t="n"/>
      <c r="C86" s="65" t="n"/>
      <c r="D86" s="9" t="n"/>
      <c r="E86" s="66">
        <f>IF($B86="","",IF(LEFT($B86,1)="━","⚠️ Chọn hạng mục cụ thể",$C86*VLOOKUP($B86,'4. CÀI ĐẶT'!$A$2:$H$32,2,FALSE)))</f>
        <v/>
      </c>
      <c r="F86" s="67">
        <f>IF($B86="",0,IF(LEFT($B86,1)="━",0,$C86*VLOOKUP($B86,'4. CÀI ĐẶT'!$A$2:$H$32,3,FALSE)))</f>
        <v/>
      </c>
      <c r="G86" s="67">
        <f>IF($B86="",0,IF(LEFT($B86,1)="━",0,$C86*VLOOKUP($B86,'4. CÀI ĐẶT'!$A$2:$H$32,4,FALSE)))</f>
        <v/>
      </c>
      <c r="H86" s="67">
        <f>IF($B86="",0,IF(LEFT($B86,1)="━",0,$C86*VLOOKUP($B86,'4. CÀI ĐẶT'!$A$2:$H$32,5,FALSE)))</f>
        <v/>
      </c>
      <c r="I86">
        <f>IF($B86="","",IF(LEFT($B86,1)="━","",VLOOKUP($B86,'4. CÀI ĐẶT'!$A$2:$H$32,6,FALSE)))</f>
        <v/>
      </c>
      <c r="J86" s="13">
        <f>IF($A86="","",EOMONTH($A86,0))</f>
        <v/>
      </c>
      <c r="K86" s="67">
        <f>IF($B86="",0,IF(LEFT($B86,1)="━",0,$C86*VLOOKUP($B86,'4. CÀI ĐẶT'!$A$2:$H$32,7,FALSE)))</f>
        <v/>
      </c>
    </row>
    <row r="87">
      <c r="A87" s="8" t="n"/>
      <c r="B87" s="9" t="n"/>
      <c r="C87" s="65" t="n"/>
      <c r="D87" s="9" t="n"/>
      <c r="E87" s="66">
        <f>IF($B87="","",IF(LEFT($B87,1)="━","⚠️ Chọn hạng mục cụ thể",$C87*VLOOKUP($B87,'4. CÀI ĐẶT'!$A$2:$H$32,2,FALSE)))</f>
        <v/>
      </c>
      <c r="F87" s="67">
        <f>IF($B87="",0,IF(LEFT($B87,1)="━",0,$C87*VLOOKUP($B87,'4. CÀI ĐẶT'!$A$2:$H$32,3,FALSE)))</f>
        <v/>
      </c>
      <c r="G87" s="67">
        <f>IF($B87="",0,IF(LEFT($B87,1)="━",0,$C87*VLOOKUP($B87,'4. CÀI ĐẶT'!$A$2:$H$32,4,FALSE)))</f>
        <v/>
      </c>
      <c r="H87" s="67">
        <f>IF($B87="",0,IF(LEFT($B87,1)="━",0,$C87*VLOOKUP($B87,'4. CÀI ĐẶT'!$A$2:$H$32,5,FALSE)))</f>
        <v/>
      </c>
      <c r="I87">
        <f>IF($B87="","",IF(LEFT($B87,1)="━","",VLOOKUP($B87,'4. CÀI ĐẶT'!$A$2:$H$32,6,FALSE)))</f>
        <v/>
      </c>
      <c r="J87" s="13">
        <f>IF($A87="","",EOMONTH($A87,0))</f>
        <v/>
      </c>
      <c r="K87" s="67">
        <f>IF($B87="",0,IF(LEFT($B87,1)="━",0,$C87*VLOOKUP($B87,'4. CÀI ĐẶT'!$A$2:$H$32,7,FALSE)))</f>
        <v/>
      </c>
    </row>
    <row r="88">
      <c r="A88" s="8" t="n"/>
      <c r="B88" s="9" t="n"/>
      <c r="C88" s="65" t="n"/>
      <c r="D88" s="9" t="n"/>
      <c r="E88" s="66">
        <f>IF($B88="","",IF(LEFT($B88,1)="━","⚠️ Chọn hạng mục cụ thể",$C88*VLOOKUP($B88,'4. CÀI ĐẶT'!$A$2:$H$32,2,FALSE)))</f>
        <v/>
      </c>
      <c r="F88" s="67">
        <f>IF($B88="",0,IF(LEFT($B88,1)="━",0,$C88*VLOOKUP($B88,'4. CÀI ĐẶT'!$A$2:$H$32,3,FALSE)))</f>
        <v/>
      </c>
      <c r="G88" s="67">
        <f>IF($B88="",0,IF(LEFT($B88,1)="━",0,$C88*VLOOKUP($B88,'4. CÀI ĐẶT'!$A$2:$H$32,4,FALSE)))</f>
        <v/>
      </c>
      <c r="H88" s="67">
        <f>IF($B88="",0,IF(LEFT($B88,1)="━",0,$C88*VLOOKUP($B88,'4. CÀI ĐẶT'!$A$2:$H$32,5,FALSE)))</f>
        <v/>
      </c>
      <c r="I88">
        <f>IF($B88="","",IF(LEFT($B88,1)="━","",VLOOKUP($B88,'4. CÀI ĐẶT'!$A$2:$H$32,6,FALSE)))</f>
        <v/>
      </c>
      <c r="J88" s="13">
        <f>IF($A88="","",EOMONTH($A88,0))</f>
        <v/>
      </c>
      <c r="K88" s="67">
        <f>IF($B88="",0,IF(LEFT($B88,1)="━",0,$C88*VLOOKUP($B88,'4. CÀI ĐẶT'!$A$2:$H$32,7,FALSE)))</f>
        <v/>
      </c>
    </row>
    <row r="89">
      <c r="A89" s="8" t="n"/>
      <c r="B89" s="9" t="n"/>
      <c r="C89" s="65" t="n"/>
      <c r="D89" s="9" t="n"/>
      <c r="E89" s="66">
        <f>IF($B89="","",IF(LEFT($B89,1)="━","⚠️ Chọn hạng mục cụ thể",$C89*VLOOKUP($B89,'4. CÀI ĐẶT'!$A$2:$H$32,2,FALSE)))</f>
        <v/>
      </c>
      <c r="F89" s="67">
        <f>IF($B89="",0,IF(LEFT($B89,1)="━",0,$C89*VLOOKUP($B89,'4. CÀI ĐẶT'!$A$2:$H$32,3,FALSE)))</f>
        <v/>
      </c>
      <c r="G89" s="67">
        <f>IF($B89="",0,IF(LEFT($B89,1)="━",0,$C89*VLOOKUP($B89,'4. CÀI ĐẶT'!$A$2:$H$32,4,FALSE)))</f>
        <v/>
      </c>
      <c r="H89" s="67">
        <f>IF($B89="",0,IF(LEFT($B89,1)="━",0,$C89*VLOOKUP($B89,'4. CÀI ĐẶT'!$A$2:$H$32,5,FALSE)))</f>
        <v/>
      </c>
      <c r="I89">
        <f>IF($B89="","",IF(LEFT($B89,1)="━","",VLOOKUP($B89,'4. CÀI ĐẶT'!$A$2:$H$32,6,FALSE)))</f>
        <v/>
      </c>
      <c r="J89" s="13">
        <f>IF($A89="","",EOMONTH($A89,0))</f>
        <v/>
      </c>
      <c r="K89" s="67">
        <f>IF($B89="",0,IF(LEFT($B89,1)="━",0,$C89*VLOOKUP($B89,'4. CÀI ĐẶT'!$A$2:$H$32,7,FALSE)))</f>
        <v/>
      </c>
    </row>
    <row r="90">
      <c r="A90" s="8" t="n"/>
      <c r="B90" s="9" t="n"/>
      <c r="C90" s="65" t="n"/>
      <c r="D90" s="9" t="n"/>
      <c r="E90" s="66">
        <f>IF($B90="","",IF(LEFT($B90,1)="━","⚠️ Chọn hạng mục cụ thể",$C90*VLOOKUP($B90,'4. CÀI ĐẶT'!$A$2:$H$32,2,FALSE)))</f>
        <v/>
      </c>
      <c r="F90" s="67">
        <f>IF($B90="",0,IF(LEFT($B90,1)="━",0,$C90*VLOOKUP($B90,'4. CÀI ĐẶT'!$A$2:$H$32,3,FALSE)))</f>
        <v/>
      </c>
      <c r="G90" s="67">
        <f>IF($B90="",0,IF(LEFT($B90,1)="━",0,$C90*VLOOKUP($B90,'4. CÀI ĐẶT'!$A$2:$H$32,4,FALSE)))</f>
        <v/>
      </c>
      <c r="H90" s="67">
        <f>IF($B90="",0,IF(LEFT($B90,1)="━",0,$C90*VLOOKUP($B90,'4. CÀI ĐẶT'!$A$2:$H$32,5,FALSE)))</f>
        <v/>
      </c>
      <c r="I90">
        <f>IF($B90="","",IF(LEFT($B90,1)="━","",VLOOKUP($B90,'4. CÀI ĐẶT'!$A$2:$H$32,6,FALSE)))</f>
        <v/>
      </c>
      <c r="J90" s="13">
        <f>IF($A90="","",EOMONTH($A90,0))</f>
        <v/>
      </c>
      <c r="K90" s="67">
        <f>IF($B90="",0,IF(LEFT($B90,1)="━",0,$C90*VLOOKUP($B90,'4. CÀI ĐẶT'!$A$2:$H$32,7,FALSE)))</f>
        <v/>
      </c>
    </row>
    <row r="91">
      <c r="A91" s="8" t="n"/>
      <c r="B91" s="9" t="n"/>
      <c r="C91" s="65" t="n"/>
      <c r="D91" s="9" t="n"/>
      <c r="E91" s="66">
        <f>IF($B91="","",IF(LEFT($B91,1)="━","⚠️ Chọn hạng mục cụ thể",$C91*VLOOKUP($B91,'4. CÀI ĐẶT'!$A$2:$H$32,2,FALSE)))</f>
        <v/>
      </c>
      <c r="F91" s="67">
        <f>IF($B91="",0,IF(LEFT($B91,1)="━",0,$C91*VLOOKUP($B91,'4. CÀI ĐẶT'!$A$2:$H$32,3,FALSE)))</f>
        <v/>
      </c>
      <c r="G91" s="67">
        <f>IF($B91="",0,IF(LEFT($B91,1)="━",0,$C91*VLOOKUP($B91,'4. CÀI ĐẶT'!$A$2:$H$32,4,FALSE)))</f>
        <v/>
      </c>
      <c r="H91" s="67">
        <f>IF($B91="",0,IF(LEFT($B91,1)="━",0,$C91*VLOOKUP($B91,'4. CÀI ĐẶT'!$A$2:$H$32,5,FALSE)))</f>
        <v/>
      </c>
      <c r="I91">
        <f>IF($B91="","",IF(LEFT($B91,1)="━","",VLOOKUP($B91,'4. CÀI ĐẶT'!$A$2:$H$32,6,FALSE)))</f>
        <v/>
      </c>
      <c r="J91" s="13">
        <f>IF($A91="","",EOMONTH($A91,0))</f>
        <v/>
      </c>
      <c r="K91" s="67">
        <f>IF($B91="",0,IF(LEFT($B91,1)="━",0,$C91*VLOOKUP($B91,'4. CÀI ĐẶT'!$A$2:$H$32,7,FALSE)))</f>
        <v/>
      </c>
    </row>
    <row r="92">
      <c r="A92" s="8" t="n"/>
      <c r="B92" s="9" t="n"/>
      <c r="C92" s="65" t="n"/>
      <c r="D92" s="9" t="n"/>
      <c r="E92" s="66">
        <f>IF($B92="","",IF(LEFT($B92,1)="━","⚠️ Chọn hạng mục cụ thể",$C92*VLOOKUP($B92,'4. CÀI ĐẶT'!$A$2:$H$32,2,FALSE)))</f>
        <v/>
      </c>
      <c r="F92" s="67">
        <f>IF($B92="",0,IF(LEFT($B92,1)="━",0,$C92*VLOOKUP($B92,'4. CÀI ĐẶT'!$A$2:$H$32,3,FALSE)))</f>
        <v/>
      </c>
      <c r="G92" s="67">
        <f>IF($B92="",0,IF(LEFT($B92,1)="━",0,$C92*VLOOKUP($B92,'4. CÀI ĐẶT'!$A$2:$H$32,4,FALSE)))</f>
        <v/>
      </c>
      <c r="H92" s="67">
        <f>IF($B92="",0,IF(LEFT($B92,1)="━",0,$C92*VLOOKUP($B92,'4. CÀI ĐẶT'!$A$2:$H$32,5,FALSE)))</f>
        <v/>
      </c>
      <c r="I92">
        <f>IF($B92="","",IF(LEFT($B92,1)="━","",VLOOKUP($B92,'4. CÀI ĐẶT'!$A$2:$H$32,6,FALSE)))</f>
        <v/>
      </c>
      <c r="J92" s="13">
        <f>IF($A92="","",EOMONTH($A92,0))</f>
        <v/>
      </c>
      <c r="K92" s="67">
        <f>IF($B92="",0,IF(LEFT($B92,1)="━",0,$C92*VLOOKUP($B92,'4. CÀI ĐẶT'!$A$2:$H$32,7,FALSE)))</f>
        <v/>
      </c>
    </row>
    <row r="93">
      <c r="A93" s="8" t="n"/>
      <c r="B93" s="9" t="n"/>
      <c r="C93" s="65" t="n"/>
      <c r="D93" s="9" t="n"/>
      <c r="E93" s="66">
        <f>IF($B93="","",IF(LEFT($B93,1)="━","⚠️ Chọn hạng mục cụ thể",$C93*VLOOKUP($B93,'4. CÀI ĐẶT'!$A$2:$H$32,2,FALSE)))</f>
        <v/>
      </c>
      <c r="F93" s="67">
        <f>IF($B93="",0,IF(LEFT($B93,1)="━",0,$C93*VLOOKUP($B93,'4. CÀI ĐẶT'!$A$2:$H$32,3,FALSE)))</f>
        <v/>
      </c>
      <c r="G93" s="67">
        <f>IF($B93="",0,IF(LEFT($B93,1)="━",0,$C93*VLOOKUP($B93,'4. CÀI ĐẶT'!$A$2:$H$32,4,FALSE)))</f>
        <v/>
      </c>
      <c r="H93" s="67">
        <f>IF($B93="",0,IF(LEFT($B93,1)="━",0,$C93*VLOOKUP($B93,'4. CÀI ĐẶT'!$A$2:$H$32,5,FALSE)))</f>
        <v/>
      </c>
      <c r="I93">
        <f>IF($B93="","",IF(LEFT($B93,1)="━","",VLOOKUP($B93,'4. CÀI ĐẶT'!$A$2:$H$32,6,FALSE)))</f>
        <v/>
      </c>
      <c r="J93" s="13">
        <f>IF($A93="","",EOMONTH($A93,0))</f>
        <v/>
      </c>
      <c r="K93" s="67">
        <f>IF($B93="",0,IF(LEFT($B93,1)="━",0,$C93*VLOOKUP($B93,'4. CÀI ĐẶT'!$A$2:$H$32,7,FALSE)))</f>
        <v/>
      </c>
    </row>
    <row r="94">
      <c r="A94" s="8" t="n"/>
      <c r="B94" s="9" t="n"/>
      <c r="C94" s="65" t="n"/>
      <c r="D94" s="9" t="n"/>
      <c r="E94" s="66">
        <f>IF($B94="","",IF(LEFT($B94,1)="━","⚠️ Chọn hạng mục cụ thể",$C94*VLOOKUP($B94,'4. CÀI ĐẶT'!$A$2:$H$32,2,FALSE)))</f>
        <v/>
      </c>
      <c r="F94" s="67">
        <f>IF($B94="",0,IF(LEFT($B94,1)="━",0,$C94*VLOOKUP($B94,'4. CÀI ĐẶT'!$A$2:$H$32,3,FALSE)))</f>
        <v/>
      </c>
      <c r="G94" s="67">
        <f>IF($B94="",0,IF(LEFT($B94,1)="━",0,$C94*VLOOKUP($B94,'4. CÀI ĐẶT'!$A$2:$H$32,4,FALSE)))</f>
        <v/>
      </c>
      <c r="H94" s="67">
        <f>IF($B94="",0,IF(LEFT($B94,1)="━",0,$C94*VLOOKUP($B94,'4. CÀI ĐẶT'!$A$2:$H$32,5,FALSE)))</f>
        <v/>
      </c>
      <c r="I94">
        <f>IF($B94="","",IF(LEFT($B94,1)="━","",VLOOKUP($B94,'4. CÀI ĐẶT'!$A$2:$H$32,6,FALSE)))</f>
        <v/>
      </c>
      <c r="J94" s="13">
        <f>IF($A94="","",EOMONTH($A94,0))</f>
        <v/>
      </c>
      <c r="K94" s="67">
        <f>IF($B94="",0,IF(LEFT($B94,1)="━",0,$C94*VLOOKUP($B94,'4. CÀI ĐẶT'!$A$2:$H$32,7,FALSE)))</f>
        <v/>
      </c>
    </row>
    <row r="95">
      <c r="A95" s="8" t="n"/>
      <c r="B95" s="9" t="n"/>
      <c r="C95" s="65" t="n"/>
      <c r="D95" s="9" t="n"/>
      <c r="E95" s="66">
        <f>IF($B95="","",IF(LEFT($B95,1)="━","⚠️ Chọn hạng mục cụ thể",$C95*VLOOKUP($B95,'4. CÀI ĐẶT'!$A$2:$H$32,2,FALSE)))</f>
        <v/>
      </c>
      <c r="F95" s="67">
        <f>IF($B95="",0,IF(LEFT($B95,1)="━",0,$C95*VLOOKUP($B95,'4. CÀI ĐẶT'!$A$2:$H$32,3,FALSE)))</f>
        <v/>
      </c>
      <c r="G95" s="67">
        <f>IF($B95="",0,IF(LEFT($B95,1)="━",0,$C95*VLOOKUP($B95,'4. CÀI ĐẶT'!$A$2:$H$32,4,FALSE)))</f>
        <v/>
      </c>
      <c r="H95" s="67">
        <f>IF($B95="",0,IF(LEFT($B95,1)="━",0,$C95*VLOOKUP($B95,'4. CÀI ĐẶT'!$A$2:$H$32,5,FALSE)))</f>
        <v/>
      </c>
      <c r="I95">
        <f>IF($B95="","",IF(LEFT($B95,1)="━","",VLOOKUP($B95,'4. CÀI ĐẶT'!$A$2:$H$32,6,FALSE)))</f>
        <v/>
      </c>
      <c r="J95" s="13">
        <f>IF($A95="","",EOMONTH($A95,0))</f>
        <v/>
      </c>
      <c r="K95" s="67">
        <f>IF($B95="",0,IF(LEFT($B95,1)="━",0,$C95*VLOOKUP($B95,'4. CÀI ĐẶT'!$A$2:$H$32,7,FALSE)))</f>
        <v/>
      </c>
    </row>
    <row r="96">
      <c r="A96" s="8" t="n"/>
      <c r="B96" s="9" t="n"/>
      <c r="C96" s="65" t="n"/>
      <c r="D96" s="9" t="n"/>
      <c r="E96" s="66">
        <f>IF($B96="","",IF(LEFT($B96,1)="━","⚠️ Chọn hạng mục cụ thể",$C96*VLOOKUP($B96,'4. CÀI ĐẶT'!$A$2:$H$32,2,FALSE)))</f>
        <v/>
      </c>
      <c r="F96" s="67">
        <f>IF($B96="",0,IF(LEFT($B96,1)="━",0,$C96*VLOOKUP($B96,'4. CÀI ĐẶT'!$A$2:$H$32,3,FALSE)))</f>
        <v/>
      </c>
      <c r="G96" s="67">
        <f>IF($B96="",0,IF(LEFT($B96,1)="━",0,$C96*VLOOKUP($B96,'4. CÀI ĐẶT'!$A$2:$H$32,4,FALSE)))</f>
        <v/>
      </c>
      <c r="H96" s="67">
        <f>IF($B96="",0,IF(LEFT($B96,1)="━",0,$C96*VLOOKUP($B96,'4. CÀI ĐẶT'!$A$2:$H$32,5,FALSE)))</f>
        <v/>
      </c>
      <c r="I96">
        <f>IF($B96="","",IF(LEFT($B96,1)="━","",VLOOKUP($B96,'4. CÀI ĐẶT'!$A$2:$H$32,6,FALSE)))</f>
        <v/>
      </c>
      <c r="J96" s="13">
        <f>IF($A96="","",EOMONTH($A96,0))</f>
        <v/>
      </c>
      <c r="K96" s="67">
        <f>IF($B96="",0,IF(LEFT($B96,1)="━",0,$C96*VLOOKUP($B96,'4. CÀI ĐẶT'!$A$2:$H$32,7,FALSE)))</f>
        <v/>
      </c>
    </row>
    <row r="97">
      <c r="A97" s="8" t="n"/>
      <c r="B97" s="9" t="n"/>
      <c r="C97" s="65" t="n"/>
      <c r="D97" s="9" t="n"/>
      <c r="E97" s="66">
        <f>IF($B97="","",IF(LEFT($B97,1)="━","⚠️ Chọn hạng mục cụ thể",$C97*VLOOKUP($B97,'4. CÀI ĐẶT'!$A$2:$H$32,2,FALSE)))</f>
        <v/>
      </c>
      <c r="F97" s="67">
        <f>IF($B97="",0,IF(LEFT($B97,1)="━",0,$C97*VLOOKUP($B97,'4. CÀI ĐẶT'!$A$2:$H$32,3,FALSE)))</f>
        <v/>
      </c>
      <c r="G97" s="67">
        <f>IF($B97="",0,IF(LEFT($B97,1)="━",0,$C97*VLOOKUP($B97,'4. CÀI ĐẶT'!$A$2:$H$32,4,FALSE)))</f>
        <v/>
      </c>
      <c r="H97" s="67">
        <f>IF($B97="",0,IF(LEFT($B97,1)="━",0,$C97*VLOOKUP($B97,'4. CÀI ĐẶT'!$A$2:$H$32,5,FALSE)))</f>
        <v/>
      </c>
      <c r="I97">
        <f>IF($B97="","",IF(LEFT($B97,1)="━","",VLOOKUP($B97,'4. CÀI ĐẶT'!$A$2:$H$32,6,FALSE)))</f>
        <v/>
      </c>
      <c r="J97" s="13">
        <f>IF($A97="","",EOMONTH($A97,0))</f>
        <v/>
      </c>
      <c r="K97" s="67">
        <f>IF($B97="",0,IF(LEFT($B97,1)="━",0,$C97*VLOOKUP($B97,'4. CÀI ĐẶT'!$A$2:$H$32,7,FALSE)))</f>
        <v/>
      </c>
    </row>
    <row r="98">
      <c r="A98" s="8" t="n"/>
      <c r="B98" s="9" t="n"/>
      <c r="C98" s="65" t="n"/>
      <c r="D98" s="9" t="n"/>
      <c r="E98" s="66">
        <f>IF($B98="","",IF(LEFT($B98,1)="━","⚠️ Chọn hạng mục cụ thể",$C98*VLOOKUP($B98,'4. CÀI ĐẶT'!$A$2:$H$32,2,FALSE)))</f>
        <v/>
      </c>
      <c r="F98" s="67">
        <f>IF($B98="",0,IF(LEFT($B98,1)="━",0,$C98*VLOOKUP($B98,'4. CÀI ĐẶT'!$A$2:$H$32,3,FALSE)))</f>
        <v/>
      </c>
      <c r="G98" s="67">
        <f>IF($B98="",0,IF(LEFT($B98,1)="━",0,$C98*VLOOKUP($B98,'4. CÀI ĐẶT'!$A$2:$H$32,4,FALSE)))</f>
        <v/>
      </c>
      <c r="H98" s="67">
        <f>IF($B98="",0,IF(LEFT($B98,1)="━",0,$C98*VLOOKUP($B98,'4. CÀI ĐẶT'!$A$2:$H$32,5,FALSE)))</f>
        <v/>
      </c>
      <c r="I98">
        <f>IF($B98="","",IF(LEFT($B98,1)="━","",VLOOKUP($B98,'4. CÀI ĐẶT'!$A$2:$H$32,6,FALSE)))</f>
        <v/>
      </c>
      <c r="J98" s="13">
        <f>IF($A98="","",EOMONTH($A98,0))</f>
        <v/>
      </c>
      <c r="K98" s="67">
        <f>IF($B98="",0,IF(LEFT($B98,1)="━",0,$C98*VLOOKUP($B98,'4. CÀI ĐẶT'!$A$2:$H$32,7,FALSE)))</f>
        <v/>
      </c>
    </row>
    <row r="99">
      <c r="A99" s="8" t="n"/>
      <c r="B99" s="9" t="n"/>
      <c r="C99" s="65" t="n"/>
      <c r="D99" s="9" t="n"/>
      <c r="E99" s="66">
        <f>IF($B99="","",IF(LEFT($B99,1)="━","⚠️ Chọn hạng mục cụ thể",$C99*VLOOKUP($B99,'4. CÀI ĐẶT'!$A$2:$H$32,2,FALSE)))</f>
        <v/>
      </c>
      <c r="F99" s="67">
        <f>IF($B99="",0,IF(LEFT($B99,1)="━",0,$C99*VLOOKUP($B99,'4. CÀI ĐẶT'!$A$2:$H$32,3,FALSE)))</f>
        <v/>
      </c>
      <c r="G99" s="67">
        <f>IF($B99="",0,IF(LEFT($B99,1)="━",0,$C99*VLOOKUP($B99,'4. CÀI ĐẶT'!$A$2:$H$32,4,FALSE)))</f>
        <v/>
      </c>
      <c r="H99" s="67">
        <f>IF($B99="",0,IF(LEFT($B99,1)="━",0,$C99*VLOOKUP($B99,'4. CÀI ĐẶT'!$A$2:$H$32,5,FALSE)))</f>
        <v/>
      </c>
      <c r="I99">
        <f>IF($B99="","",IF(LEFT($B99,1)="━","",VLOOKUP($B99,'4. CÀI ĐẶT'!$A$2:$H$32,6,FALSE)))</f>
        <v/>
      </c>
      <c r="J99" s="13">
        <f>IF($A99="","",EOMONTH($A99,0))</f>
        <v/>
      </c>
      <c r="K99" s="67">
        <f>IF($B99="",0,IF(LEFT($B99,1)="━",0,$C99*VLOOKUP($B99,'4. CÀI ĐẶT'!$A$2:$H$32,7,FALSE)))</f>
        <v/>
      </c>
    </row>
    <row r="100">
      <c r="A100" s="8" t="n"/>
      <c r="B100" s="9" t="n"/>
      <c r="C100" s="65" t="n"/>
      <c r="D100" s="9" t="n"/>
      <c r="E100" s="66">
        <f>IF($B100="","",IF(LEFT($B100,1)="━","⚠️ Chọn hạng mục cụ thể",$C100*VLOOKUP($B100,'4. CÀI ĐẶT'!$A$2:$H$32,2,FALSE)))</f>
        <v/>
      </c>
      <c r="F100" s="67">
        <f>IF($B100="",0,IF(LEFT($B100,1)="━",0,$C100*VLOOKUP($B100,'4. CÀI ĐẶT'!$A$2:$H$32,3,FALSE)))</f>
        <v/>
      </c>
      <c r="G100" s="67">
        <f>IF($B100="",0,IF(LEFT($B100,1)="━",0,$C100*VLOOKUP($B100,'4. CÀI ĐẶT'!$A$2:$H$32,4,FALSE)))</f>
        <v/>
      </c>
      <c r="H100" s="67">
        <f>IF($B100="",0,IF(LEFT($B100,1)="━",0,$C100*VLOOKUP($B100,'4. CÀI ĐẶT'!$A$2:$H$32,5,FALSE)))</f>
        <v/>
      </c>
      <c r="I100">
        <f>IF($B100="","",IF(LEFT($B100,1)="━","",VLOOKUP($B100,'4. CÀI ĐẶT'!$A$2:$H$32,6,FALSE)))</f>
        <v/>
      </c>
      <c r="J100" s="13">
        <f>IF($A100="","",EOMONTH($A100,0))</f>
        <v/>
      </c>
      <c r="K100" s="67">
        <f>IF($B100="",0,IF(LEFT($B100,1)="━",0,$C100*VLOOKUP($B100,'4. CÀI ĐẶT'!$A$2:$H$32,7,FALSE)))</f>
        <v/>
      </c>
    </row>
    <row r="101">
      <c r="A101" s="8" t="n"/>
      <c r="B101" s="9" t="n"/>
      <c r="C101" s="65" t="n"/>
      <c r="D101" s="9" t="n"/>
      <c r="E101" s="66">
        <f>IF($B101="","",IF(LEFT($B101,1)="━","⚠️ Chọn hạng mục cụ thể",$C101*VLOOKUP($B101,'4. CÀI ĐẶT'!$A$2:$H$32,2,FALSE)))</f>
        <v/>
      </c>
      <c r="F101" s="67">
        <f>IF($B101="",0,IF(LEFT($B101,1)="━",0,$C101*VLOOKUP($B101,'4. CÀI ĐẶT'!$A$2:$H$32,3,FALSE)))</f>
        <v/>
      </c>
      <c r="G101" s="67">
        <f>IF($B101="",0,IF(LEFT($B101,1)="━",0,$C101*VLOOKUP($B101,'4. CÀI ĐẶT'!$A$2:$H$32,4,FALSE)))</f>
        <v/>
      </c>
      <c r="H101" s="67">
        <f>IF($B101="",0,IF(LEFT($B101,1)="━",0,$C101*VLOOKUP($B101,'4. CÀI ĐẶT'!$A$2:$H$32,5,FALSE)))</f>
        <v/>
      </c>
      <c r="I101">
        <f>IF($B101="","",IF(LEFT($B101,1)="━","",VLOOKUP($B101,'4. CÀI ĐẶT'!$A$2:$H$32,6,FALSE)))</f>
        <v/>
      </c>
      <c r="J101" s="13">
        <f>IF($A101="","",EOMONTH($A101,0))</f>
        <v/>
      </c>
      <c r="K101" s="67">
        <f>IF($B101="",0,IF(LEFT($B101,1)="━",0,$C101*VLOOKUP($B101,'4. CÀI ĐẶT'!$A$2:$H$32,7,FALSE)))</f>
        <v/>
      </c>
    </row>
    <row r="102">
      <c r="A102" s="8" t="n"/>
      <c r="B102" s="9" t="n"/>
      <c r="C102" s="65" t="n"/>
      <c r="D102" s="9" t="n"/>
      <c r="E102" s="66">
        <f>IF($B102="","",IF(LEFT($B102,1)="━","⚠️ Chọn hạng mục cụ thể",$C102*VLOOKUP($B102,'4. CÀI ĐẶT'!$A$2:$H$32,2,FALSE)))</f>
        <v/>
      </c>
      <c r="F102" s="67">
        <f>IF($B102="",0,IF(LEFT($B102,1)="━",0,$C102*VLOOKUP($B102,'4. CÀI ĐẶT'!$A$2:$H$32,3,FALSE)))</f>
        <v/>
      </c>
      <c r="G102" s="67">
        <f>IF($B102="",0,IF(LEFT($B102,1)="━",0,$C102*VLOOKUP($B102,'4. CÀI ĐẶT'!$A$2:$H$32,4,FALSE)))</f>
        <v/>
      </c>
      <c r="H102" s="67">
        <f>IF($B102="",0,IF(LEFT($B102,1)="━",0,$C102*VLOOKUP($B102,'4. CÀI ĐẶT'!$A$2:$H$32,5,FALSE)))</f>
        <v/>
      </c>
      <c r="I102">
        <f>IF($B102="","",IF(LEFT($B102,1)="━","",VLOOKUP($B102,'4. CÀI ĐẶT'!$A$2:$H$32,6,FALSE)))</f>
        <v/>
      </c>
      <c r="J102" s="13">
        <f>IF($A102="","",EOMONTH($A102,0))</f>
        <v/>
      </c>
      <c r="K102" s="67">
        <f>IF($B102="",0,IF(LEFT($B102,1)="━",0,$C102*VLOOKUP($B102,'4. CÀI ĐẶT'!$A$2:$H$32,7,FALSE)))</f>
        <v/>
      </c>
    </row>
    <row r="103">
      <c r="A103" s="8" t="n"/>
      <c r="B103" s="9" t="n"/>
      <c r="C103" s="65" t="n"/>
      <c r="D103" s="9" t="n"/>
      <c r="E103" s="66">
        <f>IF($B103="","",IF(LEFT($B103,1)="━","⚠️ Chọn hạng mục cụ thể",$C103*VLOOKUP($B103,'4. CÀI ĐẶT'!$A$2:$H$32,2,FALSE)))</f>
        <v/>
      </c>
      <c r="F103" s="67">
        <f>IF($B103="",0,IF(LEFT($B103,1)="━",0,$C103*VLOOKUP($B103,'4. CÀI ĐẶT'!$A$2:$H$32,3,FALSE)))</f>
        <v/>
      </c>
      <c r="G103" s="67">
        <f>IF($B103="",0,IF(LEFT($B103,1)="━",0,$C103*VLOOKUP($B103,'4. CÀI ĐẶT'!$A$2:$H$32,4,FALSE)))</f>
        <v/>
      </c>
      <c r="H103" s="67">
        <f>IF($B103="",0,IF(LEFT($B103,1)="━",0,$C103*VLOOKUP($B103,'4. CÀI ĐẶT'!$A$2:$H$32,5,FALSE)))</f>
        <v/>
      </c>
      <c r="I103">
        <f>IF($B103="","",IF(LEFT($B103,1)="━","",VLOOKUP($B103,'4. CÀI ĐẶT'!$A$2:$H$32,6,FALSE)))</f>
        <v/>
      </c>
      <c r="J103" s="13">
        <f>IF($A103="","",EOMONTH($A103,0))</f>
        <v/>
      </c>
      <c r="K103" s="67">
        <f>IF($B103="",0,IF(LEFT($B103,1)="━",0,$C103*VLOOKUP($B103,'4. CÀI ĐẶT'!$A$2:$H$32,7,FALSE)))</f>
        <v/>
      </c>
    </row>
    <row r="104">
      <c r="A104" s="8" t="n"/>
      <c r="B104" s="9" t="n"/>
      <c r="C104" s="65" t="n"/>
      <c r="D104" s="9" t="n"/>
      <c r="E104" s="66">
        <f>IF($B104="","",IF(LEFT($B104,1)="━","⚠️ Chọn hạng mục cụ thể",$C104*VLOOKUP($B104,'4. CÀI ĐẶT'!$A$2:$H$32,2,FALSE)))</f>
        <v/>
      </c>
      <c r="F104" s="67">
        <f>IF($B104="",0,IF(LEFT($B104,1)="━",0,$C104*VLOOKUP($B104,'4. CÀI ĐẶT'!$A$2:$H$32,3,FALSE)))</f>
        <v/>
      </c>
      <c r="G104" s="67">
        <f>IF($B104="",0,IF(LEFT($B104,1)="━",0,$C104*VLOOKUP($B104,'4. CÀI ĐẶT'!$A$2:$H$32,4,FALSE)))</f>
        <v/>
      </c>
      <c r="H104" s="67">
        <f>IF($B104="",0,IF(LEFT($B104,1)="━",0,$C104*VLOOKUP($B104,'4. CÀI ĐẶT'!$A$2:$H$32,5,FALSE)))</f>
        <v/>
      </c>
      <c r="I104">
        <f>IF($B104="","",IF(LEFT($B104,1)="━","",VLOOKUP($B104,'4. CÀI ĐẶT'!$A$2:$H$32,6,FALSE)))</f>
        <v/>
      </c>
      <c r="J104" s="13">
        <f>IF($A104="","",EOMONTH($A104,0))</f>
        <v/>
      </c>
      <c r="K104" s="67">
        <f>IF($B104="",0,IF(LEFT($B104,1)="━",0,$C104*VLOOKUP($B104,'4. CÀI ĐẶT'!$A$2:$H$32,7,FALSE)))</f>
        <v/>
      </c>
    </row>
    <row r="105">
      <c r="A105" s="8" t="n"/>
      <c r="B105" s="9" t="n"/>
      <c r="C105" s="65" t="n"/>
      <c r="D105" s="9" t="n"/>
      <c r="E105" s="66">
        <f>IF($B105="","",IF(LEFT($B105,1)="━","⚠️ Chọn hạng mục cụ thể",$C105*VLOOKUP($B105,'4. CÀI ĐẶT'!$A$2:$H$32,2,FALSE)))</f>
        <v/>
      </c>
      <c r="F105" s="67">
        <f>IF($B105="",0,IF(LEFT($B105,1)="━",0,$C105*VLOOKUP($B105,'4. CÀI ĐẶT'!$A$2:$H$32,3,FALSE)))</f>
        <v/>
      </c>
      <c r="G105" s="67">
        <f>IF($B105="",0,IF(LEFT($B105,1)="━",0,$C105*VLOOKUP($B105,'4. CÀI ĐẶT'!$A$2:$H$32,4,FALSE)))</f>
        <v/>
      </c>
      <c r="H105" s="67">
        <f>IF($B105="",0,IF(LEFT($B105,1)="━",0,$C105*VLOOKUP($B105,'4. CÀI ĐẶT'!$A$2:$H$32,5,FALSE)))</f>
        <v/>
      </c>
      <c r="I105">
        <f>IF($B105="","",IF(LEFT($B105,1)="━","",VLOOKUP($B105,'4. CÀI ĐẶT'!$A$2:$H$32,6,FALSE)))</f>
        <v/>
      </c>
      <c r="J105" s="13">
        <f>IF($A105="","",EOMONTH($A105,0))</f>
        <v/>
      </c>
      <c r="K105" s="67">
        <f>IF($B105="",0,IF(LEFT($B105,1)="━",0,$C105*VLOOKUP($B105,'4. CÀI ĐẶT'!$A$2:$H$32,7,FALSE)))</f>
        <v/>
      </c>
    </row>
    <row r="106">
      <c r="A106" s="8" t="n"/>
      <c r="B106" s="9" t="n"/>
      <c r="C106" s="65" t="n"/>
      <c r="D106" s="9" t="n"/>
      <c r="E106" s="66">
        <f>IF($B106="","",IF(LEFT($B106,1)="━","⚠️ Chọn hạng mục cụ thể",$C106*VLOOKUP($B106,'4. CÀI ĐẶT'!$A$2:$H$32,2,FALSE)))</f>
        <v/>
      </c>
      <c r="F106" s="67">
        <f>IF($B106="",0,IF(LEFT($B106,1)="━",0,$C106*VLOOKUP($B106,'4. CÀI ĐẶT'!$A$2:$H$32,3,FALSE)))</f>
        <v/>
      </c>
      <c r="G106" s="67">
        <f>IF($B106="",0,IF(LEFT($B106,1)="━",0,$C106*VLOOKUP($B106,'4. CÀI ĐẶT'!$A$2:$H$32,4,FALSE)))</f>
        <v/>
      </c>
      <c r="H106" s="67">
        <f>IF($B106="",0,IF(LEFT($B106,1)="━",0,$C106*VLOOKUP($B106,'4. CÀI ĐẶT'!$A$2:$H$32,5,FALSE)))</f>
        <v/>
      </c>
      <c r="I106">
        <f>IF($B106="","",IF(LEFT($B106,1)="━","",VLOOKUP($B106,'4. CÀI ĐẶT'!$A$2:$H$32,6,FALSE)))</f>
        <v/>
      </c>
      <c r="J106" s="13">
        <f>IF($A106="","",EOMONTH($A106,0))</f>
        <v/>
      </c>
      <c r="K106" s="67">
        <f>IF($B106="",0,IF(LEFT($B106,1)="━",0,$C106*VLOOKUP($B106,'4. CÀI ĐẶT'!$A$2:$H$32,7,FALSE)))</f>
        <v/>
      </c>
    </row>
    <row r="107">
      <c r="A107" s="8" t="n"/>
      <c r="B107" s="9" t="n"/>
      <c r="C107" s="65" t="n"/>
      <c r="D107" s="9" t="n"/>
      <c r="E107" s="66">
        <f>IF($B107="","",IF(LEFT($B107,1)="━","⚠️ Chọn hạng mục cụ thể",$C107*VLOOKUP($B107,'4. CÀI ĐẶT'!$A$2:$H$32,2,FALSE)))</f>
        <v/>
      </c>
      <c r="F107" s="67">
        <f>IF($B107="",0,IF(LEFT($B107,1)="━",0,$C107*VLOOKUP($B107,'4. CÀI ĐẶT'!$A$2:$H$32,3,FALSE)))</f>
        <v/>
      </c>
      <c r="G107" s="67">
        <f>IF($B107="",0,IF(LEFT($B107,1)="━",0,$C107*VLOOKUP($B107,'4. CÀI ĐẶT'!$A$2:$H$32,4,FALSE)))</f>
        <v/>
      </c>
      <c r="H107" s="67">
        <f>IF($B107="",0,IF(LEFT($B107,1)="━",0,$C107*VLOOKUP($B107,'4. CÀI ĐẶT'!$A$2:$H$32,5,FALSE)))</f>
        <v/>
      </c>
      <c r="I107">
        <f>IF($B107="","",IF(LEFT($B107,1)="━","",VLOOKUP($B107,'4. CÀI ĐẶT'!$A$2:$H$32,6,FALSE)))</f>
        <v/>
      </c>
      <c r="J107" s="13">
        <f>IF($A107="","",EOMONTH($A107,0))</f>
        <v/>
      </c>
      <c r="K107" s="67">
        <f>IF($B107="",0,IF(LEFT($B107,1)="━",0,$C107*VLOOKUP($B107,'4. CÀI ĐẶT'!$A$2:$H$32,7,FALSE)))</f>
        <v/>
      </c>
    </row>
    <row r="108">
      <c r="A108" s="8" t="n"/>
      <c r="B108" s="9" t="n"/>
      <c r="C108" s="65" t="n"/>
      <c r="D108" s="9" t="n"/>
      <c r="E108" s="66">
        <f>IF($B108="","",IF(LEFT($B108,1)="━","⚠️ Chọn hạng mục cụ thể",$C108*VLOOKUP($B108,'4. CÀI ĐẶT'!$A$2:$H$32,2,FALSE)))</f>
        <v/>
      </c>
      <c r="F108" s="67">
        <f>IF($B108="",0,IF(LEFT($B108,1)="━",0,$C108*VLOOKUP($B108,'4. CÀI ĐẶT'!$A$2:$H$32,3,FALSE)))</f>
        <v/>
      </c>
      <c r="G108" s="67">
        <f>IF($B108="",0,IF(LEFT($B108,1)="━",0,$C108*VLOOKUP($B108,'4. CÀI ĐẶT'!$A$2:$H$32,4,FALSE)))</f>
        <v/>
      </c>
      <c r="H108" s="67">
        <f>IF($B108="",0,IF(LEFT($B108,1)="━",0,$C108*VLOOKUP($B108,'4. CÀI ĐẶT'!$A$2:$H$32,5,FALSE)))</f>
        <v/>
      </c>
      <c r="I108">
        <f>IF($B108="","",IF(LEFT($B108,1)="━","",VLOOKUP($B108,'4. CÀI ĐẶT'!$A$2:$H$32,6,FALSE)))</f>
        <v/>
      </c>
      <c r="J108" s="13">
        <f>IF($A108="","",EOMONTH($A108,0))</f>
        <v/>
      </c>
      <c r="K108" s="67">
        <f>IF($B108="",0,IF(LEFT($B108,1)="━",0,$C108*VLOOKUP($B108,'4. CÀI ĐẶT'!$A$2:$H$32,7,FALSE)))</f>
        <v/>
      </c>
    </row>
    <row r="109">
      <c r="A109" s="8" t="n"/>
      <c r="B109" s="9" t="n"/>
      <c r="C109" s="65" t="n"/>
      <c r="D109" s="9" t="n"/>
      <c r="E109" s="66">
        <f>IF($B109="","",IF(LEFT($B109,1)="━","⚠️ Chọn hạng mục cụ thể",$C109*VLOOKUP($B109,'4. CÀI ĐẶT'!$A$2:$H$32,2,FALSE)))</f>
        <v/>
      </c>
      <c r="F109" s="67">
        <f>IF($B109="",0,IF(LEFT($B109,1)="━",0,$C109*VLOOKUP($B109,'4. CÀI ĐẶT'!$A$2:$H$32,3,FALSE)))</f>
        <v/>
      </c>
      <c r="G109" s="67">
        <f>IF($B109="",0,IF(LEFT($B109,1)="━",0,$C109*VLOOKUP($B109,'4. CÀI ĐẶT'!$A$2:$H$32,4,FALSE)))</f>
        <v/>
      </c>
      <c r="H109" s="67">
        <f>IF($B109="",0,IF(LEFT($B109,1)="━",0,$C109*VLOOKUP($B109,'4. CÀI ĐẶT'!$A$2:$H$32,5,FALSE)))</f>
        <v/>
      </c>
      <c r="I109">
        <f>IF($B109="","",IF(LEFT($B109,1)="━","",VLOOKUP($B109,'4. CÀI ĐẶT'!$A$2:$H$32,6,FALSE)))</f>
        <v/>
      </c>
      <c r="J109" s="13">
        <f>IF($A109="","",EOMONTH($A109,0))</f>
        <v/>
      </c>
      <c r="K109" s="67">
        <f>IF($B109="",0,IF(LEFT($B109,1)="━",0,$C109*VLOOKUP($B109,'4. CÀI ĐẶT'!$A$2:$H$32,7,FALSE)))</f>
        <v/>
      </c>
    </row>
    <row r="110">
      <c r="A110" s="8" t="n"/>
      <c r="B110" s="9" t="n"/>
      <c r="C110" s="65" t="n"/>
      <c r="D110" s="9" t="n"/>
      <c r="E110" s="66">
        <f>IF($B110="","",IF(LEFT($B110,1)="━","⚠️ Chọn hạng mục cụ thể",$C110*VLOOKUP($B110,'4. CÀI ĐẶT'!$A$2:$H$32,2,FALSE)))</f>
        <v/>
      </c>
      <c r="F110" s="67">
        <f>IF($B110="",0,IF(LEFT($B110,1)="━",0,$C110*VLOOKUP($B110,'4. CÀI ĐẶT'!$A$2:$H$32,3,FALSE)))</f>
        <v/>
      </c>
      <c r="G110" s="67">
        <f>IF($B110="",0,IF(LEFT($B110,1)="━",0,$C110*VLOOKUP($B110,'4. CÀI ĐẶT'!$A$2:$H$32,4,FALSE)))</f>
        <v/>
      </c>
      <c r="H110" s="67">
        <f>IF($B110="",0,IF(LEFT($B110,1)="━",0,$C110*VLOOKUP($B110,'4. CÀI ĐẶT'!$A$2:$H$32,5,FALSE)))</f>
        <v/>
      </c>
      <c r="I110">
        <f>IF($B110="","",IF(LEFT($B110,1)="━","",VLOOKUP($B110,'4. CÀI ĐẶT'!$A$2:$H$32,6,FALSE)))</f>
        <v/>
      </c>
      <c r="J110" s="13">
        <f>IF($A110="","",EOMONTH($A110,0))</f>
        <v/>
      </c>
      <c r="K110" s="67">
        <f>IF($B110="",0,IF(LEFT($B110,1)="━",0,$C110*VLOOKUP($B110,'4. CÀI ĐẶT'!$A$2:$H$32,7,FALSE)))</f>
        <v/>
      </c>
    </row>
    <row r="111">
      <c r="A111" s="8" t="n"/>
      <c r="B111" s="9" t="n"/>
      <c r="C111" s="65" t="n"/>
      <c r="D111" s="9" t="n"/>
      <c r="E111" s="66">
        <f>IF($B111="","",IF(LEFT($B111,1)="━","⚠️ Chọn hạng mục cụ thể",$C111*VLOOKUP($B111,'4. CÀI ĐẶT'!$A$2:$H$32,2,FALSE)))</f>
        <v/>
      </c>
      <c r="F111" s="67">
        <f>IF($B111="",0,IF(LEFT($B111,1)="━",0,$C111*VLOOKUP($B111,'4. CÀI ĐẶT'!$A$2:$H$32,3,FALSE)))</f>
        <v/>
      </c>
      <c r="G111" s="67">
        <f>IF($B111="",0,IF(LEFT($B111,1)="━",0,$C111*VLOOKUP($B111,'4. CÀI ĐẶT'!$A$2:$H$32,4,FALSE)))</f>
        <v/>
      </c>
      <c r="H111" s="67">
        <f>IF($B111="",0,IF(LEFT($B111,1)="━",0,$C111*VLOOKUP($B111,'4. CÀI ĐẶT'!$A$2:$H$32,5,FALSE)))</f>
        <v/>
      </c>
      <c r="I111">
        <f>IF($B111="","",IF(LEFT($B111,1)="━","",VLOOKUP($B111,'4. CÀI ĐẶT'!$A$2:$H$32,6,FALSE)))</f>
        <v/>
      </c>
      <c r="J111" s="13">
        <f>IF($A111="","",EOMONTH($A111,0))</f>
        <v/>
      </c>
      <c r="K111" s="67">
        <f>IF($B111="",0,IF(LEFT($B111,1)="━",0,$C111*VLOOKUP($B111,'4. CÀI ĐẶT'!$A$2:$H$32,7,FALSE)))</f>
        <v/>
      </c>
    </row>
    <row r="112">
      <c r="A112" s="8" t="n"/>
      <c r="B112" s="9" t="n"/>
      <c r="C112" s="65" t="n"/>
      <c r="D112" s="9" t="n"/>
      <c r="E112" s="66">
        <f>IF($B112="","",IF(LEFT($B112,1)="━","⚠️ Chọn hạng mục cụ thể",$C112*VLOOKUP($B112,'4. CÀI ĐẶT'!$A$2:$H$32,2,FALSE)))</f>
        <v/>
      </c>
      <c r="F112" s="67">
        <f>IF($B112="",0,IF(LEFT($B112,1)="━",0,$C112*VLOOKUP($B112,'4. CÀI ĐẶT'!$A$2:$H$32,3,FALSE)))</f>
        <v/>
      </c>
      <c r="G112" s="67">
        <f>IF($B112="",0,IF(LEFT($B112,1)="━",0,$C112*VLOOKUP($B112,'4. CÀI ĐẶT'!$A$2:$H$32,4,FALSE)))</f>
        <v/>
      </c>
      <c r="H112" s="67">
        <f>IF($B112="",0,IF(LEFT($B112,1)="━",0,$C112*VLOOKUP($B112,'4. CÀI ĐẶT'!$A$2:$H$32,5,FALSE)))</f>
        <v/>
      </c>
      <c r="I112">
        <f>IF($B112="","",IF(LEFT($B112,1)="━","",VLOOKUP($B112,'4. CÀI ĐẶT'!$A$2:$H$32,6,FALSE)))</f>
        <v/>
      </c>
      <c r="J112" s="13">
        <f>IF($A112="","",EOMONTH($A112,0))</f>
        <v/>
      </c>
      <c r="K112" s="67">
        <f>IF($B112="",0,IF(LEFT($B112,1)="━",0,$C112*VLOOKUP($B112,'4. CÀI ĐẶT'!$A$2:$H$32,7,FALSE)))</f>
        <v/>
      </c>
    </row>
    <row r="113">
      <c r="A113" s="8" t="n"/>
      <c r="B113" s="9" t="n"/>
      <c r="C113" s="65" t="n"/>
      <c r="D113" s="9" t="n"/>
      <c r="E113" s="66">
        <f>IF($B113="","",IF(LEFT($B113,1)="━","⚠️ Chọn hạng mục cụ thể",$C113*VLOOKUP($B113,'4. CÀI ĐẶT'!$A$2:$H$32,2,FALSE)))</f>
        <v/>
      </c>
      <c r="F113" s="67">
        <f>IF($B113="",0,IF(LEFT($B113,1)="━",0,$C113*VLOOKUP($B113,'4. CÀI ĐẶT'!$A$2:$H$32,3,FALSE)))</f>
        <v/>
      </c>
      <c r="G113" s="67">
        <f>IF($B113="",0,IF(LEFT($B113,1)="━",0,$C113*VLOOKUP($B113,'4. CÀI ĐẶT'!$A$2:$H$32,4,FALSE)))</f>
        <v/>
      </c>
      <c r="H113" s="67">
        <f>IF($B113="",0,IF(LEFT($B113,1)="━",0,$C113*VLOOKUP($B113,'4. CÀI ĐẶT'!$A$2:$H$32,5,FALSE)))</f>
        <v/>
      </c>
      <c r="I113">
        <f>IF($B113="","",IF(LEFT($B113,1)="━","",VLOOKUP($B113,'4. CÀI ĐẶT'!$A$2:$H$32,6,FALSE)))</f>
        <v/>
      </c>
      <c r="J113" s="13">
        <f>IF($A113="","",EOMONTH($A113,0))</f>
        <v/>
      </c>
      <c r="K113" s="67">
        <f>IF($B113="",0,IF(LEFT($B113,1)="━",0,$C113*VLOOKUP($B113,'4. CÀI ĐẶT'!$A$2:$H$32,7,FALSE)))</f>
        <v/>
      </c>
    </row>
    <row r="114">
      <c r="A114" s="8" t="n"/>
      <c r="B114" s="9" t="n"/>
      <c r="C114" s="65" t="n"/>
      <c r="D114" s="9" t="n"/>
      <c r="E114" s="66">
        <f>IF($B114="","",IF(LEFT($B114,1)="━","⚠️ Chọn hạng mục cụ thể",$C114*VLOOKUP($B114,'4. CÀI ĐẶT'!$A$2:$H$32,2,FALSE)))</f>
        <v/>
      </c>
      <c r="F114" s="67">
        <f>IF($B114="",0,IF(LEFT($B114,1)="━",0,$C114*VLOOKUP($B114,'4. CÀI ĐẶT'!$A$2:$H$32,3,FALSE)))</f>
        <v/>
      </c>
      <c r="G114" s="67">
        <f>IF($B114="",0,IF(LEFT($B114,1)="━",0,$C114*VLOOKUP($B114,'4. CÀI ĐẶT'!$A$2:$H$32,4,FALSE)))</f>
        <v/>
      </c>
      <c r="H114" s="67">
        <f>IF($B114="",0,IF(LEFT($B114,1)="━",0,$C114*VLOOKUP($B114,'4. CÀI ĐẶT'!$A$2:$H$32,5,FALSE)))</f>
        <v/>
      </c>
      <c r="I114">
        <f>IF($B114="","",IF(LEFT($B114,1)="━","",VLOOKUP($B114,'4. CÀI ĐẶT'!$A$2:$H$32,6,FALSE)))</f>
        <v/>
      </c>
      <c r="J114" s="13">
        <f>IF($A114="","",EOMONTH($A114,0))</f>
        <v/>
      </c>
      <c r="K114" s="67">
        <f>IF($B114="",0,IF(LEFT($B114,1)="━",0,$C114*VLOOKUP($B114,'4. CÀI ĐẶT'!$A$2:$H$32,7,FALSE)))</f>
        <v/>
      </c>
    </row>
    <row r="115">
      <c r="A115" s="8" t="n"/>
      <c r="B115" s="9" t="n"/>
      <c r="C115" s="65" t="n"/>
      <c r="D115" s="9" t="n"/>
      <c r="E115" s="66">
        <f>IF($B115="","",IF(LEFT($B115,1)="━","⚠️ Chọn hạng mục cụ thể",$C115*VLOOKUP($B115,'4. CÀI ĐẶT'!$A$2:$H$32,2,FALSE)))</f>
        <v/>
      </c>
      <c r="F115" s="67">
        <f>IF($B115="",0,IF(LEFT($B115,1)="━",0,$C115*VLOOKUP($B115,'4. CÀI ĐẶT'!$A$2:$H$32,3,FALSE)))</f>
        <v/>
      </c>
      <c r="G115" s="67">
        <f>IF($B115="",0,IF(LEFT($B115,1)="━",0,$C115*VLOOKUP($B115,'4. CÀI ĐẶT'!$A$2:$H$32,4,FALSE)))</f>
        <v/>
      </c>
      <c r="H115" s="67">
        <f>IF($B115="",0,IF(LEFT($B115,1)="━",0,$C115*VLOOKUP($B115,'4. CÀI ĐẶT'!$A$2:$H$32,5,FALSE)))</f>
        <v/>
      </c>
      <c r="I115">
        <f>IF($B115="","",IF(LEFT($B115,1)="━","",VLOOKUP($B115,'4. CÀI ĐẶT'!$A$2:$H$32,6,FALSE)))</f>
        <v/>
      </c>
      <c r="J115" s="13">
        <f>IF($A115="","",EOMONTH($A115,0))</f>
        <v/>
      </c>
      <c r="K115" s="67">
        <f>IF($B115="",0,IF(LEFT($B115,1)="━",0,$C115*VLOOKUP($B115,'4. CÀI ĐẶT'!$A$2:$H$32,7,FALSE)))</f>
        <v/>
      </c>
    </row>
    <row r="116">
      <c r="A116" s="8" t="n"/>
      <c r="B116" s="9" t="n"/>
      <c r="C116" s="65" t="n"/>
      <c r="D116" s="9" t="n"/>
      <c r="E116" s="66">
        <f>IF($B116="","",IF(LEFT($B116,1)="━","⚠️ Chọn hạng mục cụ thể",$C116*VLOOKUP($B116,'4. CÀI ĐẶT'!$A$2:$H$32,2,FALSE)))</f>
        <v/>
      </c>
      <c r="F116" s="67">
        <f>IF($B116="",0,IF(LEFT($B116,1)="━",0,$C116*VLOOKUP($B116,'4. CÀI ĐẶT'!$A$2:$H$32,3,FALSE)))</f>
        <v/>
      </c>
      <c r="G116" s="67">
        <f>IF($B116="",0,IF(LEFT($B116,1)="━",0,$C116*VLOOKUP($B116,'4. CÀI ĐẶT'!$A$2:$H$32,4,FALSE)))</f>
        <v/>
      </c>
      <c r="H116" s="67">
        <f>IF($B116="",0,IF(LEFT($B116,1)="━",0,$C116*VLOOKUP($B116,'4. CÀI ĐẶT'!$A$2:$H$32,5,FALSE)))</f>
        <v/>
      </c>
      <c r="I116">
        <f>IF($B116="","",IF(LEFT($B116,1)="━","",VLOOKUP($B116,'4. CÀI ĐẶT'!$A$2:$H$32,6,FALSE)))</f>
        <v/>
      </c>
      <c r="J116" s="13">
        <f>IF($A116="","",EOMONTH($A116,0))</f>
        <v/>
      </c>
      <c r="K116" s="67">
        <f>IF($B116="",0,IF(LEFT($B116,1)="━",0,$C116*VLOOKUP($B116,'4. CÀI ĐẶT'!$A$2:$H$32,7,FALSE)))</f>
        <v/>
      </c>
    </row>
    <row r="117">
      <c r="A117" s="8" t="n"/>
      <c r="B117" s="9" t="n"/>
      <c r="C117" s="65" t="n"/>
      <c r="D117" s="9" t="n"/>
      <c r="E117" s="66">
        <f>IF($B117="","",IF(LEFT($B117,1)="━","⚠️ Chọn hạng mục cụ thể",$C117*VLOOKUP($B117,'4. CÀI ĐẶT'!$A$2:$H$32,2,FALSE)))</f>
        <v/>
      </c>
      <c r="F117" s="67">
        <f>IF($B117="",0,IF(LEFT($B117,1)="━",0,$C117*VLOOKUP($B117,'4. CÀI ĐẶT'!$A$2:$H$32,3,FALSE)))</f>
        <v/>
      </c>
      <c r="G117" s="67">
        <f>IF($B117="",0,IF(LEFT($B117,1)="━",0,$C117*VLOOKUP($B117,'4. CÀI ĐẶT'!$A$2:$H$32,4,FALSE)))</f>
        <v/>
      </c>
      <c r="H117" s="67">
        <f>IF($B117="",0,IF(LEFT($B117,1)="━",0,$C117*VLOOKUP($B117,'4. CÀI ĐẶT'!$A$2:$H$32,5,FALSE)))</f>
        <v/>
      </c>
      <c r="I117">
        <f>IF($B117="","",IF(LEFT($B117,1)="━","",VLOOKUP($B117,'4. CÀI ĐẶT'!$A$2:$H$32,6,FALSE)))</f>
        <v/>
      </c>
      <c r="J117" s="13">
        <f>IF($A117="","",EOMONTH($A117,0))</f>
        <v/>
      </c>
      <c r="K117" s="67">
        <f>IF($B117="",0,IF(LEFT($B117,1)="━",0,$C117*VLOOKUP($B117,'4. CÀI ĐẶT'!$A$2:$H$32,7,FALSE)))</f>
        <v/>
      </c>
    </row>
    <row r="118">
      <c r="A118" s="8" t="n"/>
      <c r="B118" s="9" t="n"/>
      <c r="C118" s="65" t="n"/>
      <c r="D118" s="9" t="n"/>
      <c r="E118" s="66">
        <f>IF($B118="","",IF(LEFT($B118,1)="━","⚠️ Chọn hạng mục cụ thể",$C118*VLOOKUP($B118,'4. CÀI ĐẶT'!$A$2:$H$32,2,FALSE)))</f>
        <v/>
      </c>
      <c r="F118" s="67">
        <f>IF($B118="",0,IF(LEFT($B118,1)="━",0,$C118*VLOOKUP($B118,'4. CÀI ĐẶT'!$A$2:$H$32,3,FALSE)))</f>
        <v/>
      </c>
      <c r="G118" s="67">
        <f>IF($B118="",0,IF(LEFT($B118,1)="━",0,$C118*VLOOKUP($B118,'4. CÀI ĐẶT'!$A$2:$H$32,4,FALSE)))</f>
        <v/>
      </c>
      <c r="H118" s="67">
        <f>IF($B118="",0,IF(LEFT($B118,1)="━",0,$C118*VLOOKUP($B118,'4. CÀI ĐẶT'!$A$2:$H$32,5,FALSE)))</f>
        <v/>
      </c>
      <c r="I118">
        <f>IF($B118="","",IF(LEFT($B118,1)="━","",VLOOKUP($B118,'4. CÀI ĐẶT'!$A$2:$H$32,6,FALSE)))</f>
        <v/>
      </c>
      <c r="J118" s="13">
        <f>IF($A118="","",EOMONTH($A118,0))</f>
        <v/>
      </c>
      <c r="K118" s="67">
        <f>IF($B118="",0,IF(LEFT($B118,1)="━",0,$C118*VLOOKUP($B118,'4. CÀI ĐẶT'!$A$2:$H$32,7,FALSE)))</f>
        <v/>
      </c>
    </row>
    <row r="119">
      <c r="A119" s="8" t="n"/>
      <c r="B119" s="9" t="n"/>
      <c r="C119" s="65" t="n"/>
      <c r="D119" s="9" t="n"/>
      <c r="E119" s="66">
        <f>IF($B119="","",IF(LEFT($B119,1)="━","⚠️ Chọn hạng mục cụ thể",$C119*VLOOKUP($B119,'4. CÀI ĐẶT'!$A$2:$H$32,2,FALSE)))</f>
        <v/>
      </c>
      <c r="F119" s="67">
        <f>IF($B119="",0,IF(LEFT($B119,1)="━",0,$C119*VLOOKUP($B119,'4. CÀI ĐẶT'!$A$2:$H$32,3,FALSE)))</f>
        <v/>
      </c>
      <c r="G119" s="67">
        <f>IF($B119="",0,IF(LEFT($B119,1)="━",0,$C119*VLOOKUP($B119,'4. CÀI ĐẶT'!$A$2:$H$32,4,FALSE)))</f>
        <v/>
      </c>
      <c r="H119" s="67">
        <f>IF($B119="",0,IF(LEFT($B119,1)="━",0,$C119*VLOOKUP($B119,'4. CÀI ĐẶT'!$A$2:$H$32,5,FALSE)))</f>
        <v/>
      </c>
      <c r="I119">
        <f>IF($B119="","",IF(LEFT($B119,1)="━","",VLOOKUP($B119,'4. CÀI ĐẶT'!$A$2:$H$32,6,FALSE)))</f>
        <v/>
      </c>
      <c r="J119" s="13">
        <f>IF($A119="","",EOMONTH($A119,0))</f>
        <v/>
      </c>
      <c r="K119" s="67">
        <f>IF($B119="",0,IF(LEFT($B119,1)="━",0,$C119*VLOOKUP($B119,'4. CÀI ĐẶT'!$A$2:$H$32,7,FALSE)))</f>
        <v/>
      </c>
    </row>
    <row r="120">
      <c r="A120" s="8" t="n"/>
      <c r="B120" s="9" t="n"/>
      <c r="C120" s="65" t="n"/>
      <c r="D120" s="9" t="n"/>
      <c r="E120" s="66">
        <f>IF($B120="","",IF(LEFT($B120,1)="━","⚠️ Chọn hạng mục cụ thể",$C120*VLOOKUP($B120,'4. CÀI ĐẶT'!$A$2:$H$32,2,FALSE)))</f>
        <v/>
      </c>
      <c r="F120" s="67">
        <f>IF($B120="",0,IF(LEFT($B120,1)="━",0,$C120*VLOOKUP($B120,'4. CÀI ĐẶT'!$A$2:$H$32,3,FALSE)))</f>
        <v/>
      </c>
      <c r="G120" s="67">
        <f>IF($B120="",0,IF(LEFT($B120,1)="━",0,$C120*VLOOKUP($B120,'4. CÀI ĐẶT'!$A$2:$H$32,4,FALSE)))</f>
        <v/>
      </c>
      <c r="H120" s="67">
        <f>IF($B120="",0,IF(LEFT($B120,1)="━",0,$C120*VLOOKUP($B120,'4. CÀI ĐẶT'!$A$2:$H$32,5,FALSE)))</f>
        <v/>
      </c>
      <c r="I120">
        <f>IF($B120="","",IF(LEFT($B120,1)="━","",VLOOKUP($B120,'4. CÀI ĐẶT'!$A$2:$H$32,6,FALSE)))</f>
        <v/>
      </c>
      <c r="J120" s="13">
        <f>IF($A120="","",EOMONTH($A120,0))</f>
        <v/>
      </c>
      <c r="K120" s="67">
        <f>IF($B120="",0,IF(LEFT($B120,1)="━",0,$C120*VLOOKUP($B120,'4. CÀI ĐẶT'!$A$2:$H$32,7,FALSE)))</f>
        <v/>
      </c>
    </row>
    <row r="121">
      <c r="A121" s="8" t="n"/>
      <c r="B121" s="9" t="n"/>
      <c r="C121" s="65" t="n"/>
      <c r="D121" s="9" t="n"/>
      <c r="E121" s="66">
        <f>IF($B121="","",IF(LEFT($B121,1)="━","⚠️ Chọn hạng mục cụ thể",$C121*VLOOKUP($B121,'4. CÀI ĐẶT'!$A$2:$H$32,2,FALSE)))</f>
        <v/>
      </c>
      <c r="F121" s="67">
        <f>IF($B121="",0,IF(LEFT($B121,1)="━",0,$C121*VLOOKUP($B121,'4. CÀI ĐẶT'!$A$2:$H$32,3,FALSE)))</f>
        <v/>
      </c>
      <c r="G121" s="67">
        <f>IF($B121="",0,IF(LEFT($B121,1)="━",0,$C121*VLOOKUP($B121,'4. CÀI ĐẶT'!$A$2:$H$32,4,FALSE)))</f>
        <v/>
      </c>
      <c r="H121" s="67">
        <f>IF($B121="",0,IF(LEFT($B121,1)="━",0,$C121*VLOOKUP($B121,'4. CÀI ĐẶT'!$A$2:$H$32,5,FALSE)))</f>
        <v/>
      </c>
      <c r="I121">
        <f>IF($B121="","",IF(LEFT($B121,1)="━","",VLOOKUP($B121,'4. CÀI ĐẶT'!$A$2:$H$32,6,FALSE)))</f>
        <v/>
      </c>
      <c r="J121" s="13">
        <f>IF($A121="","",EOMONTH($A121,0))</f>
        <v/>
      </c>
      <c r="K121" s="67">
        <f>IF($B121="",0,IF(LEFT($B121,1)="━",0,$C121*VLOOKUP($B121,'4. CÀI ĐẶT'!$A$2:$H$32,7,FALSE)))</f>
        <v/>
      </c>
    </row>
    <row r="122">
      <c r="A122" s="8" t="n"/>
      <c r="B122" s="9" t="n"/>
      <c r="C122" s="65" t="n"/>
      <c r="D122" s="9" t="n"/>
      <c r="E122" s="66">
        <f>IF($B122="","",IF(LEFT($B122,1)="━","⚠️ Chọn hạng mục cụ thể",$C122*VLOOKUP($B122,'4. CÀI ĐẶT'!$A$2:$H$32,2,FALSE)))</f>
        <v/>
      </c>
      <c r="F122" s="67">
        <f>IF($B122="",0,IF(LEFT($B122,1)="━",0,$C122*VLOOKUP($B122,'4. CÀI ĐẶT'!$A$2:$H$32,3,FALSE)))</f>
        <v/>
      </c>
      <c r="G122" s="67">
        <f>IF($B122="",0,IF(LEFT($B122,1)="━",0,$C122*VLOOKUP($B122,'4. CÀI ĐẶT'!$A$2:$H$32,4,FALSE)))</f>
        <v/>
      </c>
      <c r="H122" s="67">
        <f>IF($B122="",0,IF(LEFT($B122,1)="━",0,$C122*VLOOKUP($B122,'4. CÀI ĐẶT'!$A$2:$H$32,5,FALSE)))</f>
        <v/>
      </c>
      <c r="I122">
        <f>IF($B122="","",IF(LEFT($B122,1)="━","",VLOOKUP($B122,'4. CÀI ĐẶT'!$A$2:$H$32,6,FALSE)))</f>
        <v/>
      </c>
      <c r="J122" s="13">
        <f>IF($A122="","",EOMONTH($A122,0))</f>
        <v/>
      </c>
      <c r="K122" s="67">
        <f>IF($B122="",0,IF(LEFT($B122,1)="━",0,$C122*VLOOKUP($B122,'4. CÀI ĐẶT'!$A$2:$H$32,7,FALSE)))</f>
        <v/>
      </c>
    </row>
    <row r="123">
      <c r="A123" s="8" t="n"/>
      <c r="B123" s="9" t="n"/>
      <c r="C123" s="65" t="n"/>
      <c r="D123" s="9" t="n"/>
      <c r="E123" s="66">
        <f>IF($B123="","",IF(LEFT($B123,1)="━","⚠️ Chọn hạng mục cụ thể",$C123*VLOOKUP($B123,'4. CÀI ĐẶT'!$A$2:$H$32,2,FALSE)))</f>
        <v/>
      </c>
      <c r="F123" s="67">
        <f>IF($B123="",0,IF(LEFT($B123,1)="━",0,$C123*VLOOKUP($B123,'4. CÀI ĐẶT'!$A$2:$H$32,3,FALSE)))</f>
        <v/>
      </c>
      <c r="G123" s="67">
        <f>IF($B123="",0,IF(LEFT($B123,1)="━",0,$C123*VLOOKUP($B123,'4. CÀI ĐẶT'!$A$2:$H$32,4,FALSE)))</f>
        <v/>
      </c>
      <c r="H123" s="67">
        <f>IF($B123="",0,IF(LEFT($B123,1)="━",0,$C123*VLOOKUP($B123,'4. CÀI ĐẶT'!$A$2:$H$32,5,FALSE)))</f>
        <v/>
      </c>
      <c r="I123">
        <f>IF($B123="","",IF(LEFT($B123,1)="━","",VLOOKUP($B123,'4. CÀI ĐẶT'!$A$2:$H$32,6,FALSE)))</f>
        <v/>
      </c>
      <c r="J123" s="13">
        <f>IF($A123="","",EOMONTH($A123,0))</f>
        <v/>
      </c>
      <c r="K123" s="67">
        <f>IF($B123="",0,IF(LEFT($B123,1)="━",0,$C123*VLOOKUP($B123,'4. CÀI ĐẶT'!$A$2:$H$32,7,FALSE)))</f>
        <v/>
      </c>
    </row>
    <row r="124">
      <c r="A124" s="8" t="n"/>
      <c r="B124" s="9" t="n"/>
      <c r="C124" s="65" t="n"/>
      <c r="D124" s="9" t="n"/>
      <c r="E124" s="66">
        <f>IF($B124="","",IF(LEFT($B124,1)="━","⚠️ Chọn hạng mục cụ thể",$C124*VLOOKUP($B124,'4. CÀI ĐẶT'!$A$2:$H$32,2,FALSE)))</f>
        <v/>
      </c>
      <c r="F124" s="67">
        <f>IF($B124="",0,IF(LEFT($B124,1)="━",0,$C124*VLOOKUP($B124,'4. CÀI ĐẶT'!$A$2:$H$32,3,FALSE)))</f>
        <v/>
      </c>
      <c r="G124" s="67">
        <f>IF($B124="",0,IF(LEFT($B124,1)="━",0,$C124*VLOOKUP($B124,'4. CÀI ĐẶT'!$A$2:$H$32,4,FALSE)))</f>
        <v/>
      </c>
      <c r="H124" s="67">
        <f>IF($B124="",0,IF(LEFT($B124,1)="━",0,$C124*VLOOKUP($B124,'4. CÀI ĐẶT'!$A$2:$H$32,5,FALSE)))</f>
        <v/>
      </c>
      <c r="I124">
        <f>IF($B124="","",IF(LEFT($B124,1)="━","",VLOOKUP($B124,'4. CÀI ĐẶT'!$A$2:$H$32,6,FALSE)))</f>
        <v/>
      </c>
      <c r="J124" s="13">
        <f>IF($A124="","",EOMONTH($A124,0))</f>
        <v/>
      </c>
      <c r="K124" s="67">
        <f>IF($B124="",0,IF(LEFT($B124,1)="━",0,$C124*VLOOKUP($B124,'4. CÀI ĐẶT'!$A$2:$H$32,7,FALSE)))</f>
        <v/>
      </c>
    </row>
    <row r="125">
      <c r="A125" s="8" t="n"/>
      <c r="B125" s="9" t="n"/>
      <c r="C125" s="65" t="n"/>
      <c r="D125" s="9" t="n"/>
      <c r="E125" s="66">
        <f>IF($B125="","",IF(LEFT($B125,1)="━","⚠️ Chọn hạng mục cụ thể",$C125*VLOOKUP($B125,'4. CÀI ĐẶT'!$A$2:$H$32,2,FALSE)))</f>
        <v/>
      </c>
      <c r="F125" s="67">
        <f>IF($B125="",0,IF(LEFT($B125,1)="━",0,$C125*VLOOKUP($B125,'4. CÀI ĐẶT'!$A$2:$H$32,3,FALSE)))</f>
        <v/>
      </c>
      <c r="G125" s="67">
        <f>IF($B125="",0,IF(LEFT($B125,1)="━",0,$C125*VLOOKUP($B125,'4. CÀI ĐẶT'!$A$2:$H$32,4,FALSE)))</f>
        <v/>
      </c>
      <c r="H125" s="67">
        <f>IF($B125="",0,IF(LEFT($B125,1)="━",0,$C125*VLOOKUP($B125,'4. CÀI ĐẶT'!$A$2:$H$32,5,FALSE)))</f>
        <v/>
      </c>
      <c r="I125">
        <f>IF($B125="","",IF(LEFT($B125,1)="━","",VLOOKUP($B125,'4. CÀI ĐẶT'!$A$2:$H$32,6,FALSE)))</f>
        <v/>
      </c>
      <c r="J125" s="13">
        <f>IF($A125="","",EOMONTH($A125,0))</f>
        <v/>
      </c>
      <c r="K125" s="67">
        <f>IF($B125="",0,IF(LEFT($B125,1)="━",0,$C125*VLOOKUP($B125,'4. CÀI ĐẶT'!$A$2:$H$32,7,FALSE)))</f>
        <v/>
      </c>
    </row>
    <row r="126">
      <c r="A126" s="8" t="n"/>
      <c r="B126" s="9" t="n"/>
      <c r="C126" s="65" t="n"/>
      <c r="D126" s="9" t="n"/>
      <c r="E126" s="66">
        <f>IF($B126="","",IF(LEFT($B126,1)="━","⚠️ Chọn hạng mục cụ thể",$C126*VLOOKUP($B126,'4. CÀI ĐẶT'!$A$2:$H$32,2,FALSE)))</f>
        <v/>
      </c>
      <c r="F126" s="67">
        <f>IF($B126="",0,IF(LEFT($B126,1)="━",0,$C126*VLOOKUP($B126,'4. CÀI ĐẶT'!$A$2:$H$32,3,FALSE)))</f>
        <v/>
      </c>
      <c r="G126" s="67">
        <f>IF($B126="",0,IF(LEFT($B126,1)="━",0,$C126*VLOOKUP($B126,'4. CÀI ĐẶT'!$A$2:$H$32,4,FALSE)))</f>
        <v/>
      </c>
      <c r="H126" s="67">
        <f>IF($B126="",0,IF(LEFT($B126,1)="━",0,$C126*VLOOKUP($B126,'4. CÀI ĐẶT'!$A$2:$H$32,5,FALSE)))</f>
        <v/>
      </c>
      <c r="I126">
        <f>IF($B126="","",IF(LEFT($B126,1)="━","",VLOOKUP($B126,'4. CÀI ĐẶT'!$A$2:$H$32,6,FALSE)))</f>
        <v/>
      </c>
      <c r="J126" s="13">
        <f>IF($A126="","",EOMONTH($A126,0))</f>
        <v/>
      </c>
      <c r="K126" s="67">
        <f>IF($B126="",0,IF(LEFT($B126,1)="━",0,$C126*VLOOKUP($B126,'4. CÀI ĐẶT'!$A$2:$H$32,7,FALSE)))</f>
        <v/>
      </c>
    </row>
    <row r="127">
      <c r="A127" s="8" t="n"/>
      <c r="B127" s="9" t="n"/>
      <c r="C127" s="65" t="n"/>
      <c r="D127" s="9" t="n"/>
      <c r="E127" s="66">
        <f>IF($B127="","",IF(LEFT($B127,1)="━","⚠️ Chọn hạng mục cụ thể",$C127*VLOOKUP($B127,'4. CÀI ĐẶT'!$A$2:$H$32,2,FALSE)))</f>
        <v/>
      </c>
      <c r="F127" s="67">
        <f>IF($B127="",0,IF(LEFT($B127,1)="━",0,$C127*VLOOKUP($B127,'4. CÀI ĐẶT'!$A$2:$H$32,3,FALSE)))</f>
        <v/>
      </c>
      <c r="G127" s="67">
        <f>IF($B127="",0,IF(LEFT($B127,1)="━",0,$C127*VLOOKUP($B127,'4. CÀI ĐẶT'!$A$2:$H$32,4,FALSE)))</f>
        <v/>
      </c>
      <c r="H127" s="67">
        <f>IF($B127="",0,IF(LEFT($B127,1)="━",0,$C127*VLOOKUP($B127,'4. CÀI ĐẶT'!$A$2:$H$32,5,FALSE)))</f>
        <v/>
      </c>
      <c r="I127">
        <f>IF($B127="","",IF(LEFT($B127,1)="━","",VLOOKUP($B127,'4. CÀI ĐẶT'!$A$2:$H$32,6,FALSE)))</f>
        <v/>
      </c>
      <c r="J127" s="13">
        <f>IF($A127="","",EOMONTH($A127,0))</f>
        <v/>
      </c>
      <c r="K127" s="67">
        <f>IF($B127="",0,IF(LEFT($B127,1)="━",0,$C127*VLOOKUP($B127,'4. CÀI ĐẶT'!$A$2:$H$32,7,FALSE)))</f>
        <v/>
      </c>
    </row>
    <row r="128">
      <c r="A128" s="8" t="n"/>
      <c r="B128" s="9" t="n"/>
      <c r="C128" s="65" t="n"/>
      <c r="D128" s="9" t="n"/>
      <c r="E128" s="66">
        <f>IF($B128="","",IF(LEFT($B128,1)="━","⚠️ Chọn hạng mục cụ thể",$C128*VLOOKUP($B128,'4. CÀI ĐẶT'!$A$2:$H$32,2,FALSE)))</f>
        <v/>
      </c>
      <c r="F128" s="67">
        <f>IF($B128="",0,IF(LEFT($B128,1)="━",0,$C128*VLOOKUP($B128,'4. CÀI ĐẶT'!$A$2:$H$32,3,FALSE)))</f>
        <v/>
      </c>
      <c r="G128" s="67">
        <f>IF($B128="",0,IF(LEFT($B128,1)="━",0,$C128*VLOOKUP($B128,'4. CÀI ĐẶT'!$A$2:$H$32,4,FALSE)))</f>
        <v/>
      </c>
      <c r="H128" s="67">
        <f>IF($B128="",0,IF(LEFT($B128,1)="━",0,$C128*VLOOKUP($B128,'4. CÀI ĐẶT'!$A$2:$H$32,5,FALSE)))</f>
        <v/>
      </c>
      <c r="I128">
        <f>IF($B128="","",IF(LEFT($B128,1)="━","",VLOOKUP($B128,'4. CÀI ĐẶT'!$A$2:$H$32,6,FALSE)))</f>
        <v/>
      </c>
      <c r="J128" s="13">
        <f>IF($A128="","",EOMONTH($A128,0))</f>
        <v/>
      </c>
      <c r="K128" s="67">
        <f>IF($B128="",0,IF(LEFT($B128,1)="━",0,$C128*VLOOKUP($B128,'4. CÀI ĐẶT'!$A$2:$H$32,7,FALSE)))</f>
        <v/>
      </c>
    </row>
    <row r="129">
      <c r="A129" s="8" t="n"/>
      <c r="B129" s="9" t="n"/>
      <c r="C129" s="65" t="n"/>
      <c r="D129" s="9" t="n"/>
      <c r="E129" s="66">
        <f>IF($B129="","",IF(LEFT($B129,1)="━","⚠️ Chọn hạng mục cụ thể",$C129*VLOOKUP($B129,'4. CÀI ĐẶT'!$A$2:$H$32,2,FALSE)))</f>
        <v/>
      </c>
      <c r="F129" s="67">
        <f>IF($B129="",0,IF(LEFT($B129,1)="━",0,$C129*VLOOKUP($B129,'4. CÀI ĐẶT'!$A$2:$H$32,3,FALSE)))</f>
        <v/>
      </c>
      <c r="G129" s="67">
        <f>IF($B129="",0,IF(LEFT($B129,1)="━",0,$C129*VLOOKUP($B129,'4. CÀI ĐẶT'!$A$2:$H$32,4,FALSE)))</f>
        <v/>
      </c>
      <c r="H129" s="67">
        <f>IF($B129="",0,IF(LEFT($B129,1)="━",0,$C129*VLOOKUP($B129,'4. CÀI ĐẶT'!$A$2:$H$32,5,FALSE)))</f>
        <v/>
      </c>
      <c r="I129">
        <f>IF($B129="","",IF(LEFT($B129,1)="━","",VLOOKUP($B129,'4. CÀI ĐẶT'!$A$2:$H$32,6,FALSE)))</f>
        <v/>
      </c>
      <c r="J129" s="13">
        <f>IF($A129="","",EOMONTH($A129,0))</f>
        <v/>
      </c>
      <c r="K129" s="67">
        <f>IF($B129="",0,IF(LEFT($B129,1)="━",0,$C129*VLOOKUP($B129,'4. CÀI ĐẶT'!$A$2:$H$32,7,FALSE)))</f>
        <v/>
      </c>
    </row>
    <row r="130">
      <c r="A130" s="8" t="n"/>
      <c r="B130" s="9" t="n"/>
      <c r="C130" s="65" t="n"/>
      <c r="D130" s="9" t="n"/>
      <c r="E130" s="66">
        <f>IF($B130="","",IF(LEFT($B130,1)="━","⚠️ Chọn hạng mục cụ thể",$C130*VLOOKUP($B130,'4. CÀI ĐẶT'!$A$2:$H$32,2,FALSE)))</f>
        <v/>
      </c>
      <c r="F130" s="67">
        <f>IF($B130="",0,IF(LEFT($B130,1)="━",0,$C130*VLOOKUP($B130,'4. CÀI ĐẶT'!$A$2:$H$32,3,FALSE)))</f>
        <v/>
      </c>
      <c r="G130" s="67">
        <f>IF($B130="",0,IF(LEFT($B130,1)="━",0,$C130*VLOOKUP($B130,'4. CÀI ĐẶT'!$A$2:$H$32,4,FALSE)))</f>
        <v/>
      </c>
      <c r="H130" s="67">
        <f>IF($B130="",0,IF(LEFT($B130,1)="━",0,$C130*VLOOKUP($B130,'4. CÀI ĐẶT'!$A$2:$H$32,5,FALSE)))</f>
        <v/>
      </c>
      <c r="I130">
        <f>IF($B130="","",IF(LEFT($B130,1)="━","",VLOOKUP($B130,'4. CÀI ĐẶT'!$A$2:$H$32,6,FALSE)))</f>
        <v/>
      </c>
      <c r="J130" s="13">
        <f>IF($A130="","",EOMONTH($A130,0))</f>
        <v/>
      </c>
      <c r="K130" s="67">
        <f>IF($B130="",0,IF(LEFT($B130,1)="━",0,$C130*VLOOKUP($B130,'4. CÀI ĐẶT'!$A$2:$H$32,7,FALSE)))</f>
        <v/>
      </c>
    </row>
    <row r="131">
      <c r="A131" s="8" t="n"/>
      <c r="B131" s="9" t="n"/>
      <c r="C131" s="65" t="n"/>
      <c r="D131" s="9" t="n"/>
      <c r="E131" s="66">
        <f>IF($B131="","",IF(LEFT($B131,1)="━","⚠️ Chọn hạng mục cụ thể",$C131*VLOOKUP($B131,'4. CÀI ĐẶT'!$A$2:$H$32,2,FALSE)))</f>
        <v/>
      </c>
      <c r="F131" s="67">
        <f>IF($B131="",0,IF(LEFT($B131,1)="━",0,$C131*VLOOKUP($B131,'4. CÀI ĐẶT'!$A$2:$H$32,3,FALSE)))</f>
        <v/>
      </c>
      <c r="G131" s="67">
        <f>IF($B131="",0,IF(LEFT($B131,1)="━",0,$C131*VLOOKUP($B131,'4. CÀI ĐẶT'!$A$2:$H$32,4,FALSE)))</f>
        <v/>
      </c>
      <c r="H131" s="67">
        <f>IF($B131="",0,IF(LEFT($B131,1)="━",0,$C131*VLOOKUP($B131,'4. CÀI ĐẶT'!$A$2:$H$32,5,FALSE)))</f>
        <v/>
      </c>
      <c r="I131">
        <f>IF($B131="","",IF(LEFT($B131,1)="━","",VLOOKUP($B131,'4. CÀI ĐẶT'!$A$2:$H$32,6,FALSE)))</f>
        <v/>
      </c>
      <c r="J131" s="13">
        <f>IF($A131="","",EOMONTH($A131,0))</f>
        <v/>
      </c>
      <c r="K131" s="67">
        <f>IF($B131="",0,IF(LEFT($B131,1)="━",0,$C131*VLOOKUP($B131,'4. CÀI ĐẶT'!$A$2:$H$32,7,FALSE)))</f>
        <v/>
      </c>
    </row>
    <row r="132">
      <c r="A132" s="8" t="n"/>
      <c r="B132" s="9" t="n"/>
      <c r="C132" s="65" t="n"/>
      <c r="D132" s="9" t="n"/>
      <c r="E132" s="66">
        <f>IF($B132="","",IF(LEFT($B132,1)="━","⚠️ Chọn hạng mục cụ thể",$C132*VLOOKUP($B132,'4. CÀI ĐẶT'!$A$2:$H$32,2,FALSE)))</f>
        <v/>
      </c>
      <c r="F132" s="67">
        <f>IF($B132="",0,IF(LEFT($B132,1)="━",0,$C132*VLOOKUP($B132,'4. CÀI ĐẶT'!$A$2:$H$32,3,FALSE)))</f>
        <v/>
      </c>
      <c r="G132" s="67">
        <f>IF($B132="",0,IF(LEFT($B132,1)="━",0,$C132*VLOOKUP($B132,'4. CÀI ĐẶT'!$A$2:$H$32,4,FALSE)))</f>
        <v/>
      </c>
      <c r="H132" s="67">
        <f>IF($B132="",0,IF(LEFT($B132,1)="━",0,$C132*VLOOKUP($B132,'4. CÀI ĐẶT'!$A$2:$H$32,5,FALSE)))</f>
        <v/>
      </c>
      <c r="I132">
        <f>IF($B132="","",IF(LEFT($B132,1)="━","",VLOOKUP($B132,'4. CÀI ĐẶT'!$A$2:$H$32,6,FALSE)))</f>
        <v/>
      </c>
      <c r="J132" s="13">
        <f>IF($A132="","",EOMONTH($A132,0))</f>
        <v/>
      </c>
      <c r="K132" s="67">
        <f>IF($B132="",0,IF(LEFT($B132,1)="━",0,$C132*VLOOKUP($B132,'4. CÀI ĐẶT'!$A$2:$H$32,7,FALSE)))</f>
        <v/>
      </c>
    </row>
    <row r="133">
      <c r="A133" s="8" t="n"/>
      <c r="B133" s="9" t="n"/>
      <c r="C133" s="65" t="n"/>
      <c r="D133" s="9" t="n"/>
      <c r="E133" s="66">
        <f>IF($B133="","",IF(LEFT($B133,1)="━","⚠️ Chọn hạng mục cụ thể",$C133*VLOOKUP($B133,'4. CÀI ĐẶT'!$A$2:$H$32,2,FALSE)))</f>
        <v/>
      </c>
      <c r="F133" s="67">
        <f>IF($B133="",0,IF(LEFT($B133,1)="━",0,$C133*VLOOKUP($B133,'4. CÀI ĐẶT'!$A$2:$H$32,3,FALSE)))</f>
        <v/>
      </c>
      <c r="G133" s="67">
        <f>IF($B133="",0,IF(LEFT($B133,1)="━",0,$C133*VLOOKUP($B133,'4. CÀI ĐẶT'!$A$2:$H$32,4,FALSE)))</f>
        <v/>
      </c>
      <c r="H133" s="67">
        <f>IF($B133="",0,IF(LEFT($B133,1)="━",0,$C133*VLOOKUP($B133,'4. CÀI ĐẶT'!$A$2:$H$32,5,FALSE)))</f>
        <v/>
      </c>
      <c r="I133">
        <f>IF($B133="","",IF(LEFT($B133,1)="━","",VLOOKUP($B133,'4. CÀI ĐẶT'!$A$2:$H$32,6,FALSE)))</f>
        <v/>
      </c>
      <c r="J133" s="13">
        <f>IF($A133="","",EOMONTH($A133,0))</f>
        <v/>
      </c>
      <c r="K133" s="67">
        <f>IF($B133="",0,IF(LEFT($B133,1)="━",0,$C133*VLOOKUP($B133,'4. CÀI ĐẶT'!$A$2:$H$32,7,FALSE)))</f>
        <v/>
      </c>
    </row>
    <row r="134">
      <c r="A134" s="8" t="n"/>
      <c r="B134" s="9" t="n"/>
      <c r="C134" s="65" t="n"/>
      <c r="D134" s="9" t="n"/>
      <c r="E134" s="66">
        <f>IF($B134="","",IF(LEFT($B134,1)="━","⚠️ Chọn hạng mục cụ thể",$C134*VLOOKUP($B134,'4. CÀI ĐẶT'!$A$2:$H$32,2,FALSE)))</f>
        <v/>
      </c>
      <c r="F134" s="67">
        <f>IF($B134="",0,IF(LEFT($B134,1)="━",0,$C134*VLOOKUP($B134,'4. CÀI ĐẶT'!$A$2:$H$32,3,FALSE)))</f>
        <v/>
      </c>
      <c r="G134" s="67">
        <f>IF($B134="",0,IF(LEFT($B134,1)="━",0,$C134*VLOOKUP($B134,'4. CÀI ĐẶT'!$A$2:$H$32,4,FALSE)))</f>
        <v/>
      </c>
      <c r="H134" s="67">
        <f>IF($B134="",0,IF(LEFT($B134,1)="━",0,$C134*VLOOKUP($B134,'4. CÀI ĐẶT'!$A$2:$H$32,5,FALSE)))</f>
        <v/>
      </c>
      <c r="I134">
        <f>IF($B134="","",IF(LEFT($B134,1)="━","",VLOOKUP($B134,'4. CÀI ĐẶT'!$A$2:$H$32,6,FALSE)))</f>
        <v/>
      </c>
      <c r="J134" s="13">
        <f>IF($A134="","",EOMONTH($A134,0))</f>
        <v/>
      </c>
      <c r="K134" s="67">
        <f>IF($B134="",0,IF(LEFT($B134,1)="━",0,$C134*VLOOKUP($B134,'4. CÀI ĐẶT'!$A$2:$H$32,7,FALSE)))</f>
        <v/>
      </c>
    </row>
    <row r="135">
      <c r="A135" s="8" t="n"/>
      <c r="B135" s="9" t="n"/>
      <c r="C135" s="65" t="n"/>
      <c r="D135" s="9" t="n"/>
      <c r="E135" s="66">
        <f>IF($B135="","",IF(LEFT($B135,1)="━","⚠️ Chọn hạng mục cụ thể",$C135*VLOOKUP($B135,'4. CÀI ĐẶT'!$A$2:$H$32,2,FALSE)))</f>
        <v/>
      </c>
      <c r="F135" s="67">
        <f>IF($B135="",0,IF(LEFT($B135,1)="━",0,$C135*VLOOKUP($B135,'4. CÀI ĐẶT'!$A$2:$H$32,3,FALSE)))</f>
        <v/>
      </c>
      <c r="G135" s="67">
        <f>IF($B135="",0,IF(LEFT($B135,1)="━",0,$C135*VLOOKUP($B135,'4. CÀI ĐẶT'!$A$2:$H$32,4,FALSE)))</f>
        <v/>
      </c>
      <c r="H135" s="67">
        <f>IF($B135="",0,IF(LEFT($B135,1)="━",0,$C135*VLOOKUP($B135,'4. CÀI ĐẶT'!$A$2:$H$32,5,FALSE)))</f>
        <v/>
      </c>
      <c r="I135">
        <f>IF($B135="","",IF(LEFT($B135,1)="━","",VLOOKUP($B135,'4. CÀI ĐẶT'!$A$2:$H$32,6,FALSE)))</f>
        <v/>
      </c>
      <c r="J135" s="13">
        <f>IF($A135="","",EOMONTH($A135,0))</f>
        <v/>
      </c>
      <c r="K135" s="67">
        <f>IF($B135="",0,IF(LEFT($B135,1)="━",0,$C135*VLOOKUP($B135,'4. CÀI ĐẶT'!$A$2:$H$32,7,FALSE)))</f>
        <v/>
      </c>
    </row>
    <row r="136">
      <c r="A136" s="8" t="n"/>
      <c r="B136" s="9" t="n"/>
      <c r="C136" s="65" t="n"/>
      <c r="D136" s="9" t="n"/>
      <c r="E136" s="66">
        <f>IF($B136="","",IF(LEFT($B136,1)="━","⚠️ Chọn hạng mục cụ thể",$C136*VLOOKUP($B136,'4. CÀI ĐẶT'!$A$2:$H$32,2,FALSE)))</f>
        <v/>
      </c>
      <c r="F136" s="67">
        <f>IF($B136="",0,IF(LEFT($B136,1)="━",0,$C136*VLOOKUP($B136,'4. CÀI ĐẶT'!$A$2:$H$32,3,FALSE)))</f>
        <v/>
      </c>
      <c r="G136" s="67">
        <f>IF($B136="",0,IF(LEFT($B136,1)="━",0,$C136*VLOOKUP($B136,'4. CÀI ĐẶT'!$A$2:$H$32,4,FALSE)))</f>
        <v/>
      </c>
      <c r="H136" s="67">
        <f>IF($B136="",0,IF(LEFT($B136,1)="━",0,$C136*VLOOKUP($B136,'4. CÀI ĐẶT'!$A$2:$H$32,5,FALSE)))</f>
        <v/>
      </c>
      <c r="I136">
        <f>IF($B136="","",IF(LEFT($B136,1)="━","",VLOOKUP($B136,'4. CÀI ĐẶT'!$A$2:$H$32,6,FALSE)))</f>
        <v/>
      </c>
      <c r="J136" s="13">
        <f>IF($A136="","",EOMONTH($A136,0))</f>
        <v/>
      </c>
      <c r="K136" s="67">
        <f>IF($B136="",0,IF(LEFT($B136,1)="━",0,$C136*VLOOKUP($B136,'4. CÀI ĐẶT'!$A$2:$H$32,7,FALSE)))</f>
        <v/>
      </c>
    </row>
    <row r="137">
      <c r="A137" s="8" t="n"/>
      <c r="B137" s="9" t="n"/>
      <c r="C137" s="65" t="n"/>
      <c r="D137" s="9" t="n"/>
      <c r="E137" s="66">
        <f>IF($B137="","",IF(LEFT($B137,1)="━","⚠️ Chọn hạng mục cụ thể",$C137*VLOOKUP($B137,'4. CÀI ĐẶT'!$A$2:$H$32,2,FALSE)))</f>
        <v/>
      </c>
      <c r="F137" s="67">
        <f>IF($B137="",0,IF(LEFT($B137,1)="━",0,$C137*VLOOKUP($B137,'4. CÀI ĐẶT'!$A$2:$H$32,3,FALSE)))</f>
        <v/>
      </c>
      <c r="G137" s="67">
        <f>IF($B137="",0,IF(LEFT($B137,1)="━",0,$C137*VLOOKUP($B137,'4. CÀI ĐẶT'!$A$2:$H$32,4,FALSE)))</f>
        <v/>
      </c>
      <c r="H137" s="67">
        <f>IF($B137="",0,IF(LEFT($B137,1)="━",0,$C137*VLOOKUP($B137,'4. CÀI ĐẶT'!$A$2:$H$32,5,FALSE)))</f>
        <v/>
      </c>
      <c r="I137">
        <f>IF($B137="","",IF(LEFT($B137,1)="━","",VLOOKUP($B137,'4. CÀI ĐẶT'!$A$2:$H$32,6,FALSE)))</f>
        <v/>
      </c>
      <c r="J137" s="13">
        <f>IF($A137="","",EOMONTH($A137,0))</f>
        <v/>
      </c>
      <c r="K137" s="67">
        <f>IF($B137="",0,IF(LEFT($B137,1)="━",0,$C137*VLOOKUP($B137,'4. CÀI ĐẶT'!$A$2:$H$32,7,FALSE)))</f>
        <v/>
      </c>
    </row>
    <row r="138">
      <c r="A138" s="8" t="n"/>
      <c r="B138" s="9" t="n"/>
      <c r="C138" s="65" t="n"/>
      <c r="D138" s="9" t="n"/>
      <c r="E138" s="66">
        <f>IF($B138="","",IF(LEFT($B138,1)="━","⚠️ Chọn hạng mục cụ thể",$C138*VLOOKUP($B138,'4. CÀI ĐẶT'!$A$2:$H$32,2,FALSE)))</f>
        <v/>
      </c>
      <c r="F138" s="67">
        <f>IF($B138="",0,IF(LEFT($B138,1)="━",0,$C138*VLOOKUP($B138,'4. CÀI ĐẶT'!$A$2:$H$32,3,FALSE)))</f>
        <v/>
      </c>
      <c r="G138" s="67">
        <f>IF($B138="",0,IF(LEFT($B138,1)="━",0,$C138*VLOOKUP($B138,'4. CÀI ĐẶT'!$A$2:$H$32,4,FALSE)))</f>
        <v/>
      </c>
      <c r="H138" s="67">
        <f>IF($B138="",0,IF(LEFT($B138,1)="━",0,$C138*VLOOKUP($B138,'4. CÀI ĐẶT'!$A$2:$H$32,5,FALSE)))</f>
        <v/>
      </c>
      <c r="I138">
        <f>IF($B138="","",IF(LEFT($B138,1)="━","",VLOOKUP($B138,'4. CÀI ĐẶT'!$A$2:$H$32,6,FALSE)))</f>
        <v/>
      </c>
      <c r="J138" s="13">
        <f>IF($A138="","",EOMONTH($A138,0))</f>
        <v/>
      </c>
      <c r="K138" s="67">
        <f>IF($B138="",0,IF(LEFT($B138,1)="━",0,$C138*VLOOKUP($B138,'4. CÀI ĐẶT'!$A$2:$H$32,7,FALSE)))</f>
        <v/>
      </c>
    </row>
    <row r="139">
      <c r="A139" s="8" t="n"/>
      <c r="B139" s="9" t="n"/>
      <c r="C139" s="65" t="n"/>
      <c r="D139" s="9" t="n"/>
      <c r="E139" s="66">
        <f>IF($B139="","",IF(LEFT($B139,1)="━","⚠️ Chọn hạng mục cụ thể",$C139*VLOOKUP($B139,'4. CÀI ĐẶT'!$A$2:$H$32,2,FALSE)))</f>
        <v/>
      </c>
      <c r="F139" s="67">
        <f>IF($B139="",0,IF(LEFT($B139,1)="━",0,$C139*VLOOKUP($B139,'4. CÀI ĐẶT'!$A$2:$H$32,3,FALSE)))</f>
        <v/>
      </c>
      <c r="G139" s="67">
        <f>IF($B139="",0,IF(LEFT($B139,1)="━",0,$C139*VLOOKUP($B139,'4. CÀI ĐẶT'!$A$2:$H$32,4,FALSE)))</f>
        <v/>
      </c>
      <c r="H139" s="67">
        <f>IF($B139="",0,IF(LEFT($B139,1)="━",0,$C139*VLOOKUP($B139,'4. CÀI ĐẶT'!$A$2:$H$32,5,FALSE)))</f>
        <v/>
      </c>
      <c r="I139">
        <f>IF($B139="","",IF(LEFT($B139,1)="━","",VLOOKUP($B139,'4. CÀI ĐẶT'!$A$2:$H$32,6,FALSE)))</f>
        <v/>
      </c>
      <c r="J139" s="13">
        <f>IF($A139="","",EOMONTH($A139,0))</f>
        <v/>
      </c>
      <c r="K139" s="67">
        <f>IF($B139="",0,IF(LEFT($B139,1)="━",0,$C139*VLOOKUP($B139,'4. CÀI ĐẶT'!$A$2:$H$32,7,FALSE)))</f>
        <v/>
      </c>
    </row>
    <row r="140">
      <c r="A140" s="8" t="n"/>
      <c r="B140" s="9" t="n"/>
      <c r="C140" s="65" t="n"/>
      <c r="D140" s="9" t="n"/>
      <c r="E140" s="66">
        <f>IF($B140="","",IF(LEFT($B140,1)="━","⚠️ Chọn hạng mục cụ thể",$C140*VLOOKUP($B140,'4. CÀI ĐẶT'!$A$2:$H$32,2,FALSE)))</f>
        <v/>
      </c>
      <c r="F140" s="67">
        <f>IF($B140="",0,IF(LEFT($B140,1)="━",0,$C140*VLOOKUP($B140,'4. CÀI ĐẶT'!$A$2:$H$32,3,FALSE)))</f>
        <v/>
      </c>
      <c r="G140" s="67">
        <f>IF($B140="",0,IF(LEFT($B140,1)="━",0,$C140*VLOOKUP($B140,'4. CÀI ĐẶT'!$A$2:$H$32,4,FALSE)))</f>
        <v/>
      </c>
      <c r="H140" s="67">
        <f>IF($B140="",0,IF(LEFT($B140,1)="━",0,$C140*VLOOKUP($B140,'4. CÀI ĐẶT'!$A$2:$H$32,5,FALSE)))</f>
        <v/>
      </c>
      <c r="I140">
        <f>IF($B140="","",IF(LEFT($B140,1)="━","",VLOOKUP($B140,'4. CÀI ĐẶT'!$A$2:$H$32,6,FALSE)))</f>
        <v/>
      </c>
      <c r="J140" s="13">
        <f>IF($A140="","",EOMONTH($A140,0))</f>
        <v/>
      </c>
      <c r="K140" s="67">
        <f>IF($B140="",0,IF(LEFT($B140,1)="━",0,$C140*VLOOKUP($B140,'4. CÀI ĐẶT'!$A$2:$H$32,7,FALSE)))</f>
        <v/>
      </c>
    </row>
    <row r="141">
      <c r="A141" s="8" t="n"/>
      <c r="B141" s="9" t="n"/>
      <c r="C141" s="65" t="n"/>
      <c r="D141" s="9" t="n"/>
      <c r="E141" s="66">
        <f>IF($B141="","",IF(LEFT($B141,1)="━","⚠️ Chọn hạng mục cụ thể",$C141*VLOOKUP($B141,'4. CÀI ĐẶT'!$A$2:$H$32,2,FALSE)))</f>
        <v/>
      </c>
      <c r="F141" s="67">
        <f>IF($B141="",0,IF(LEFT($B141,1)="━",0,$C141*VLOOKUP($B141,'4. CÀI ĐẶT'!$A$2:$H$32,3,FALSE)))</f>
        <v/>
      </c>
      <c r="G141" s="67">
        <f>IF($B141="",0,IF(LEFT($B141,1)="━",0,$C141*VLOOKUP($B141,'4. CÀI ĐẶT'!$A$2:$H$32,4,FALSE)))</f>
        <v/>
      </c>
      <c r="H141" s="67">
        <f>IF($B141="",0,IF(LEFT($B141,1)="━",0,$C141*VLOOKUP($B141,'4. CÀI ĐẶT'!$A$2:$H$32,5,FALSE)))</f>
        <v/>
      </c>
      <c r="I141">
        <f>IF($B141="","",IF(LEFT($B141,1)="━","",VLOOKUP($B141,'4. CÀI ĐẶT'!$A$2:$H$32,6,FALSE)))</f>
        <v/>
      </c>
      <c r="J141" s="13">
        <f>IF($A141="","",EOMONTH($A141,0))</f>
        <v/>
      </c>
      <c r="K141" s="67">
        <f>IF($B141="",0,IF(LEFT($B141,1)="━",0,$C141*VLOOKUP($B141,'4. CÀI ĐẶT'!$A$2:$H$32,7,FALSE)))</f>
        <v/>
      </c>
    </row>
    <row r="142">
      <c r="A142" s="8" t="n"/>
      <c r="B142" s="9" t="n"/>
      <c r="C142" s="65" t="n"/>
      <c r="D142" s="9" t="n"/>
      <c r="E142" s="66">
        <f>IF($B142="","",IF(LEFT($B142,1)="━","⚠️ Chọn hạng mục cụ thể",$C142*VLOOKUP($B142,'4. CÀI ĐẶT'!$A$2:$H$32,2,FALSE)))</f>
        <v/>
      </c>
      <c r="F142" s="67">
        <f>IF($B142="",0,IF(LEFT($B142,1)="━",0,$C142*VLOOKUP($B142,'4. CÀI ĐẶT'!$A$2:$H$32,3,FALSE)))</f>
        <v/>
      </c>
      <c r="G142" s="67">
        <f>IF($B142="",0,IF(LEFT($B142,1)="━",0,$C142*VLOOKUP($B142,'4. CÀI ĐẶT'!$A$2:$H$32,4,FALSE)))</f>
        <v/>
      </c>
      <c r="H142" s="67">
        <f>IF($B142="",0,IF(LEFT($B142,1)="━",0,$C142*VLOOKUP($B142,'4. CÀI ĐẶT'!$A$2:$H$32,5,FALSE)))</f>
        <v/>
      </c>
      <c r="I142">
        <f>IF($B142="","",IF(LEFT($B142,1)="━","",VLOOKUP($B142,'4. CÀI ĐẶT'!$A$2:$H$32,6,FALSE)))</f>
        <v/>
      </c>
      <c r="J142" s="13">
        <f>IF($A142="","",EOMONTH($A142,0))</f>
        <v/>
      </c>
      <c r="K142" s="67">
        <f>IF($B142="",0,IF(LEFT($B142,1)="━",0,$C142*VLOOKUP($B142,'4. CÀI ĐẶT'!$A$2:$H$32,7,FALSE)))</f>
        <v/>
      </c>
    </row>
    <row r="143">
      <c r="A143" s="8" t="n"/>
      <c r="B143" s="9" t="n"/>
      <c r="C143" s="65" t="n"/>
      <c r="D143" s="9" t="n"/>
      <c r="E143" s="66">
        <f>IF($B143="","",IF(LEFT($B143,1)="━","⚠️ Chọn hạng mục cụ thể",$C143*VLOOKUP($B143,'4. CÀI ĐẶT'!$A$2:$H$32,2,FALSE)))</f>
        <v/>
      </c>
      <c r="F143" s="67">
        <f>IF($B143="",0,IF(LEFT($B143,1)="━",0,$C143*VLOOKUP($B143,'4. CÀI ĐẶT'!$A$2:$H$32,3,FALSE)))</f>
        <v/>
      </c>
      <c r="G143" s="67">
        <f>IF($B143="",0,IF(LEFT($B143,1)="━",0,$C143*VLOOKUP($B143,'4. CÀI ĐẶT'!$A$2:$H$32,4,FALSE)))</f>
        <v/>
      </c>
      <c r="H143" s="67">
        <f>IF($B143="",0,IF(LEFT($B143,1)="━",0,$C143*VLOOKUP($B143,'4. CÀI ĐẶT'!$A$2:$H$32,5,FALSE)))</f>
        <v/>
      </c>
      <c r="I143">
        <f>IF($B143="","",IF(LEFT($B143,1)="━","",VLOOKUP($B143,'4. CÀI ĐẶT'!$A$2:$H$32,6,FALSE)))</f>
        <v/>
      </c>
      <c r="J143" s="13">
        <f>IF($A143="","",EOMONTH($A143,0))</f>
        <v/>
      </c>
      <c r="K143" s="67">
        <f>IF($B143="",0,IF(LEFT($B143,1)="━",0,$C143*VLOOKUP($B143,'4. CÀI ĐẶT'!$A$2:$H$32,7,FALSE)))</f>
        <v/>
      </c>
    </row>
    <row r="144">
      <c r="A144" s="8" t="n"/>
      <c r="B144" s="9" t="n"/>
      <c r="C144" s="65" t="n"/>
      <c r="D144" s="9" t="n"/>
      <c r="E144" s="66">
        <f>IF($B144="","",IF(LEFT($B144,1)="━","⚠️ Chọn hạng mục cụ thể",$C144*VLOOKUP($B144,'4. CÀI ĐẶT'!$A$2:$H$32,2,FALSE)))</f>
        <v/>
      </c>
      <c r="F144" s="67">
        <f>IF($B144="",0,IF(LEFT($B144,1)="━",0,$C144*VLOOKUP($B144,'4. CÀI ĐẶT'!$A$2:$H$32,3,FALSE)))</f>
        <v/>
      </c>
      <c r="G144" s="67">
        <f>IF($B144="",0,IF(LEFT($B144,1)="━",0,$C144*VLOOKUP($B144,'4. CÀI ĐẶT'!$A$2:$H$32,4,FALSE)))</f>
        <v/>
      </c>
      <c r="H144" s="67">
        <f>IF($B144="",0,IF(LEFT($B144,1)="━",0,$C144*VLOOKUP($B144,'4. CÀI ĐẶT'!$A$2:$H$32,5,FALSE)))</f>
        <v/>
      </c>
      <c r="I144">
        <f>IF($B144="","",IF(LEFT($B144,1)="━","",VLOOKUP($B144,'4. CÀI ĐẶT'!$A$2:$H$32,6,FALSE)))</f>
        <v/>
      </c>
      <c r="J144" s="13">
        <f>IF($A144="","",EOMONTH($A144,0))</f>
        <v/>
      </c>
      <c r="K144" s="67">
        <f>IF($B144="",0,IF(LEFT($B144,1)="━",0,$C144*VLOOKUP($B144,'4. CÀI ĐẶT'!$A$2:$H$32,7,FALSE)))</f>
        <v/>
      </c>
    </row>
    <row r="145">
      <c r="A145" s="8" t="n"/>
      <c r="B145" s="9" t="n"/>
      <c r="C145" s="65" t="n"/>
      <c r="D145" s="9" t="n"/>
      <c r="E145" s="66">
        <f>IF($B145="","",IF(LEFT($B145,1)="━","⚠️ Chọn hạng mục cụ thể",$C145*VLOOKUP($B145,'4. CÀI ĐẶT'!$A$2:$H$32,2,FALSE)))</f>
        <v/>
      </c>
      <c r="F145" s="67">
        <f>IF($B145="",0,IF(LEFT($B145,1)="━",0,$C145*VLOOKUP($B145,'4. CÀI ĐẶT'!$A$2:$H$32,3,FALSE)))</f>
        <v/>
      </c>
      <c r="G145" s="67">
        <f>IF($B145="",0,IF(LEFT($B145,1)="━",0,$C145*VLOOKUP($B145,'4. CÀI ĐẶT'!$A$2:$H$32,4,FALSE)))</f>
        <v/>
      </c>
      <c r="H145" s="67">
        <f>IF($B145="",0,IF(LEFT($B145,1)="━",0,$C145*VLOOKUP($B145,'4. CÀI ĐẶT'!$A$2:$H$32,5,FALSE)))</f>
        <v/>
      </c>
      <c r="I145">
        <f>IF($B145="","",IF(LEFT($B145,1)="━","",VLOOKUP($B145,'4. CÀI ĐẶT'!$A$2:$H$32,6,FALSE)))</f>
        <v/>
      </c>
      <c r="J145" s="13">
        <f>IF($A145="","",EOMONTH($A145,0))</f>
        <v/>
      </c>
      <c r="K145" s="67">
        <f>IF($B145="",0,IF(LEFT($B145,1)="━",0,$C145*VLOOKUP($B145,'4. CÀI ĐẶT'!$A$2:$H$32,7,FALSE)))</f>
        <v/>
      </c>
    </row>
    <row r="146">
      <c r="A146" s="8" t="n"/>
      <c r="B146" s="9" t="n"/>
      <c r="C146" s="65" t="n"/>
      <c r="D146" s="9" t="n"/>
      <c r="E146" s="66">
        <f>IF($B146="","",IF(LEFT($B146,1)="━","⚠️ Chọn hạng mục cụ thể",$C146*VLOOKUP($B146,'4. CÀI ĐẶT'!$A$2:$H$32,2,FALSE)))</f>
        <v/>
      </c>
      <c r="F146" s="67">
        <f>IF($B146="",0,IF(LEFT($B146,1)="━",0,$C146*VLOOKUP($B146,'4. CÀI ĐẶT'!$A$2:$H$32,3,FALSE)))</f>
        <v/>
      </c>
      <c r="G146" s="67">
        <f>IF($B146="",0,IF(LEFT($B146,1)="━",0,$C146*VLOOKUP($B146,'4. CÀI ĐẶT'!$A$2:$H$32,4,FALSE)))</f>
        <v/>
      </c>
      <c r="H146" s="67">
        <f>IF($B146="",0,IF(LEFT($B146,1)="━",0,$C146*VLOOKUP($B146,'4. CÀI ĐẶT'!$A$2:$H$32,5,FALSE)))</f>
        <v/>
      </c>
      <c r="I146">
        <f>IF($B146="","",IF(LEFT($B146,1)="━","",VLOOKUP($B146,'4. CÀI ĐẶT'!$A$2:$H$32,6,FALSE)))</f>
        <v/>
      </c>
      <c r="J146" s="13">
        <f>IF($A146="","",EOMONTH($A146,0))</f>
        <v/>
      </c>
      <c r="K146" s="67">
        <f>IF($B146="",0,IF(LEFT($B146,1)="━",0,$C146*VLOOKUP($B146,'4. CÀI ĐẶT'!$A$2:$H$32,7,FALSE)))</f>
        <v/>
      </c>
    </row>
    <row r="147">
      <c r="A147" s="8" t="n"/>
      <c r="B147" s="9" t="n"/>
      <c r="C147" s="65" t="n"/>
      <c r="D147" s="9" t="n"/>
      <c r="E147" s="66">
        <f>IF($B147="","",IF(LEFT($B147,1)="━","⚠️ Chọn hạng mục cụ thể",$C147*VLOOKUP($B147,'4. CÀI ĐẶT'!$A$2:$H$32,2,FALSE)))</f>
        <v/>
      </c>
      <c r="F147" s="67">
        <f>IF($B147="",0,IF(LEFT($B147,1)="━",0,$C147*VLOOKUP($B147,'4. CÀI ĐẶT'!$A$2:$H$32,3,FALSE)))</f>
        <v/>
      </c>
      <c r="G147" s="67">
        <f>IF($B147="",0,IF(LEFT($B147,1)="━",0,$C147*VLOOKUP($B147,'4. CÀI ĐẶT'!$A$2:$H$32,4,FALSE)))</f>
        <v/>
      </c>
      <c r="H147" s="67">
        <f>IF($B147="",0,IF(LEFT($B147,1)="━",0,$C147*VLOOKUP($B147,'4. CÀI ĐẶT'!$A$2:$H$32,5,FALSE)))</f>
        <v/>
      </c>
      <c r="I147">
        <f>IF($B147="","",IF(LEFT($B147,1)="━","",VLOOKUP($B147,'4. CÀI ĐẶT'!$A$2:$H$32,6,FALSE)))</f>
        <v/>
      </c>
      <c r="J147" s="13">
        <f>IF($A147="","",EOMONTH($A147,0))</f>
        <v/>
      </c>
      <c r="K147" s="67">
        <f>IF($B147="",0,IF(LEFT($B147,1)="━",0,$C147*VLOOKUP($B147,'4. CÀI ĐẶT'!$A$2:$H$32,7,FALSE)))</f>
        <v/>
      </c>
    </row>
    <row r="148">
      <c r="A148" s="8" t="n"/>
      <c r="B148" s="9" t="n"/>
      <c r="C148" s="65" t="n"/>
      <c r="D148" s="9" t="n"/>
      <c r="E148" s="66">
        <f>IF($B148="","",IF(LEFT($B148,1)="━","⚠️ Chọn hạng mục cụ thể",$C148*VLOOKUP($B148,'4. CÀI ĐẶT'!$A$2:$H$32,2,FALSE)))</f>
        <v/>
      </c>
      <c r="F148" s="67">
        <f>IF($B148="",0,IF(LEFT($B148,1)="━",0,$C148*VLOOKUP($B148,'4. CÀI ĐẶT'!$A$2:$H$32,3,FALSE)))</f>
        <v/>
      </c>
      <c r="G148" s="67">
        <f>IF($B148="",0,IF(LEFT($B148,1)="━",0,$C148*VLOOKUP($B148,'4. CÀI ĐẶT'!$A$2:$H$32,4,FALSE)))</f>
        <v/>
      </c>
      <c r="H148" s="67">
        <f>IF($B148="",0,IF(LEFT($B148,1)="━",0,$C148*VLOOKUP($B148,'4. CÀI ĐẶT'!$A$2:$H$32,5,FALSE)))</f>
        <v/>
      </c>
      <c r="I148">
        <f>IF($B148="","",IF(LEFT($B148,1)="━","",VLOOKUP($B148,'4. CÀI ĐẶT'!$A$2:$H$32,6,FALSE)))</f>
        <v/>
      </c>
      <c r="J148" s="13">
        <f>IF($A148="","",EOMONTH($A148,0))</f>
        <v/>
      </c>
      <c r="K148" s="67">
        <f>IF($B148="",0,IF(LEFT($B148,1)="━",0,$C148*VLOOKUP($B148,'4. CÀI ĐẶT'!$A$2:$H$32,7,FALSE)))</f>
        <v/>
      </c>
    </row>
    <row r="149">
      <c r="A149" s="8" t="n"/>
      <c r="B149" s="9" t="n"/>
      <c r="C149" s="65" t="n"/>
      <c r="D149" s="9" t="n"/>
      <c r="E149" s="66">
        <f>IF($B149="","",IF(LEFT($B149,1)="━","⚠️ Chọn hạng mục cụ thể",$C149*VLOOKUP($B149,'4. CÀI ĐẶT'!$A$2:$H$32,2,FALSE)))</f>
        <v/>
      </c>
      <c r="F149" s="67">
        <f>IF($B149="",0,IF(LEFT($B149,1)="━",0,$C149*VLOOKUP($B149,'4. CÀI ĐẶT'!$A$2:$H$32,3,FALSE)))</f>
        <v/>
      </c>
      <c r="G149" s="67">
        <f>IF($B149="",0,IF(LEFT($B149,1)="━",0,$C149*VLOOKUP($B149,'4. CÀI ĐẶT'!$A$2:$H$32,4,FALSE)))</f>
        <v/>
      </c>
      <c r="H149" s="67">
        <f>IF($B149="",0,IF(LEFT($B149,1)="━",0,$C149*VLOOKUP($B149,'4. CÀI ĐẶT'!$A$2:$H$32,5,FALSE)))</f>
        <v/>
      </c>
      <c r="I149">
        <f>IF($B149="","",IF(LEFT($B149,1)="━","",VLOOKUP($B149,'4. CÀI ĐẶT'!$A$2:$H$32,6,FALSE)))</f>
        <v/>
      </c>
      <c r="J149" s="13">
        <f>IF($A149="","",EOMONTH($A149,0))</f>
        <v/>
      </c>
      <c r="K149" s="67">
        <f>IF($B149="",0,IF(LEFT($B149,1)="━",0,$C149*VLOOKUP($B149,'4. CÀI ĐẶT'!$A$2:$H$32,7,FALSE)))</f>
        <v/>
      </c>
    </row>
    <row r="150">
      <c r="A150" s="8" t="n"/>
      <c r="B150" s="9" t="n"/>
      <c r="C150" s="65" t="n"/>
      <c r="D150" s="9" t="n"/>
      <c r="E150" s="66">
        <f>IF($B150="","",IF(LEFT($B150,1)="━","⚠️ Chọn hạng mục cụ thể",$C150*VLOOKUP($B150,'4. CÀI ĐẶT'!$A$2:$H$32,2,FALSE)))</f>
        <v/>
      </c>
      <c r="F150" s="67">
        <f>IF($B150="",0,IF(LEFT($B150,1)="━",0,$C150*VLOOKUP($B150,'4. CÀI ĐẶT'!$A$2:$H$32,3,FALSE)))</f>
        <v/>
      </c>
      <c r="G150" s="67">
        <f>IF($B150="",0,IF(LEFT($B150,1)="━",0,$C150*VLOOKUP($B150,'4. CÀI ĐẶT'!$A$2:$H$32,4,FALSE)))</f>
        <v/>
      </c>
      <c r="H150" s="67">
        <f>IF($B150="",0,IF(LEFT($B150,1)="━",0,$C150*VLOOKUP($B150,'4. CÀI ĐẶT'!$A$2:$H$32,5,FALSE)))</f>
        <v/>
      </c>
      <c r="I150">
        <f>IF($B150="","",IF(LEFT($B150,1)="━","",VLOOKUP($B150,'4. CÀI ĐẶT'!$A$2:$H$32,6,FALSE)))</f>
        <v/>
      </c>
      <c r="J150" s="13">
        <f>IF($A150="","",EOMONTH($A150,0))</f>
        <v/>
      </c>
      <c r="K150" s="67">
        <f>IF($B150="",0,IF(LEFT($B150,1)="━",0,$C150*VLOOKUP($B150,'4. CÀI ĐẶT'!$A$2:$H$32,7,FALSE)))</f>
        <v/>
      </c>
    </row>
    <row r="151">
      <c r="A151" s="8" t="n"/>
      <c r="B151" s="9" t="n"/>
      <c r="C151" s="65" t="n"/>
      <c r="D151" s="9" t="n"/>
      <c r="E151" s="66">
        <f>IF($B151="","",IF(LEFT($B151,1)="━","⚠️ Chọn hạng mục cụ thể",$C151*VLOOKUP($B151,'4. CÀI ĐẶT'!$A$2:$H$32,2,FALSE)))</f>
        <v/>
      </c>
      <c r="F151" s="67">
        <f>IF($B151="",0,IF(LEFT($B151,1)="━",0,$C151*VLOOKUP($B151,'4. CÀI ĐẶT'!$A$2:$H$32,3,FALSE)))</f>
        <v/>
      </c>
      <c r="G151" s="67">
        <f>IF($B151="",0,IF(LEFT($B151,1)="━",0,$C151*VLOOKUP($B151,'4. CÀI ĐẶT'!$A$2:$H$32,4,FALSE)))</f>
        <v/>
      </c>
      <c r="H151" s="67">
        <f>IF($B151="",0,IF(LEFT($B151,1)="━",0,$C151*VLOOKUP($B151,'4. CÀI ĐẶT'!$A$2:$H$32,5,FALSE)))</f>
        <v/>
      </c>
      <c r="I151">
        <f>IF($B151="","",IF(LEFT($B151,1)="━","",VLOOKUP($B151,'4. CÀI ĐẶT'!$A$2:$H$32,6,FALSE)))</f>
        <v/>
      </c>
      <c r="J151" s="13">
        <f>IF($A151="","",EOMONTH($A151,0))</f>
        <v/>
      </c>
      <c r="K151" s="67">
        <f>IF($B151="",0,IF(LEFT($B151,1)="━",0,$C151*VLOOKUP($B151,'4. CÀI ĐẶT'!$A$2:$H$32,7,FALSE)))</f>
        <v/>
      </c>
    </row>
    <row r="152">
      <c r="A152" s="8" t="n"/>
      <c r="B152" s="9" t="n"/>
      <c r="C152" s="65" t="n"/>
      <c r="D152" s="9" t="n"/>
      <c r="E152" s="66">
        <f>IF($B152="","",IF(LEFT($B152,1)="━","⚠️ Chọn hạng mục cụ thể",$C152*VLOOKUP($B152,'4. CÀI ĐẶT'!$A$2:$H$32,2,FALSE)))</f>
        <v/>
      </c>
      <c r="F152" s="67">
        <f>IF($B152="",0,IF(LEFT($B152,1)="━",0,$C152*VLOOKUP($B152,'4. CÀI ĐẶT'!$A$2:$H$32,3,FALSE)))</f>
        <v/>
      </c>
      <c r="G152" s="67">
        <f>IF($B152="",0,IF(LEFT($B152,1)="━",0,$C152*VLOOKUP($B152,'4. CÀI ĐẶT'!$A$2:$H$32,4,FALSE)))</f>
        <v/>
      </c>
      <c r="H152" s="67">
        <f>IF($B152="",0,IF(LEFT($B152,1)="━",0,$C152*VLOOKUP($B152,'4. CÀI ĐẶT'!$A$2:$H$32,5,FALSE)))</f>
        <v/>
      </c>
      <c r="I152">
        <f>IF($B152="","",IF(LEFT($B152,1)="━","",VLOOKUP($B152,'4. CÀI ĐẶT'!$A$2:$H$32,6,FALSE)))</f>
        <v/>
      </c>
      <c r="J152" s="13">
        <f>IF($A152="","",EOMONTH($A152,0))</f>
        <v/>
      </c>
      <c r="K152" s="67">
        <f>IF($B152="",0,IF(LEFT($B152,1)="━",0,$C152*VLOOKUP($B152,'4. CÀI ĐẶT'!$A$2:$H$32,7,FALSE)))</f>
        <v/>
      </c>
    </row>
    <row r="153">
      <c r="A153" s="8" t="n"/>
      <c r="B153" s="9" t="n"/>
      <c r="C153" s="65" t="n"/>
      <c r="D153" s="9" t="n"/>
      <c r="E153" s="66">
        <f>IF($B153="","",IF(LEFT($B153,1)="━","⚠️ Chọn hạng mục cụ thể",$C153*VLOOKUP($B153,'4. CÀI ĐẶT'!$A$2:$H$32,2,FALSE)))</f>
        <v/>
      </c>
      <c r="F153" s="67">
        <f>IF($B153="",0,IF(LEFT($B153,1)="━",0,$C153*VLOOKUP($B153,'4. CÀI ĐẶT'!$A$2:$H$32,3,FALSE)))</f>
        <v/>
      </c>
      <c r="G153" s="67">
        <f>IF($B153="",0,IF(LEFT($B153,1)="━",0,$C153*VLOOKUP($B153,'4. CÀI ĐẶT'!$A$2:$H$32,4,FALSE)))</f>
        <v/>
      </c>
      <c r="H153" s="67">
        <f>IF($B153="",0,IF(LEFT($B153,1)="━",0,$C153*VLOOKUP($B153,'4. CÀI ĐẶT'!$A$2:$H$32,5,FALSE)))</f>
        <v/>
      </c>
      <c r="I153">
        <f>IF($B153="","",IF(LEFT($B153,1)="━","",VLOOKUP($B153,'4. CÀI ĐẶT'!$A$2:$H$32,6,FALSE)))</f>
        <v/>
      </c>
      <c r="J153" s="13">
        <f>IF($A153="","",EOMONTH($A153,0))</f>
        <v/>
      </c>
      <c r="K153" s="67">
        <f>IF($B153="",0,IF(LEFT($B153,1)="━",0,$C153*VLOOKUP($B153,'4. CÀI ĐẶT'!$A$2:$H$32,7,FALSE)))</f>
        <v/>
      </c>
    </row>
    <row r="154">
      <c r="A154" s="8" t="n"/>
      <c r="B154" s="9" t="n"/>
      <c r="C154" s="65" t="n"/>
      <c r="D154" s="9" t="n"/>
      <c r="E154" s="66">
        <f>IF($B154="","",IF(LEFT($B154,1)="━","⚠️ Chọn hạng mục cụ thể",$C154*VLOOKUP($B154,'4. CÀI ĐẶT'!$A$2:$H$32,2,FALSE)))</f>
        <v/>
      </c>
      <c r="F154" s="67">
        <f>IF($B154="",0,IF(LEFT($B154,1)="━",0,$C154*VLOOKUP($B154,'4. CÀI ĐẶT'!$A$2:$H$32,3,FALSE)))</f>
        <v/>
      </c>
      <c r="G154" s="67">
        <f>IF($B154="",0,IF(LEFT($B154,1)="━",0,$C154*VLOOKUP($B154,'4. CÀI ĐẶT'!$A$2:$H$32,4,FALSE)))</f>
        <v/>
      </c>
      <c r="H154" s="67">
        <f>IF($B154="",0,IF(LEFT($B154,1)="━",0,$C154*VLOOKUP($B154,'4. CÀI ĐẶT'!$A$2:$H$32,5,FALSE)))</f>
        <v/>
      </c>
      <c r="I154">
        <f>IF($B154="","",IF(LEFT($B154,1)="━","",VLOOKUP($B154,'4. CÀI ĐẶT'!$A$2:$H$32,6,FALSE)))</f>
        <v/>
      </c>
      <c r="J154" s="13">
        <f>IF($A154="","",EOMONTH($A154,0))</f>
        <v/>
      </c>
      <c r="K154" s="67">
        <f>IF($B154="",0,IF(LEFT($B154,1)="━",0,$C154*VLOOKUP($B154,'4. CÀI ĐẶT'!$A$2:$H$32,7,FALSE)))</f>
        <v/>
      </c>
    </row>
    <row r="155">
      <c r="A155" s="8" t="n"/>
      <c r="B155" s="9" t="n"/>
      <c r="C155" s="65" t="n"/>
      <c r="D155" s="9" t="n"/>
      <c r="E155" s="66">
        <f>IF($B155="","",IF(LEFT($B155,1)="━","⚠️ Chọn hạng mục cụ thể",$C155*VLOOKUP($B155,'4. CÀI ĐẶT'!$A$2:$H$32,2,FALSE)))</f>
        <v/>
      </c>
      <c r="F155" s="67">
        <f>IF($B155="",0,IF(LEFT($B155,1)="━",0,$C155*VLOOKUP($B155,'4. CÀI ĐẶT'!$A$2:$H$32,3,FALSE)))</f>
        <v/>
      </c>
      <c r="G155" s="67">
        <f>IF($B155="",0,IF(LEFT($B155,1)="━",0,$C155*VLOOKUP($B155,'4. CÀI ĐẶT'!$A$2:$H$32,4,FALSE)))</f>
        <v/>
      </c>
      <c r="H155" s="67">
        <f>IF($B155="",0,IF(LEFT($B155,1)="━",0,$C155*VLOOKUP($B155,'4. CÀI ĐẶT'!$A$2:$H$32,5,FALSE)))</f>
        <v/>
      </c>
      <c r="I155">
        <f>IF($B155="","",IF(LEFT($B155,1)="━","",VLOOKUP($B155,'4. CÀI ĐẶT'!$A$2:$H$32,6,FALSE)))</f>
        <v/>
      </c>
      <c r="J155" s="13">
        <f>IF($A155="","",EOMONTH($A155,0))</f>
        <v/>
      </c>
      <c r="K155" s="67">
        <f>IF($B155="",0,IF(LEFT($B155,1)="━",0,$C155*VLOOKUP($B155,'4. CÀI ĐẶT'!$A$2:$H$32,7,FALSE)))</f>
        <v/>
      </c>
    </row>
    <row r="156">
      <c r="A156" s="8" t="n"/>
      <c r="B156" s="9" t="n"/>
      <c r="C156" s="65" t="n"/>
      <c r="D156" s="9" t="n"/>
      <c r="E156" s="66">
        <f>IF($B156="","",IF(LEFT($B156,1)="━","⚠️ Chọn hạng mục cụ thể",$C156*VLOOKUP($B156,'4. CÀI ĐẶT'!$A$2:$H$32,2,FALSE)))</f>
        <v/>
      </c>
      <c r="F156" s="67">
        <f>IF($B156="",0,IF(LEFT($B156,1)="━",0,$C156*VLOOKUP($B156,'4. CÀI ĐẶT'!$A$2:$H$32,3,FALSE)))</f>
        <v/>
      </c>
      <c r="G156" s="67">
        <f>IF($B156="",0,IF(LEFT($B156,1)="━",0,$C156*VLOOKUP($B156,'4. CÀI ĐẶT'!$A$2:$H$32,4,FALSE)))</f>
        <v/>
      </c>
      <c r="H156" s="67">
        <f>IF($B156="",0,IF(LEFT($B156,1)="━",0,$C156*VLOOKUP($B156,'4. CÀI ĐẶT'!$A$2:$H$32,5,FALSE)))</f>
        <v/>
      </c>
      <c r="I156">
        <f>IF($B156="","",IF(LEFT($B156,1)="━","",VLOOKUP($B156,'4. CÀI ĐẶT'!$A$2:$H$32,6,FALSE)))</f>
        <v/>
      </c>
      <c r="J156" s="13">
        <f>IF($A156="","",EOMONTH($A156,0))</f>
        <v/>
      </c>
      <c r="K156" s="67">
        <f>IF($B156="",0,IF(LEFT($B156,1)="━",0,$C156*VLOOKUP($B156,'4. CÀI ĐẶT'!$A$2:$H$32,7,FALSE)))</f>
        <v/>
      </c>
    </row>
    <row r="157">
      <c r="A157" s="8" t="n"/>
      <c r="B157" s="9" t="n"/>
      <c r="C157" s="65" t="n"/>
      <c r="D157" s="9" t="n"/>
      <c r="E157" s="66">
        <f>IF($B157="","",IF(LEFT($B157,1)="━","⚠️ Chọn hạng mục cụ thể",$C157*VLOOKUP($B157,'4. CÀI ĐẶT'!$A$2:$H$32,2,FALSE)))</f>
        <v/>
      </c>
      <c r="F157" s="67">
        <f>IF($B157="",0,IF(LEFT($B157,1)="━",0,$C157*VLOOKUP($B157,'4. CÀI ĐẶT'!$A$2:$H$32,3,FALSE)))</f>
        <v/>
      </c>
      <c r="G157" s="67">
        <f>IF($B157="",0,IF(LEFT($B157,1)="━",0,$C157*VLOOKUP($B157,'4. CÀI ĐẶT'!$A$2:$H$32,4,FALSE)))</f>
        <v/>
      </c>
      <c r="H157" s="67">
        <f>IF($B157="",0,IF(LEFT($B157,1)="━",0,$C157*VLOOKUP($B157,'4. CÀI ĐẶT'!$A$2:$H$32,5,FALSE)))</f>
        <v/>
      </c>
      <c r="I157">
        <f>IF($B157="","",IF(LEFT($B157,1)="━","",VLOOKUP($B157,'4. CÀI ĐẶT'!$A$2:$H$32,6,FALSE)))</f>
        <v/>
      </c>
      <c r="J157" s="13">
        <f>IF($A157="","",EOMONTH($A157,0))</f>
        <v/>
      </c>
      <c r="K157" s="67">
        <f>IF($B157="",0,IF(LEFT($B157,1)="━",0,$C157*VLOOKUP($B157,'4. CÀI ĐẶT'!$A$2:$H$32,7,FALSE)))</f>
        <v/>
      </c>
    </row>
    <row r="158">
      <c r="A158" s="8" t="n"/>
      <c r="B158" s="9" t="n"/>
      <c r="C158" s="65" t="n"/>
      <c r="D158" s="9" t="n"/>
      <c r="E158" s="66">
        <f>IF($B158="","",IF(LEFT($B158,1)="━","⚠️ Chọn hạng mục cụ thể",$C158*VLOOKUP($B158,'4. CÀI ĐẶT'!$A$2:$H$32,2,FALSE)))</f>
        <v/>
      </c>
      <c r="F158" s="67">
        <f>IF($B158="",0,IF(LEFT($B158,1)="━",0,$C158*VLOOKUP($B158,'4. CÀI ĐẶT'!$A$2:$H$32,3,FALSE)))</f>
        <v/>
      </c>
      <c r="G158" s="67">
        <f>IF($B158="",0,IF(LEFT($B158,1)="━",0,$C158*VLOOKUP($B158,'4. CÀI ĐẶT'!$A$2:$H$32,4,FALSE)))</f>
        <v/>
      </c>
      <c r="H158" s="67">
        <f>IF($B158="",0,IF(LEFT($B158,1)="━",0,$C158*VLOOKUP($B158,'4. CÀI ĐẶT'!$A$2:$H$32,5,FALSE)))</f>
        <v/>
      </c>
      <c r="I158">
        <f>IF($B158="","",IF(LEFT($B158,1)="━","",VLOOKUP($B158,'4. CÀI ĐẶT'!$A$2:$H$32,6,FALSE)))</f>
        <v/>
      </c>
      <c r="J158" s="13">
        <f>IF($A158="","",EOMONTH($A158,0))</f>
        <v/>
      </c>
      <c r="K158" s="67">
        <f>IF($B158="",0,IF(LEFT($B158,1)="━",0,$C158*VLOOKUP($B158,'4. CÀI ĐẶT'!$A$2:$H$32,7,FALSE)))</f>
        <v/>
      </c>
    </row>
    <row r="159">
      <c r="A159" s="8" t="n"/>
      <c r="B159" s="9" t="n"/>
      <c r="C159" s="65" t="n"/>
      <c r="D159" s="9" t="n"/>
      <c r="E159" s="66">
        <f>IF($B159="","",IF(LEFT($B159,1)="━","⚠️ Chọn hạng mục cụ thể",$C159*VLOOKUP($B159,'4. CÀI ĐẶT'!$A$2:$H$32,2,FALSE)))</f>
        <v/>
      </c>
      <c r="F159" s="67">
        <f>IF($B159="",0,IF(LEFT($B159,1)="━",0,$C159*VLOOKUP($B159,'4. CÀI ĐẶT'!$A$2:$H$32,3,FALSE)))</f>
        <v/>
      </c>
      <c r="G159" s="67">
        <f>IF($B159="",0,IF(LEFT($B159,1)="━",0,$C159*VLOOKUP($B159,'4. CÀI ĐẶT'!$A$2:$H$32,4,FALSE)))</f>
        <v/>
      </c>
      <c r="H159" s="67">
        <f>IF($B159="",0,IF(LEFT($B159,1)="━",0,$C159*VLOOKUP($B159,'4. CÀI ĐẶT'!$A$2:$H$32,5,FALSE)))</f>
        <v/>
      </c>
      <c r="I159">
        <f>IF($B159="","",IF(LEFT($B159,1)="━","",VLOOKUP($B159,'4. CÀI ĐẶT'!$A$2:$H$32,6,FALSE)))</f>
        <v/>
      </c>
      <c r="J159" s="13">
        <f>IF($A159="","",EOMONTH($A159,0))</f>
        <v/>
      </c>
      <c r="K159" s="67">
        <f>IF($B159="",0,IF(LEFT($B159,1)="━",0,$C159*VLOOKUP($B159,'4. CÀI ĐẶT'!$A$2:$H$32,7,FALSE)))</f>
        <v/>
      </c>
    </row>
    <row r="160">
      <c r="A160" s="8" t="n"/>
      <c r="B160" s="9" t="n"/>
      <c r="C160" s="65" t="n"/>
      <c r="D160" s="9" t="n"/>
      <c r="E160" s="66">
        <f>IF($B160="","",IF(LEFT($B160,1)="━","⚠️ Chọn hạng mục cụ thể",$C160*VLOOKUP($B160,'4. CÀI ĐẶT'!$A$2:$H$32,2,FALSE)))</f>
        <v/>
      </c>
      <c r="F160" s="67">
        <f>IF($B160="",0,IF(LEFT($B160,1)="━",0,$C160*VLOOKUP($B160,'4. CÀI ĐẶT'!$A$2:$H$32,3,FALSE)))</f>
        <v/>
      </c>
      <c r="G160" s="67">
        <f>IF($B160="",0,IF(LEFT($B160,1)="━",0,$C160*VLOOKUP($B160,'4. CÀI ĐẶT'!$A$2:$H$32,4,FALSE)))</f>
        <v/>
      </c>
      <c r="H160" s="67">
        <f>IF($B160="",0,IF(LEFT($B160,1)="━",0,$C160*VLOOKUP($B160,'4. CÀI ĐẶT'!$A$2:$H$32,5,FALSE)))</f>
        <v/>
      </c>
      <c r="I160">
        <f>IF($B160="","",IF(LEFT($B160,1)="━","",VLOOKUP($B160,'4. CÀI ĐẶT'!$A$2:$H$32,6,FALSE)))</f>
        <v/>
      </c>
      <c r="J160" s="13">
        <f>IF($A160="","",EOMONTH($A160,0))</f>
        <v/>
      </c>
      <c r="K160" s="67">
        <f>IF($B160="",0,IF(LEFT($B160,1)="━",0,$C160*VLOOKUP($B160,'4. CÀI ĐẶT'!$A$2:$H$32,7,FALSE)))</f>
        <v/>
      </c>
    </row>
    <row r="161">
      <c r="A161" s="8" t="n"/>
      <c r="B161" s="9" t="n"/>
      <c r="C161" s="65" t="n"/>
      <c r="D161" s="9" t="n"/>
      <c r="E161" s="66">
        <f>IF($B161="","",IF(LEFT($B161,1)="━","⚠️ Chọn hạng mục cụ thể",$C161*VLOOKUP($B161,'4. CÀI ĐẶT'!$A$2:$H$32,2,FALSE)))</f>
        <v/>
      </c>
      <c r="F161" s="67">
        <f>IF($B161="",0,IF(LEFT($B161,1)="━",0,$C161*VLOOKUP($B161,'4. CÀI ĐẶT'!$A$2:$H$32,3,FALSE)))</f>
        <v/>
      </c>
      <c r="G161" s="67">
        <f>IF($B161="",0,IF(LEFT($B161,1)="━",0,$C161*VLOOKUP($B161,'4. CÀI ĐẶT'!$A$2:$H$32,4,FALSE)))</f>
        <v/>
      </c>
      <c r="H161" s="67">
        <f>IF($B161="",0,IF(LEFT($B161,1)="━",0,$C161*VLOOKUP($B161,'4. CÀI ĐẶT'!$A$2:$H$32,5,FALSE)))</f>
        <v/>
      </c>
      <c r="I161">
        <f>IF($B161="","",IF(LEFT($B161,1)="━","",VLOOKUP($B161,'4. CÀI ĐẶT'!$A$2:$H$32,6,FALSE)))</f>
        <v/>
      </c>
      <c r="J161" s="13">
        <f>IF($A161="","",EOMONTH($A161,0))</f>
        <v/>
      </c>
      <c r="K161" s="67">
        <f>IF($B161="",0,IF(LEFT($B161,1)="━",0,$C161*VLOOKUP($B161,'4. CÀI ĐẶT'!$A$2:$H$32,7,FALSE)))</f>
        <v/>
      </c>
    </row>
    <row r="162">
      <c r="A162" s="8" t="n"/>
      <c r="B162" s="9" t="n"/>
      <c r="C162" s="65" t="n"/>
      <c r="D162" s="9" t="n"/>
      <c r="E162" s="66">
        <f>IF($B162="","",IF(LEFT($B162,1)="━","⚠️ Chọn hạng mục cụ thể",$C162*VLOOKUP($B162,'4. CÀI ĐẶT'!$A$2:$H$32,2,FALSE)))</f>
        <v/>
      </c>
      <c r="F162" s="67">
        <f>IF($B162="",0,IF(LEFT($B162,1)="━",0,$C162*VLOOKUP($B162,'4. CÀI ĐẶT'!$A$2:$H$32,3,FALSE)))</f>
        <v/>
      </c>
      <c r="G162" s="67">
        <f>IF($B162="",0,IF(LEFT($B162,1)="━",0,$C162*VLOOKUP($B162,'4. CÀI ĐẶT'!$A$2:$H$32,4,FALSE)))</f>
        <v/>
      </c>
      <c r="H162" s="67">
        <f>IF($B162="",0,IF(LEFT($B162,1)="━",0,$C162*VLOOKUP($B162,'4. CÀI ĐẶT'!$A$2:$H$32,5,FALSE)))</f>
        <v/>
      </c>
      <c r="I162">
        <f>IF($B162="","",IF(LEFT($B162,1)="━","",VLOOKUP($B162,'4. CÀI ĐẶT'!$A$2:$H$32,6,FALSE)))</f>
        <v/>
      </c>
      <c r="J162" s="13">
        <f>IF($A162="","",EOMONTH($A162,0))</f>
        <v/>
      </c>
      <c r="K162" s="67">
        <f>IF($B162="",0,IF(LEFT($B162,1)="━",0,$C162*VLOOKUP($B162,'4. CÀI ĐẶT'!$A$2:$H$32,7,FALSE)))</f>
        <v/>
      </c>
    </row>
    <row r="163">
      <c r="A163" s="8" t="n"/>
      <c r="B163" s="9" t="n"/>
      <c r="C163" s="65" t="n"/>
      <c r="D163" s="9" t="n"/>
      <c r="E163" s="66">
        <f>IF($B163="","",IF(LEFT($B163,1)="━","⚠️ Chọn hạng mục cụ thể",$C163*VLOOKUP($B163,'4. CÀI ĐẶT'!$A$2:$H$32,2,FALSE)))</f>
        <v/>
      </c>
      <c r="F163" s="67">
        <f>IF($B163="",0,IF(LEFT($B163,1)="━",0,$C163*VLOOKUP($B163,'4. CÀI ĐẶT'!$A$2:$H$32,3,FALSE)))</f>
        <v/>
      </c>
      <c r="G163" s="67">
        <f>IF($B163="",0,IF(LEFT($B163,1)="━",0,$C163*VLOOKUP($B163,'4. CÀI ĐẶT'!$A$2:$H$32,4,FALSE)))</f>
        <v/>
      </c>
      <c r="H163" s="67">
        <f>IF($B163="",0,IF(LEFT($B163,1)="━",0,$C163*VLOOKUP($B163,'4. CÀI ĐẶT'!$A$2:$H$32,5,FALSE)))</f>
        <v/>
      </c>
      <c r="I163">
        <f>IF($B163="","",IF(LEFT($B163,1)="━","",VLOOKUP($B163,'4. CÀI ĐẶT'!$A$2:$H$32,6,FALSE)))</f>
        <v/>
      </c>
      <c r="J163" s="13">
        <f>IF($A163="","",EOMONTH($A163,0))</f>
        <v/>
      </c>
      <c r="K163" s="67">
        <f>IF($B163="",0,IF(LEFT($B163,1)="━",0,$C163*VLOOKUP($B163,'4. CÀI ĐẶT'!$A$2:$H$32,7,FALSE)))</f>
        <v/>
      </c>
    </row>
    <row r="164">
      <c r="A164" s="8" t="n"/>
      <c r="B164" s="9" t="n"/>
      <c r="C164" s="65" t="n"/>
      <c r="D164" s="9" t="n"/>
      <c r="E164" s="66">
        <f>IF($B164="","",IF(LEFT($B164,1)="━","⚠️ Chọn hạng mục cụ thể",$C164*VLOOKUP($B164,'4. CÀI ĐẶT'!$A$2:$H$32,2,FALSE)))</f>
        <v/>
      </c>
      <c r="F164" s="67">
        <f>IF($B164="",0,IF(LEFT($B164,1)="━",0,$C164*VLOOKUP($B164,'4. CÀI ĐẶT'!$A$2:$H$32,3,FALSE)))</f>
        <v/>
      </c>
      <c r="G164" s="67">
        <f>IF($B164="",0,IF(LEFT($B164,1)="━",0,$C164*VLOOKUP($B164,'4. CÀI ĐẶT'!$A$2:$H$32,4,FALSE)))</f>
        <v/>
      </c>
      <c r="H164" s="67">
        <f>IF($B164="",0,IF(LEFT($B164,1)="━",0,$C164*VLOOKUP($B164,'4. CÀI ĐẶT'!$A$2:$H$32,5,FALSE)))</f>
        <v/>
      </c>
      <c r="I164">
        <f>IF($B164="","",IF(LEFT($B164,1)="━","",VLOOKUP($B164,'4. CÀI ĐẶT'!$A$2:$H$32,6,FALSE)))</f>
        <v/>
      </c>
      <c r="J164" s="13">
        <f>IF($A164="","",EOMONTH($A164,0))</f>
        <v/>
      </c>
      <c r="K164" s="67">
        <f>IF($B164="",0,IF(LEFT($B164,1)="━",0,$C164*VLOOKUP($B164,'4. CÀI ĐẶT'!$A$2:$H$32,7,FALSE)))</f>
        <v/>
      </c>
    </row>
    <row r="165">
      <c r="A165" s="8" t="n"/>
      <c r="B165" s="9" t="n"/>
      <c r="C165" s="65" t="n"/>
      <c r="D165" s="9" t="n"/>
      <c r="E165" s="66">
        <f>IF($B165="","",IF(LEFT($B165,1)="━","⚠️ Chọn hạng mục cụ thể",$C165*VLOOKUP($B165,'4. CÀI ĐẶT'!$A$2:$H$32,2,FALSE)))</f>
        <v/>
      </c>
      <c r="F165" s="67">
        <f>IF($B165="",0,IF(LEFT($B165,1)="━",0,$C165*VLOOKUP($B165,'4. CÀI ĐẶT'!$A$2:$H$32,3,FALSE)))</f>
        <v/>
      </c>
      <c r="G165" s="67">
        <f>IF($B165="",0,IF(LEFT($B165,1)="━",0,$C165*VLOOKUP($B165,'4. CÀI ĐẶT'!$A$2:$H$32,4,FALSE)))</f>
        <v/>
      </c>
      <c r="H165" s="67">
        <f>IF($B165="",0,IF(LEFT($B165,1)="━",0,$C165*VLOOKUP($B165,'4. CÀI ĐẶT'!$A$2:$H$32,5,FALSE)))</f>
        <v/>
      </c>
      <c r="I165">
        <f>IF($B165="","",IF(LEFT($B165,1)="━","",VLOOKUP($B165,'4. CÀI ĐẶT'!$A$2:$H$32,6,FALSE)))</f>
        <v/>
      </c>
      <c r="J165" s="13">
        <f>IF($A165="","",EOMONTH($A165,0))</f>
        <v/>
      </c>
      <c r="K165" s="67">
        <f>IF($B165="",0,IF(LEFT($B165,1)="━",0,$C165*VLOOKUP($B165,'4. CÀI ĐẶT'!$A$2:$H$32,7,FALSE)))</f>
        <v/>
      </c>
    </row>
    <row r="166">
      <c r="A166" s="8" t="n"/>
      <c r="B166" s="9" t="n"/>
      <c r="C166" s="65" t="n"/>
      <c r="D166" s="9" t="n"/>
      <c r="E166" s="66">
        <f>IF($B166="","",IF(LEFT($B166,1)="━","⚠️ Chọn hạng mục cụ thể",$C166*VLOOKUP($B166,'4. CÀI ĐẶT'!$A$2:$H$32,2,FALSE)))</f>
        <v/>
      </c>
      <c r="F166" s="67">
        <f>IF($B166="",0,IF(LEFT($B166,1)="━",0,$C166*VLOOKUP($B166,'4. CÀI ĐẶT'!$A$2:$H$32,3,FALSE)))</f>
        <v/>
      </c>
      <c r="G166" s="67">
        <f>IF($B166="",0,IF(LEFT($B166,1)="━",0,$C166*VLOOKUP($B166,'4. CÀI ĐẶT'!$A$2:$H$32,4,FALSE)))</f>
        <v/>
      </c>
      <c r="H166" s="67">
        <f>IF($B166="",0,IF(LEFT($B166,1)="━",0,$C166*VLOOKUP($B166,'4. CÀI ĐẶT'!$A$2:$H$32,5,FALSE)))</f>
        <v/>
      </c>
      <c r="I166">
        <f>IF($B166="","",IF(LEFT($B166,1)="━","",VLOOKUP($B166,'4. CÀI ĐẶT'!$A$2:$H$32,6,FALSE)))</f>
        <v/>
      </c>
      <c r="J166" s="13">
        <f>IF($A166="","",EOMONTH($A166,0))</f>
        <v/>
      </c>
      <c r="K166" s="67">
        <f>IF($B166="",0,IF(LEFT($B166,1)="━",0,$C166*VLOOKUP($B166,'4. CÀI ĐẶT'!$A$2:$H$32,7,FALSE)))</f>
        <v/>
      </c>
    </row>
    <row r="167">
      <c r="A167" s="8" t="n"/>
      <c r="B167" s="9" t="n"/>
      <c r="C167" s="65" t="n"/>
      <c r="D167" s="9" t="n"/>
      <c r="E167" s="66">
        <f>IF($B167="","",IF(LEFT($B167,1)="━","⚠️ Chọn hạng mục cụ thể",$C167*VLOOKUP($B167,'4. CÀI ĐẶT'!$A$2:$H$32,2,FALSE)))</f>
        <v/>
      </c>
      <c r="F167" s="67">
        <f>IF($B167="",0,IF(LEFT($B167,1)="━",0,$C167*VLOOKUP($B167,'4. CÀI ĐẶT'!$A$2:$H$32,3,FALSE)))</f>
        <v/>
      </c>
      <c r="G167" s="67">
        <f>IF($B167="",0,IF(LEFT($B167,1)="━",0,$C167*VLOOKUP($B167,'4. CÀI ĐẶT'!$A$2:$H$32,4,FALSE)))</f>
        <v/>
      </c>
      <c r="H167" s="67">
        <f>IF($B167="",0,IF(LEFT($B167,1)="━",0,$C167*VLOOKUP($B167,'4. CÀI ĐẶT'!$A$2:$H$32,5,FALSE)))</f>
        <v/>
      </c>
      <c r="I167">
        <f>IF($B167="","",IF(LEFT($B167,1)="━","",VLOOKUP($B167,'4. CÀI ĐẶT'!$A$2:$H$32,6,FALSE)))</f>
        <v/>
      </c>
      <c r="J167" s="13">
        <f>IF($A167="","",EOMONTH($A167,0))</f>
        <v/>
      </c>
      <c r="K167" s="67">
        <f>IF($B167="",0,IF(LEFT($B167,1)="━",0,$C167*VLOOKUP($B167,'4. CÀI ĐẶT'!$A$2:$H$32,7,FALSE)))</f>
        <v/>
      </c>
    </row>
    <row r="168">
      <c r="A168" s="8" t="n"/>
      <c r="B168" s="9" t="n"/>
      <c r="C168" s="65" t="n"/>
      <c r="D168" s="9" t="n"/>
      <c r="E168" s="66">
        <f>IF($B168="","",IF(LEFT($B168,1)="━","⚠️ Chọn hạng mục cụ thể",$C168*VLOOKUP($B168,'4. CÀI ĐẶT'!$A$2:$H$32,2,FALSE)))</f>
        <v/>
      </c>
      <c r="F168" s="67">
        <f>IF($B168="",0,IF(LEFT($B168,1)="━",0,$C168*VLOOKUP($B168,'4. CÀI ĐẶT'!$A$2:$H$32,3,FALSE)))</f>
        <v/>
      </c>
      <c r="G168" s="67">
        <f>IF($B168="",0,IF(LEFT($B168,1)="━",0,$C168*VLOOKUP($B168,'4. CÀI ĐẶT'!$A$2:$H$32,4,FALSE)))</f>
        <v/>
      </c>
      <c r="H168" s="67">
        <f>IF($B168="",0,IF(LEFT($B168,1)="━",0,$C168*VLOOKUP($B168,'4. CÀI ĐẶT'!$A$2:$H$32,5,FALSE)))</f>
        <v/>
      </c>
      <c r="I168">
        <f>IF($B168="","",IF(LEFT($B168,1)="━","",VLOOKUP($B168,'4. CÀI ĐẶT'!$A$2:$H$32,6,FALSE)))</f>
        <v/>
      </c>
      <c r="J168" s="13">
        <f>IF($A168="","",EOMONTH($A168,0))</f>
        <v/>
      </c>
      <c r="K168" s="67">
        <f>IF($B168="",0,IF(LEFT($B168,1)="━",0,$C168*VLOOKUP($B168,'4. CÀI ĐẶT'!$A$2:$H$32,7,FALSE)))</f>
        <v/>
      </c>
    </row>
    <row r="169">
      <c r="A169" s="8" t="n"/>
      <c r="B169" s="9" t="n"/>
      <c r="C169" s="65" t="n"/>
      <c r="D169" s="9" t="n"/>
      <c r="E169" s="66">
        <f>IF($B169="","",IF(LEFT($B169,1)="━","⚠️ Chọn hạng mục cụ thể",$C169*VLOOKUP($B169,'4. CÀI ĐẶT'!$A$2:$H$32,2,FALSE)))</f>
        <v/>
      </c>
      <c r="F169" s="67">
        <f>IF($B169="",0,IF(LEFT($B169,1)="━",0,$C169*VLOOKUP($B169,'4. CÀI ĐẶT'!$A$2:$H$32,3,FALSE)))</f>
        <v/>
      </c>
      <c r="G169" s="67">
        <f>IF($B169="",0,IF(LEFT($B169,1)="━",0,$C169*VLOOKUP($B169,'4. CÀI ĐẶT'!$A$2:$H$32,4,FALSE)))</f>
        <v/>
      </c>
      <c r="H169" s="67">
        <f>IF($B169="",0,IF(LEFT($B169,1)="━",0,$C169*VLOOKUP($B169,'4. CÀI ĐẶT'!$A$2:$H$32,5,FALSE)))</f>
        <v/>
      </c>
      <c r="I169">
        <f>IF($B169="","",IF(LEFT($B169,1)="━","",VLOOKUP($B169,'4. CÀI ĐẶT'!$A$2:$H$32,6,FALSE)))</f>
        <v/>
      </c>
      <c r="J169" s="13">
        <f>IF($A169="","",EOMONTH($A169,0))</f>
        <v/>
      </c>
      <c r="K169" s="67">
        <f>IF($B169="",0,IF(LEFT($B169,1)="━",0,$C169*VLOOKUP($B169,'4. CÀI ĐẶT'!$A$2:$H$32,7,FALSE)))</f>
        <v/>
      </c>
    </row>
    <row r="170">
      <c r="A170" s="8" t="n"/>
      <c r="B170" s="9" t="n"/>
      <c r="C170" s="65" t="n"/>
      <c r="D170" s="9" t="n"/>
      <c r="E170" s="66">
        <f>IF($B170="","",IF(LEFT($B170,1)="━","⚠️ Chọn hạng mục cụ thể",$C170*VLOOKUP($B170,'4. CÀI ĐẶT'!$A$2:$H$32,2,FALSE)))</f>
        <v/>
      </c>
      <c r="F170" s="67">
        <f>IF($B170="",0,IF(LEFT($B170,1)="━",0,$C170*VLOOKUP($B170,'4. CÀI ĐẶT'!$A$2:$H$32,3,FALSE)))</f>
        <v/>
      </c>
      <c r="G170" s="67">
        <f>IF($B170="",0,IF(LEFT($B170,1)="━",0,$C170*VLOOKUP($B170,'4. CÀI ĐẶT'!$A$2:$H$32,4,FALSE)))</f>
        <v/>
      </c>
      <c r="H170" s="67">
        <f>IF($B170="",0,IF(LEFT($B170,1)="━",0,$C170*VLOOKUP($B170,'4. CÀI ĐẶT'!$A$2:$H$32,5,FALSE)))</f>
        <v/>
      </c>
      <c r="I170">
        <f>IF($B170="","",IF(LEFT($B170,1)="━","",VLOOKUP($B170,'4. CÀI ĐẶT'!$A$2:$H$32,6,FALSE)))</f>
        <v/>
      </c>
      <c r="J170" s="13">
        <f>IF($A170="","",EOMONTH($A170,0))</f>
        <v/>
      </c>
      <c r="K170" s="67">
        <f>IF($B170="",0,IF(LEFT($B170,1)="━",0,$C170*VLOOKUP($B170,'4. CÀI ĐẶT'!$A$2:$H$32,7,FALSE)))</f>
        <v/>
      </c>
    </row>
    <row r="171">
      <c r="A171" s="8" t="n"/>
      <c r="B171" s="9" t="n"/>
      <c r="C171" s="65" t="n"/>
      <c r="D171" s="9" t="n"/>
      <c r="E171" s="66">
        <f>IF($B171="","",IF(LEFT($B171,1)="━","⚠️ Chọn hạng mục cụ thể",$C171*VLOOKUP($B171,'4. CÀI ĐẶT'!$A$2:$H$32,2,FALSE)))</f>
        <v/>
      </c>
      <c r="F171" s="67">
        <f>IF($B171="",0,IF(LEFT($B171,1)="━",0,$C171*VLOOKUP($B171,'4. CÀI ĐẶT'!$A$2:$H$32,3,FALSE)))</f>
        <v/>
      </c>
      <c r="G171" s="67">
        <f>IF($B171="",0,IF(LEFT($B171,1)="━",0,$C171*VLOOKUP($B171,'4. CÀI ĐẶT'!$A$2:$H$32,4,FALSE)))</f>
        <v/>
      </c>
      <c r="H171" s="67">
        <f>IF($B171="",0,IF(LEFT($B171,1)="━",0,$C171*VLOOKUP($B171,'4. CÀI ĐẶT'!$A$2:$H$32,5,FALSE)))</f>
        <v/>
      </c>
      <c r="I171">
        <f>IF($B171="","",IF(LEFT($B171,1)="━","",VLOOKUP($B171,'4. CÀI ĐẶT'!$A$2:$H$32,6,FALSE)))</f>
        <v/>
      </c>
      <c r="J171" s="13">
        <f>IF($A171="","",EOMONTH($A171,0))</f>
        <v/>
      </c>
      <c r="K171" s="67">
        <f>IF($B171="",0,IF(LEFT($B171,1)="━",0,$C171*VLOOKUP($B171,'4. CÀI ĐẶT'!$A$2:$H$32,7,FALSE)))</f>
        <v/>
      </c>
    </row>
    <row r="172">
      <c r="A172" s="8" t="n"/>
      <c r="B172" s="9" t="n"/>
      <c r="C172" s="65" t="n"/>
      <c r="D172" s="9" t="n"/>
      <c r="E172" s="66">
        <f>IF($B172="","",IF(LEFT($B172,1)="━","⚠️ Chọn hạng mục cụ thể",$C172*VLOOKUP($B172,'4. CÀI ĐẶT'!$A$2:$H$32,2,FALSE)))</f>
        <v/>
      </c>
      <c r="F172" s="67">
        <f>IF($B172="",0,IF(LEFT($B172,1)="━",0,$C172*VLOOKUP($B172,'4. CÀI ĐẶT'!$A$2:$H$32,3,FALSE)))</f>
        <v/>
      </c>
      <c r="G172" s="67">
        <f>IF($B172="",0,IF(LEFT($B172,1)="━",0,$C172*VLOOKUP($B172,'4. CÀI ĐẶT'!$A$2:$H$32,4,FALSE)))</f>
        <v/>
      </c>
      <c r="H172" s="67">
        <f>IF($B172="",0,IF(LEFT($B172,1)="━",0,$C172*VLOOKUP($B172,'4. CÀI ĐẶT'!$A$2:$H$32,5,FALSE)))</f>
        <v/>
      </c>
      <c r="I172">
        <f>IF($B172="","",IF(LEFT($B172,1)="━","",VLOOKUP($B172,'4. CÀI ĐẶT'!$A$2:$H$32,6,FALSE)))</f>
        <v/>
      </c>
      <c r="J172" s="13">
        <f>IF($A172="","",EOMONTH($A172,0))</f>
        <v/>
      </c>
      <c r="K172" s="67">
        <f>IF($B172="",0,IF(LEFT($B172,1)="━",0,$C172*VLOOKUP($B172,'4. CÀI ĐẶT'!$A$2:$H$32,7,FALSE)))</f>
        <v/>
      </c>
    </row>
    <row r="173">
      <c r="A173" s="8" t="n"/>
      <c r="B173" s="9" t="n"/>
      <c r="C173" s="65" t="n"/>
      <c r="D173" s="9" t="n"/>
      <c r="E173" s="66">
        <f>IF($B173="","",IF(LEFT($B173,1)="━","⚠️ Chọn hạng mục cụ thể",$C173*VLOOKUP($B173,'4. CÀI ĐẶT'!$A$2:$H$32,2,FALSE)))</f>
        <v/>
      </c>
      <c r="F173" s="67">
        <f>IF($B173="",0,IF(LEFT($B173,1)="━",0,$C173*VLOOKUP($B173,'4. CÀI ĐẶT'!$A$2:$H$32,3,FALSE)))</f>
        <v/>
      </c>
      <c r="G173" s="67">
        <f>IF($B173="",0,IF(LEFT($B173,1)="━",0,$C173*VLOOKUP($B173,'4. CÀI ĐẶT'!$A$2:$H$32,4,FALSE)))</f>
        <v/>
      </c>
      <c r="H173" s="67">
        <f>IF($B173="",0,IF(LEFT($B173,1)="━",0,$C173*VLOOKUP($B173,'4. CÀI ĐẶT'!$A$2:$H$32,5,FALSE)))</f>
        <v/>
      </c>
      <c r="I173">
        <f>IF($B173="","",IF(LEFT($B173,1)="━","",VLOOKUP($B173,'4. CÀI ĐẶT'!$A$2:$H$32,6,FALSE)))</f>
        <v/>
      </c>
      <c r="J173" s="13">
        <f>IF($A173="","",EOMONTH($A173,0))</f>
        <v/>
      </c>
      <c r="K173" s="67">
        <f>IF($B173="",0,IF(LEFT($B173,1)="━",0,$C173*VLOOKUP($B173,'4. CÀI ĐẶT'!$A$2:$H$32,7,FALSE)))</f>
        <v/>
      </c>
    </row>
    <row r="174">
      <c r="A174" s="8" t="n"/>
      <c r="B174" s="9" t="n"/>
      <c r="C174" s="65" t="n"/>
      <c r="D174" s="9" t="n"/>
      <c r="E174" s="66">
        <f>IF($B174="","",IF(LEFT($B174,1)="━","⚠️ Chọn hạng mục cụ thể",$C174*VLOOKUP($B174,'4. CÀI ĐẶT'!$A$2:$H$32,2,FALSE)))</f>
        <v/>
      </c>
      <c r="F174" s="67">
        <f>IF($B174="",0,IF(LEFT($B174,1)="━",0,$C174*VLOOKUP($B174,'4. CÀI ĐẶT'!$A$2:$H$32,3,FALSE)))</f>
        <v/>
      </c>
      <c r="G174" s="67">
        <f>IF($B174="",0,IF(LEFT($B174,1)="━",0,$C174*VLOOKUP($B174,'4. CÀI ĐẶT'!$A$2:$H$32,4,FALSE)))</f>
        <v/>
      </c>
      <c r="H174" s="67">
        <f>IF($B174="",0,IF(LEFT($B174,1)="━",0,$C174*VLOOKUP($B174,'4. CÀI ĐẶT'!$A$2:$H$32,5,FALSE)))</f>
        <v/>
      </c>
      <c r="I174">
        <f>IF($B174="","",IF(LEFT($B174,1)="━","",VLOOKUP($B174,'4. CÀI ĐẶT'!$A$2:$H$32,6,FALSE)))</f>
        <v/>
      </c>
      <c r="J174" s="13">
        <f>IF($A174="","",EOMONTH($A174,0))</f>
        <v/>
      </c>
      <c r="K174" s="67">
        <f>IF($B174="",0,IF(LEFT($B174,1)="━",0,$C174*VLOOKUP($B174,'4. CÀI ĐẶT'!$A$2:$H$32,7,FALSE)))</f>
        <v/>
      </c>
    </row>
    <row r="175">
      <c r="A175" s="8" t="n"/>
      <c r="B175" s="9" t="n"/>
      <c r="C175" s="65" t="n"/>
      <c r="D175" s="9" t="n"/>
      <c r="E175" s="66">
        <f>IF($B175="","",IF(LEFT($B175,1)="━","⚠️ Chọn hạng mục cụ thể",$C175*VLOOKUP($B175,'4. CÀI ĐẶT'!$A$2:$H$32,2,FALSE)))</f>
        <v/>
      </c>
      <c r="F175" s="67">
        <f>IF($B175="",0,IF(LEFT($B175,1)="━",0,$C175*VLOOKUP($B175,'4. CÀI ĐẶT'!$A$2:$H$32,3,FALSE)))</f>
        <v/>
      </c>
      <c r="G175" s="67">
        <f>IF($B175="",0,IF(LEFT($B175,1)="━",0,$C175*VLOOKUP($B175,'4. CÀI ĐẶT'!$A$2:$H$32,4,FALSE)))</f>
        <v/>
      </c>
      <c r="H175" s="67">
        <f>IF($B175="",0,IF(LEFT($B175,1)="━",0,$C175*VLOOKUP($B175,'4. CÀI ĐẶT'!$A$2:$H$32,5,FALSE)))</f>
        <v/>
      </c>
      <c r="I175">
        <f>IF($B175="","",IF(LEFT($B175,1)="━","",VLOOKUP($B175,'4. CÀI ĐẶT'!$A$2:$H$32,6,FALSE)))</f>
        <v/>
      </c>
      <c r="J175" s="13">
        <f>IF($A175="","",EOMONTH($A175,0))</f>
        <v/>
      </c>
      <c r="K175" s="67">
        <f>IF($B175="",0,IF(LEFT($B175,1)="━",0,$C175*VLOOKUP($B175,'4. CÀI ĐẶT'!$A$2:$H$32,7,FALSE)))</f>
        <v/>
      </c>
    </row>
    <row r="176">
      <c r="A176" s="8" t="n"/>
      <c r="B176" s="9" t="n"/>
      <c r="C176" s="65" t="n"/>
      <c r="D176" s="9" t="n"/>
      <c r="E176" s="66">
        <f>IF($B176="","",IF(LEFT($B176,1)="━","⚠️ Chọn hạng mục cụ thể",$C176*VLOOKUP($B176,'4. CÀI ĐẶT'!$A$2:$H$32,2,FALSE)))</f>
        <v/>
      </c>
      <c r="F176" s="67">
        <f>IF($B176="",0,IF(LEFT($B176,1)="━",0,$C176*VLOOKUP($B176,'4. CÀI ĐẶT'!$A$2:$H$32,3,FALSE)))</f>
        <v/>
      </c>
      <c r="G176" s="67">
        <f>IF($B176="",0,IF(LEFT($B176,1)="━",0,$C176*VLOOKUP($B176,'4. CÀI ĐẶT'!$A$2:$H$32,4,FALSE)))</f>
        <v/>
      </c>
      <c r="H176" s="67">
        <f>IF($B176="",0,IF(LEFT($B176,1)="━",0,$C176*VLOOKUP($B176,'4. CÀI ĐẶT'!$A$2:$H$32,5,FALSE)))</f>
        <v/>
      </c>
      <c r="I176">
        <f>IF($B176="","",IF(LEFT($B176,1)="━","",VLOOKUP($B176,'4. CÀI ĐẶT'!$A$2:$H$32,6,FALSE)))</f>
        <v/>
      </c>
      <c r="J176" s="13">
        <f>IF($A176="","",EOMONTH($A176,0))</f>
        <v/>
      </c>
      <c r="K176" s="67">
        <f>IF($B176="",0,IF(LEFT($B176,1)="━",0,$C176*VLOOKUP($B176,'4. CÀI ĐẶT'!$A$2:$H$32,7,FALSE)))</f>
        <v/>
      </c>
    </row>
    <row r="177">
      <c r="A177" s="8" t="n"/>
      <c r="B177" s="9" t="n"/>
      <c r="C177" s="65" t="n"/>
      <c r="D177" s="9" t="n"/>
      <c r="E177" s="66">
        <f>IF($B177="","",IF(LEFT($B177,1)="━","⚠️ Chọn hạng mục cụ thể",$C177*VLOOKUP($B177,'4. CÀI ĐẶT'!$A$2:$H$32,2,FALSE)))</f>
        <v/>
      </c>
      <c r="F177" s="67">
        <f>IF($B177="",0,IF(LEFT($B177,1)="━",0,$C177*VLOOKUP($B177,'4. CÀI ĐẶT'!$A$2:$H$32,3,FALSE)))</f>
        <v/>
      </c>
      <c r="G177" s="67">
        <f>IF($B177="",0,IF(LEFT($B177,1)="━",0,$C177*VLOOKUP($B177,'4. CÀI ĐẶT'!$A$2:$H$32,4,FALSE)))</f>
        <v/>
      </c>
      <c r="H177" s="67">
        <f>IF($B177="",0,IF(LEFT($B177,1)="━",0,$C177*VLOOKUP($B177,'4. CÀI ĐẶT'!$A$2:$H$32,5,FALSE)))</f>
        <v/>
      </c>
      <c r="I177">
        <f>IF($B177="","",IF(LEFT($B177,1)="━","",VLOOKUP($B177,'4. CÀI ĐẶT'!$A$2:$H$32,6,FALSE)))</f>
        <v/>
      </c>
      <c r="J177" s="13">
        <f>IF($A177="","",EOMONTH($A177,0))</f>
        <v/>
      </c>
      <c r="K177" s="67">
        <f>IF($B177="",0,IF(LEFT($B177,1)="━",0,$C177*VLOOKUP($B177,'4. CÀI ĐẶT'!$A$2:$H$32,7,FALSE)))</f>
        <v/>
      </c>
    </row>
    <row r="178">
      <c r="A178" s="8" t="n"/>
      <c r="B178" s="9" t="n"/>
      <c r="C178" s="65" t="n"/>
      <c r="D178" s="9" t="n"/>
      <c r="E178" s="66">
        <f>IF($B178="","",IF(LEFT($B178,1)="━","⚠️ Chọn hạng mục cụ thể",$C178*VLOOKUP($B178,'4. CÀI ĐẶT'!$A$2:$H$32,2,FALSE)))</f>
        <v/>
      </c>
      <c r="F178" s="67">
        <f>IF($B178="",0,IF(LEFT($B178,1)="━",0,$C178*VLOOKUP($B178,'4. CÀI ĐẶT'!$A$2:$H$32,3,FALSE)))</f>
        <v/>
      </c>
      <c r="G178" s="67">
        <f>IF($B178="",0,IF(LEFT($B178,1)="━",0,$C178*VLOOKUP($B178,'4. CÀI ĐẶT'!$A$2:$H$32,4,FALSE)))</f>
        <v/>
      </c>
      <c r="H178" s="67">
        <f>IF($B178="",0,IF(LEFT($B178,1)="━",0,$C178*VLOOKUP($B178,'4. CÀI ĐẶT'!$A$2:$H$32,5,FALSE)))</f>
        <v/>
      </c>
      <c r="I178">
        <f>IF($B178="","",IF(LEFT($B178,1)="━","",VLOOKUP($B178,'4. CÀI ĐẶT'!$A$2:$H$32,6,FALSE)))</f>
        <v/>
      </c>
      <c r="J178" s="13">
        <f>IF($A178="","",EOMONTH($A178,0))</f>
        <v/>
      </c>
      <c r="K178" s="67">
        <f>IF($B178="",0,IF(LEFT($B178,1)="━",0,$C178*VLOOKUP($B178,'4. CÀI ĐẶT'!$A$2:$H$32,7,FALSE)))</f>
        <v/>
      </c>
    </row>
    <row r="179">
      <c r="A179" s="8" t="n"/>
      <c r="B179" s="9" t="n"/>
      <c r="C179" s="65" t="n"/>
      <c r="D179" s="9" t="n"/>
      <c r="E179" s="66">
        <f>IF($B179="","",IF(LEFT($B179,1)="━","⚠️ Chọn hạng mục cụ thể",$C179*VLOOKUP($B179,'4. CÀI ĐẶT'!$A$2:$H$32,2,FALSE)))</f>
        <v/>
      </c>
      <c r="F179" s="67">
        <f>IF($B179="",0,IF(LEFT($B179,1)="━",0,$C179*VLOOKUP($B179,'4. CÀI ĐẶT'!$A$2:$H$32,3,FALSE)))</f>
        <v/>
      </c>
      <c r="G179" s="67">
        <f>IF($B179="",0,IF(LEFT($B179,1)="━",0,$C179*VLOOKUP($B179,'4. CÀI ĐẶT'!$A$2:$H$32,4,FALSE)))</f>
        <v/>
      </c>
      <c r="H179" s="67">
        <f>IF($B179="",0,IF(LEFT($B179,1)="━",0,$C179*VLOOKUP($B179,'4. CÀI ĐẶT'!$A$2:$H$32,5,FALSE)))</f>
        <v/>
      </c>
      <c r="I179">
        <f>IF($B179="","",IF(LEFT($B179,1)="━","",VLOOKUP($B179,'4. CÀI ĐẶT'!$A$2:$H$32,6,FALSE)))</f>
        <v/>
      </c>
      <c r="J179" s="13">
        <f>IF($A179="","",EOMONTH($A179,0))</f>
        <v/>
      </c>
      <c r="K179" s="67">
        <f>IF($B179="",0,IF(LEFT($B179,1)="━",0,$C179*VLOOKUP($B179,'4. CÀI ĐẶT'!$A$2:$H$32,7,FALSE)))</f>
        <v/>
      </c>
    </row>
    <row r="180">
      <c r="A180" s="8" t="n"/>
      <c r="B180" s="9" t="n"/>
      <c r="C180" s="65" t="n"/>
      <c r="D180" s="9" t="n"/>
      <c r="E180" s="66">
        <f>IF($B180="","",IF(LEFT($B180,1)="━","⚠️ Chọn hạng mục cụ thể",$C180*VLOOKUP($B180,'4. CÀI ĐẶT'!$A$2:$H$32,2,FALSE)))</f>
        <v/>
      </c>
      <c r="F180" s="67">
        <f>IF($B180="",0,IF(LEFT($B180,1)="━",0,$C180*VLOOKUP($B180,'4. CÀI ĐẶT'!$A$2:$H$32,3,FALSE)))</f>
        <v/>
      </c>
      <c r="G180" s="67">
        <f>IF($B180="",0,IF(LEFT($B180,1)="━",0,$C180*VLOOKUP($B180,'4. CÀI ĐẶT'!$A$2:$H$32,4,FALSE)))</f>
        <v/>
      </c>
      <c r="H180" s="67">
        <f>IF($B180="",0,IF(LEFT($B180,1)="━",0,$C180*VLOOKUP($B180,'4. CÀI ĐẶT'!$A$2:$H$32,5,FALSE)))</f>
        <v/>
      </c>
      <c r="I180">
        <f>IF($B180="","",IF(LEFT($B180,1)="━","",VLOOKUP($B180,'4. CÀI ĐẶT'!$A$2:$H$32,6,FALSE)))</f>
        <v/>
      </c>
      <c r="J180" s="13">
        <f>IF($A180="","",EOMONTH($A180,0))</f>
        <v/>
      </c>
      <c r="K180" s="67">
        <f>IF($B180="",0,IF(LEFT($B180,1)="━",0,$C180*VLOOKUP($B180,'4. CÀI ĐẶT'!$A$2:$H$32,7,FALSE)))</f>
        <v/>
      </c>
    </row>
    <row r="181">
      <c r="A181" s="8" t="n"/>
      <c r="B181" s="9" t="n"/>
      <c r="C181" s="65" t="n"/>
      <c r="D181" s="9" t="n"/>
      <c r="E181" s="66">
        <f>IF($B181="","",IF(LEFT($B181,1)="━","⚠️ Chọn hạng mục cụ thể",$C181*VLOOKUP($B181,'4. CÀI ĐẶT'!$A$2:$H$32,2,FALSE)))</f>
        <v/>
      </c>
      <c r="F181" s="67">
        <f>IF($B181="",0,IF(LEFT($B181,1)="━",0,$C181*VLOOKUP($B181,'4. CÀI ĐẶT'!$A$2:$H$32,3,FALSE)))</f>
        <v/>
      </c>
      <c r="G181" s="67">
        <f>IF($B181="",0,IF(LEFT($B181,1)="━",0,$C181*VLOOKUP($B181,'4. CÀI ĐẶT'!$A$2:$H$32,4,FALSE)))</f>
        <v/>
      </c>
      <c r="H181" s="67">
        <f>IF($B181="",0,IF(LEFT($B181,1)="━",0,$C181*VLOOKUP($B181,'4. CÀI ĐẶT'!$A$2:$H$32,5,FALSE)))</f>
        <v/>
      </c>
      <c r="I181">
        <f>IF($B181="","",IF(LEFT($B181,1)="━","",VLOOKUP($B181,'4. CÀI ĐẶT'!$A$2:$H$32,6,FALSE)))</f>
        <v/>
      </c>
      <c r="J181" s="13">
        <f>IF($A181="","",EOMONTH($A181,0))</f>
        <v/>
      </c>
      <c r="K181" s="67">
        <f>IF($B181="",0,IF(LEFT($B181,1)="━",0,$C181*VLOOKUP($B181,'4. CÀI ĐẶT'!$A$2:$H$32,7,FALSE)))</f>
        <v/>
      </c>
    </row>
    <row r="182">
      <c r="A182" s="8" t="n"/>
      <c r="B182" s="9" t="n"/>
      <c r="C182" s="65" t="n"/>
      <c r="D182" s="9" t="n"/>
      <c r="E182" s="66">
        <f>IF($B182="","",IF(LEFT($B182,1)="━","⚠️ Chọn hạng mục cụ thể",$C182*VLOOKUP($B182,'4. CÀI ĐẶT'!$A$2:$H$32,2,FALSE)))</f>
        <v/>
      </c>
      <c r="F182" s="67">
        <f>IF($B182="",0,IF(LEFT($B182,1)="━",0,$C182*VLOOKUP($B182,'4. CÀI ĐẶT'!$A$2:$H$32,3,FALSE)))</f>
        <v/>
      </c>
      <c r="G182" s="67">
        <f>IF($B182="",0,IF(LEFT($B182,1)="━",0,$C182*VLOOKUP($B182,'4. CÀI ĐẶT'!$A$2:$H$32,4,FALSE)))</f>
        <v/>
      </c>
      <c r="H182" s="67">
        <f>IF($B182="",0,IF(LEFT($B182,1)="━",0,$C182*VLOOKUP($B182,'4. CÀI ĐẶT'!$A$2:$H$32,5,FALSE)))</f>
        <v/>
      </c>
      <c r="I182">
        <f>IF($B182="","",IF(LEFT($B182,1)="━","",VLOOKUP($B182,'4. CÀI ĐẶT'!$A$2:$H$32,6,FALSE)))</f>
        <v/>
      </c>
      <c r="J182" s="13">
        <f>IF($A182="","",EOMONTH($A182,0))</f>
        <v/>
      </c>
      <c r="K182" s="67">
        <f>IF($B182="",0,IF(LEFT($B182,1)="━",0,$C182*VLOOKUP($B182,'4. CÀI ĐẶT'!$A$2:$H$32,7,FALSE)))</f>
        <v/>
      </c>
    </row>
    <row r="183">
      <c r="A183" s="8" t="n"/>
      <c r="B183" s="9" t="n"/>
      <c r="C183" s="65" t="n"/>
      <c r="D183" s="9" t="n"/>
      <c r="E183" s="66">
        <f>IF($B183="","",IF(LEFT($B183,1)="━","⚠️ Chọn hạng mục cụ thể",$C183*VLOOKUP($B183,'4. CÀI ĐẶT'!$A$2:$H$32,2,FALSE)))</f>
        <v/>
      </c>
      <c r="F183" s="67">
        <f>IF($B183="",0,IF(LEFT($B183,1)="━",0,$C183*VLOOKUP($B183,'4. CÀI ĐẶT'!$A$2:$H$32,3,FALSE)))</f>
        <v/>
      </c>
      <c r="G183" s="67">
        <f>IF($B183="",0,IF(LEFT($B183,1)="━",0,$C183*VLOOKUP($B183,'4. CÀI ĐẶT'!$A$2:$H$32,4,FALSE)))</f>
        <v/>
      </c>
      <c r="H183" s="67">
        <f>IF($B183="",0,IF(LEFT($B183,1)="━",0,$C183*VLOOKUP($B183,'4. CÀI ĐẶT'!$A$2:$H$32,5,FALSE)))</f>
        <v/>
      </c>
      <c r="I183">
        <f>IF($B183="","",IF(LEFT($B183,1)="━","",VLOOKUP($B183,'4. CÀI ĐẶT'!$A$2:$H$32,6,FALSE)))</f>
        <v/>
      </c>
      <c r="J183" s="13">
        <f>IF($A183="","",EOMONTH($A183,0))</f>
        <v/>
      </c>
      <c r="K183" s="67">
        <f>IF($B183="",0,IF(LEFT($B183,1)="━",0,$C183*VLOOKUP($B183,'4. CÀI ĐẶT'!$A$2:$H$32,7,FALSE)))</f>
        <v/>
      </c>
    </row>
    <row r="184">
      <c r="A184" s="8" t="n"/>
      <c r="B184" s="9" t="n"/>
      <c r="C184" s="65" t="n"/>
      <c r="D184" s="9" t="n"/>
      <c r="E184" s="66">
        <f>IF($B184="","",IF(LEFT($B184,1)="━","⚠️ Chọn hạng mục cụ thể",$C184*VLOOKUP($B184,'4. CÀI ĐẶT'!$A$2:$H$32,2,FALSE)))</f>
        <v/>
      </c>
      <c r="F184" s="67">
        <f>IF($B184="",0,IF(LEFT($B184,1)="━",0,$C184*VLOOKUP($B184,'4. CÀI ĐẶT'!$A$2:$H$32,3,FALSE)))</f>
        <v/>
      </c>
      <c r="G184" s="67">
        <f>IF($B184="",0,IF(LEFT($B184,1)="━",0,$C184*VLOOKUP($B184,'4. CÀI ĐẶT'!$A$2:$H$32,4,FALSE)))</f>
        <v/>
      </c>
      <c r="H184" s="67">
        <f>IF($B184="",0,IF(LEFT($B184,1)="━",0,$C184*VLOOKUP($B184,'4. CÀI ĐẶT'!$A$2:$H$32,5,FALSE)))</f>
        <v/>
      </c>
      <c r="I184">
        <f>IF($B184="","",IF(LEFT($B184,1)="━","",VLOOKUP($B184,'4. CÀI ĐẶT'!$A$2:$H$32,6,FALSE)))</f>
        <v/>
      </c>
      <c r="J184" s="13">
        <f>IF($A184="","",EOMONTH($A184,0))</f>
        <v/>
      </c>
      <c r="K184" s="67">
        <f>IF($B184="",0,IF(LEFT($B184,1)="━",0,$C184*VLOOKUP($B184,'4. CÀI ĐẶT'!$A$2:$H$32,7,FALSE)))</f>
        <v/>
      </c>
    </row>
    <row r="185">
      <c r="A185" s="8" t="n"/>
      <c r="B185" s="9" t="n"/>
      <c r="C185" s="65" t="n"/>
      <c r="D185" s="9" t="n"/>
      <c r="E185" s="66">
        <f>IF($B185="","",IF(LEFT($B185,1)="━","⚠️ Chọn hạng mục cụ thể",$C185*VLOOKUP($B185,'4. CÀI ĐẶT'!$A$2:$H$32,2,FALSE)))</f>
        <v/>
      </c>
      <c r="F185" s="67">
        <f>IF($B185="",0,IF(LEFT($B185,1)="━",0,$C185*VLOOKUP($B185,'4. CÀI ĐẶT'!$A$2:$H$32,3,FALSE)))</f>
        <v/>
      </c>
      <c r="G185" s="67">
        <f>IF($B185="",0,IF(LEFT($B185,1)="━",0,$C185*VLOOKUP($B185,'4. CÀI ĐẶT'!$A$2:$H$32,4,FALSE)))</f>
        <v/>
      </c>
      <c r="H185" s="67">
        <f>IF($B185="",0,IF(LEFT($B185,1)="━",0,$C185*VLOOKUP($B185,'4. CÀI ĐẶT'!$A$2:$H$32,5,FALSE)))</f>
        <v/>
      </c>
      <c r="I185">
        <f>IF($B185="","",IF(LEFT($B185,1)="━","",VLOOKUP($B185,'4. CÀI ĐẶT'!$A$2:$H$32,6,FALSE)))</f>
        <v/>
      </c>
      <c r="J185" s="13">
        <f>IF($A185="","",EOMONTH($A185,0))</f>
        <v/>
      </c>
      <c r="K185" s="67">
        <f>IF($B185="",0,IF(LEFT($B185,1)="━",0,$C185*VLOOKUP($B185,'4. CÀI ĐẶT'!$A$2:$H$32,7,FALSE)))</f>
        <v/>
      </c>
    </row>
    <row r="186">
      <c r="A186" s="8" t="n"/>
      <c r="B186" s="9" t="n"/>
      <c r="C186" s="65" t="n"/>
      <c r="D186" s="9" t="n"/>
      <c r="E186" s="66">
        <f>IF($B186="","",IF(LEFT($B186,1)="━","⚠️ Chọn hạng mục cụ thể",$C186*VLOOKUP($B186,'4. CÀI ĐẶT'!$A$2:$H$32,2,FALSE)))</f>
        <v/>
      </c>
      <c r="F186" s="67">
        <f>IF($B186="",0,IF(LEFT($B186,1)="━",0,$C186*VLOOKUP($B186,'4. CÀI ĐẶT'!$A$2:$H$32,3,FALSE)))</f>
        <v/>
      </c>
      <c r="G186" s="67">
        <f>IF($B186="",0,IF(LEFT($B186,1)="━",0,$C186*VLOOKUP($B186,'4. CÀI ĐẶT'!$A$2:$H$32,4,FALSE)))</f>
        <v/>
      </c>
      <c r="H186" s="67">
        <f>IF($B186="",0,IF(LEFT($B186,1)="━",0,$C186*VLOOKUP($B186,'4. CÀI ĐẶT'!$A$2:$H$32,5,FALSE)))</f>
        <v/>
      </c>
      <c r="I186">
        <f>IF($B186="","",IF(LEFT($B186,1)="━","",VLOOKUP($B186,'4. CÀI ĐẶT'!$A$2:$H$32,6,FALSE)))</f>
        <v/>
      </c>
      <c r="J186" s="13">
        <f>IF($A186="","",EOMONTH($A186,0))</f>
        <v/>
      </c>
      <c r="K186" s="67">
        <f>IF($B186="",0,IF(LEFT($B186,1)="━",0,$C186*VLOOKUP($B186,'4. CÀI ĐẶT'!$A$2:$H$32,7,FALSE)))</f>
        <v/>
      </c>
    </row>
    <row r="187">
      <c r="A187" s="8" t="n"/>
      <c r="B187" s="9" t="n"/>
      <c r="C187" s="65" t="n"/>
      <c r="D187" s="9" t="n"/>
      <c r="E187" s="66">
        <f>IF($B187="","",IF(LEFT($B187,1)="━","⚠️ Chọn hạng mục cụ thể",$C187*VLOOKUP($B187,'4. CÀI ĐẶT'!$A$2:$H$32,2,FALSE)))</f>
        <v/>
      </c>
      <c r="F187" s="67">
        <f>IF($B187="",0,IF(LEFT($B187,1)="━",0,$C187*VLOOKUP($B187,'4. CÀI ĐẶT'!$A$2:$H$32,3,FALSE)))</f>
        <v/>
      </c>
      <c r="G187" s="67">
        <f>IF($B187="",0,IF(LEFT($B187,1)="━",0,$C187*VLOOKUP($B187,'4. CÀI ĐẶT'!$A$2:$H$32,4,FALSE)))</f>
        <v/>
      </c>
      <c r="H187" s="67">
        <f>IF($B187="",0,IF(LEFT($B187,1)="━",0,$C187*VLOOKUP($B187,'4. CÀI ĐẶT'!$A$2:$H$32,5,FALSE)))</f>
        <v/>
      </c>
      <c r="I187">
        <f>IF($B187="","",IF(LEFT($B187,1)="━","",VLOOKUP($B187,'4. CÀI ĐẶT'!$A$2:$H$32,6,FALSE)))</f>
        <v/>
      </c>
      <c r="J187" s="13">
        <f>IF($A187="","",EOMONTH($A187,0))</f>
        <v/>
      </c>
      <c r="K187" s="67">
        <f>IF($B187="",0,IF(LEFT($B187,1)="━",0,$C187*VLOOKUP($B187,'4. CÀI ĐẶT'!$A$2:$H$32,7,FALSE)))</f>
        <v/>
      </c>
    </row>
    <row r="188">
      <c r="A188" s="8" t="n"/>
      <c r="B188" s="9" t="n"/>
      <c r="C188" s="65" t="n"/>
      <c r="D188" s="9" t="n"/>
      <c r="E188" s="66">
        <f>IF($B188="","",IF(LEFT($B188,1)="━","⚠️ Chọn hạng mục cụ thể",$C188*VLOOKUP($B188,'4. CÀI ĐẶT'!$A$2:$H$32,2,FALSE)))</f>
        <v/>
      </c>
      <c r="F188" s="67">
        <f>IF($B188="",0,IF(LEFT($B188,1)="━",0,$C188*VLOOKUP($B188,'4. CÀI ĐẶT'!$A$2:$H$32,3,FALSE)))</f>
        <v/>
      </c>
      <c r="G188" s="67">
        <f>IF($B188="",0,IF(LEFT($B188,1)="━",0,$C188*VLOOKUP($B188,'4. CÀI ĐẶT'!$A$2:$H$32,4,FALSE)))</f>
        <v/>
      </c>
      <c r="H188" s="67">
        <f>IF($B188="",0,IF(LEFT($B188,1)="━",0,$C188*VLOOKUP($B188,'4. CÀI ĐẶT'!$A$2:$H$32,5,FALSE)))</f>
        <v/>
      </c>
      <c r="I188">
        <f>IF($B188="","",IF(LEFT($B188,1)="━","",VLOOKUP($B188,'4. CÀI ĐẶT'!$A$2:$H$32,6,FALSE)))</f>
        <v/>
      </c>
      <c r="J188" s="13">
        <f>IF($A188="","",EOMONTH($A188,0))</f>
        <v/>
      </c>
      <c r="K188" s="67">
        <f>IF($B188="",0,IF(LEFT($B188,1)="━",0,$C188*VLOOKUP($B188,'4. CÀI ĐẶT'!$A$2:$H$32,7,FALSE)))</f>
        <v/>
      </c>
    </row>
    <row r="189">
      <c r="A189" s="8" t="n"/>
      <c r="B189" s="9" t="n"/>
      <c r="C189" s="65" t="n"/>
      <c r="D189" s="9" t="n"/>
      <c r="E189" s="66">
        <f>IF($B189="","",IF(LEFT($B189,1)="━","⚠️ Chọn hạng mục cụ thể",$C189*VLOOKUP($B189,'4. CÀI ĐẶT'!$A$2:$H$32,2,FALSE)))</f>
        <v/>
      </c>
      <c r="F189" s="67">
        <f>IF($B189="",0,IF(LEFT($B189,1)="━",0,$C189*VLOOKUP($B189,'4. CÀI ĐẶT'!$A$2:$H$32,3,FALSE)))</f>
        <v/>
      </c>
      <c r="G189" s="67">
        <f>IF($B189="",0,IF(LEFT($B189,1)="━",0,$C189*VLOOKUP($B189,'4. CÀI ĐẶT'!$A$2:$H$32,4,FALSE)))</f>
        <v/>
      </c>
      <c r="H189" s="67">
        <f>IF($B189="",0,IF(LEFT($B189,1)="━",0,$C189*VLOOKUP($B189,'4. CÀI ĐẶT'!$A$2:$H$32,5,FALSE)))</f>
        <v/>
      </c>
      <c r="I189">
        <f>IF($B189="","",IF(LEFT($B189,1)="━","",VLOOKUP($B189,'4. CÀI ĐẶT'!$A$2:$H$32,6,FALSE)))</f>
        <v/>
      </c>
      <c r="J189" s="13">
        <f>IF($A189="","",EOMONTH($A189,0))</f>
        <v/>
      </c>
      <c r="K189" s="67">
        <f>IF($B189="",0,IF(LEFT($B189,1)="━",0,$C189*VLOOKUP($B189,'4. CÀI ĐẶT'!$A$2:$H$32,7,FALSE)))</f>
        <v/>
      </c>
    </row>
    <row r="190">
      <c r="A190" s="8" t="n"/>
      <c r="B190" s="9" t="n"/>
      <c r="C190" s="65" t="n"/>
      <c r="D190" s="9" t="n"/>
      <c r="E190" s="66">
        <f>IF($B190="","",IF(LEFT($B190,1)="━","⚠️ Chọn hạng mục cụ thể",$C190*VLOOKUP($B190,'4. CÀI ĐẶT'!$A$2:$H$32,2,FALSE)))</f>
        <v/>
      </c>
      <c r="F190" s="67">
        <f>IF($B190="",0,IF(LEFT($B190,1)="━",0,$C190*VLOOKUP($B190,'4. CÀI ĐẶT'!$A$2:$H$32,3,FALSE)))</f>
        <v/>
      </c>
      <c r="G190" s="67">
        <f>IF($B190="",0,IF(LEFT($B190,1)="━",0,$C190*VLOOKUP($B190,'4. CÀI ĐẶT'!$A$2:$H$32,4,FALSE)))</f>
        <v/>
      </c>
      <c r="H190" s="67">
        <f>IF($B190="",0,IF(LEFT($B190,1)="━",0,$C190*VLOOKUP($B190,'4. CÀI ĐẶT'!$A$2:$H$32,5,FALSE)))</f>
        <v/>
      </c>
      <c r="I190">
        <f>IF($B190="","",IF(LEFT($B190,1)="━","",VLOOKUP($B190,'4. CÀI ĐẶT'!$A$2:$H$32,6,FALSE)))</f>
        <v/>
      </c>
      <c r="J190" s="13">
        <f>IF($A190="","",EOMONTH($A190,0))</f>
        <v/>
      </c>
      <c r="K190" s="67">
        <f>IF($B190="",0,IF(LEFT($B190,1)="━",0,$C190*VLOOKUP($B190,'4. CÀI ĐẶT'!$A$2:$H$32,7,FALSE)))</f>
        <v/>
      </c>
    </row>
    <row r="191">
      <c r="A191" s="8" t="n"/>
      <c r="B191" s="9" t="n"/>
      <c r="C191" s="65" t="n"/>
      <c r="D191" s="9" t="n"/>
      <c r="E191" s="66">
        <f>IF($B191="","",IF(LEFT($B191,1)="━","⚠️ Chọn hạng mục cụ thể",$C191*VLOOKUP($B191,'4. CÀI ĐẶT'!$A$2:$H$32,2,FALSE)))</f>
        <v/>
      </c>
      <c r="F191" s="67">
        <f>IF($B191="",0,IF(LEFT($B191,1)="━",0,$C191*VLOOKUP($B191,'4. CÀI ĐẶT'!$A$2:$H$32,3,FALSE)))</f>
        <v/>
      </c>
      <c r="G191" s="67">
        <f>IF($B191="",0,IF(LEFT($B191,1)="━",0,$C191*VLOOKUP($B191,'4. CÀI ĐẶT'!$A$2:$H$32,4,FALSE)))</f>
        <v/>
      </c>
      <c r="H191" s="67">
        <f>IF($B191="",0,IF(LEFT($B191,1)="━",0,$C191*VLOOKUP($B191,'4. CÀI ĐẶT'!$A$2:$H$32,5,FALSE)))</f>
        <v/>
      </c>
      <c r="I191">
        <f>IF($B191="","",IF(LEFT($B191,1)="━","",VLOOKUP($B191,'4. CÀI ĐẶT'!$A$2:$H$32,6,FALSE)))</f>
        <v/>
      </c>
      <c r="J191" s="13">
        <f>IF($A191="","",EOMONTH($A191,0))</f>
        <v/>
      </c>
      <c r="K191" s="67">
        <f>IF($B191="",0,IF(LEFT($B191,1)="━",0,$C191*VLOOKUP($B191,'4. CÀI ĐẶT'!$A$2:$H$32,7,FALSE)))</f>
        <v/>
      </c>
    </row>
    <row r="192">
      <c r="A192" s="8" t="n"/>
      <c r="B192" s="9" t="n"/>
      <c r="C192" s="65" t="n"/>
      <c r="D192" s="9" t="n"/>
      <c r="E192" s="66">
        <f>IF($B192="","",IF(LEFT($B192,1)="━","⚠️ Chọn hạng mục cụ thể",$C192*VLOOKUP($B192,'4. CÀI ĐẶT'!$A$2:$H$32,2,FALSE)))</f>
        <v/>
      </c>
      <c r="F192" s="67">
        <f>IF($B192="",0,IF(LEFT($B192,1)="━",0,$C192*VLOOKUP($B192,'4. CÀI ĐẶT'!$A$2:$H$32,3,FALSE)))</f>
        <v/>
      </c>
      <c r="G192" s="67">
        <f>IF($B192="",0,IF(LEFT($B192,1)="━",0,$C192*VLOOKUP($B192,'4. CÀI ĐẶT'!$A$2:$H$32,4,FALSE)))</f>
        <v/>
      </c>
      <c r="H192" s="67">
        <f>IF($B192="",0,IF(LEFT($B192,1)="━",0,$C192*VLOOKUP($B192,'4. CÀI ĐẶT'!$A$2:$H$32,5,FALSE)))</f>
        <v/>
      </c>
      <c r="I192">
        <f>IF($B192="","",IF(LEFT($B192,1)="━","",VLOOKUP($B192,'4. CÀI ĐẶT'!$A$2:$H$32,6,FALSE)))</f>
        <v/>
      </c>
      <c r="J192" s="13">
        <f>IF($A192="","",EOMONTH($A192,0))</f>
        <v/>
      </c>
      <c r="K192" s="67">
        <f>IF($B192="",0,IF(LEFT($B192,1)="━",0,$C192*VLOOKUP($B192,'4. CÀI ĐẶT'!$A$2:$H$32,7,FALSE)))</f>
        <v/>
      </c>
    </row>
    <row r="193">
      <c r="A193" s="8" t="n"/>
      <c r="B193" s="9" t="n"/>
      <c r="C193" s="65" t="n"/>
      <c r="D193" s="9" t="n"/>
      <c r="E193" s="66">
        <f>IF($B193="","",IF(LEFT($B193,1)="━","⚠️ Chọn hạng mục cụ thể",$C193*VLOOKUP($B193,'4. CÀI ĐẶT'!$A$2:$H$32,2,FALSE)))</f>
        <v/>
      </c>
      <c r="F193" s="67">
        <f>IF($B193="",0,IF(LEFT($B193,1)="━",0,$C193*VLOOKUP($B193,'4. CÀI ĐẶT'!$A$2:$H$32,3,FALSE)))</f>
        <v/>
      </c>
      <c r="G193" s="67">
        <f>IF($B193="",0,IF(LEFT($B193,1)="━",0,$C193*VLOOKUP($B193,'4. CÀI ĐẶT'!$A$2:$H$32,4,FALSE)))</f>
        <v/>
      </c>
      <c r="H193" s="67">
        <f>IF($B193="",0,IF(LEFT($B193,1)="━",0,$C193*VLOOKUP($B193,'4. CÀI ĐẶT'!$A$2:$H$32,5,FALSE)))</f>
        <v/>
      </c>
      <c r="I193">
        <f>IF($B193="","",IF(LEFT($B193,1)="━","",VLOOKUP($B193,'4. CÀI ĐẶT'!$A$2:$H$32,6,FALSE)))</f>
        <v/>
      </c>
      <c r="J193" s="13">
        <f>IF($A193="","",EOMONTH($A193,0))</f>
        <v/>
      </c>
      <c r="K193" s="67">
        <f>IF($B193="",0,IF(LEFT($B193,1)="━",0,$C193*VLOOKUP($B193,'4. CÀI ĐẶT'!$A$2:$H$32,7,FALSE)))</f>
        <v/>
      </c>
    </row>
    <row r="194">
      <c r="A194" s="8" t="n"/>
      <c r="B194" s="9" t="n"/>
      <c r="C194" s="65" t="n"/>
      <c r="D194" s="9" t="n"/>
      <c r="E194" s="66">
        <f>IF($B194="","",IF(LEFT($B194,1)="━","⚠️ Chọn hạng mục cụ thể",$C194*VLOOKUP($B194,'4. CÀI ĐẶT'!$A$2:$H$32,2,FALSE)))</f>
        <v/>
      </c>
      <c r="F194" s="67">
        <f>IF($B194="",0,IF(LEFT($B194,1)="━",0,$C194*VLOOKUP($B194,'4. CÀI ĐẶT'!$A$2:$H$32,3,FALSE)))</f>
        <v/>
      </c>
      <c r="G194" s="67">
        <f>IF($B194="",0,IF(LEFT($B194,1)="━",0,$C194*VLOOKUP($B194,'4. CÀI ĐẶT'!$A$2:$H$32,4,FALSE)))</f>
        <v/>
      </c>
      <c r="H194" s="67">
        <f>IF($B194="",0,IF(LEFT($B194,1)="━",0,$C194*VLOOKUP($B194,'4. CÀI ĐẶT'!$A$2:$H$32,5,FALSE)))</f>
        <v/>
      </c>
      <c r="I194">
        <f>IF($B194="","",IF(LEFT($B194,1)="━","",VLOOKUP($B194,'4. CÀI ĐẶT'!$A$2:$H$32,6,FALSE)))</f>
        <v/>
      </c>
      <c r="J194" s="13">
        <f>IF($A194="","",EOMONTH($A194,0))</f>
        <v/>
      </c>
      <c r="K194" s="67">
        <f>IF($B194="",0,IF(LEFT($B194,1)="━",0,$C194*VLOOKUP($B194,'4. CÀI ĐẶT'!$A$2:$H$32,7,FALSE)))</f>
        <v/>
      </c>
    </row>
    <row r="195">
      <c r="A195" s="8" t="n"/>
      <c r="B195" s="9" t="n"/>
      <c r="C195" s="65" t="n"/>
      <c r="D195" s="9" t="n"/>
      <c r="E195" s="66">
        <f>IF($B195="","",IF(LEFT($B195,1)="━","⚠️ Chọn hạng mục cụ thể",$C195*VLOOKUP($B195,'4. CÀI ĐẶT'!$A$2:$H$32,2,FALSE)))</f>
        <v/>
      </c>
      <c r="F195" s="67">
        <f>IF($B195="",0,IF(LEFT($B195,1)="━",0,$C195*VLOOKUP($B195,'4. CÀI ĐẶT'!$A$2:$H$32,3,FALSE)))</f>
        <v/>
      </c>
      <c r="G195" s="67">
        <f>IF($B195="",0,IF(LEFT($B195,1)="━",0,$C195*VLOOKUP($B195,'4. CÀI ĐẶT'!$A$2:$H$32,4,FALSE)))</f>
        <v/>
      </c>
      <c r="H195" s="67">
        <f>IF($B195="",0,IF(LEFT($B195,1)="━",0,$C195*VLOOKUP($B195,'4. CÀI ĐẶT'!$A$2:$H$32,5,FALSE)))</f>
        <v/>
      </c>
      <c r="I195">
        <f>IF($B195="","",IF(LEFT($B195,1)="━","",VLOOKUP($B195,'4. CÀI ĐẶT'!$A$2:$H$32,6,FALSE)))</f>
        <v/>
      </c>
      <c r="J195" s="13">
        <f>IF($A195="","",EOMONTH($A195,0))</f>
        <v/>
      </c>
      <c r="K195" s="67">
        <f>IF($B195="",0,IF(LEFT($B195,1)="━",0,$C195*VLOOKUP($B195,'4. CÀI ĐẶT'!$A$2:$H$32,7,FALSE)))</f>
        <v/>
      </c>
    </row>
    <row r="196">
      <c r="A196" s="8" t="n"/>
      <c r="B196" s="9" t="n"/>
      <c r="C196" s="65" t="n"/>
      <c r="D196" s="9" t="n"/>
      <c r="E196" s="66">
        <f>IF($B196="","",IF(LEFT($B196,1)="━","⚠️ Chọn hạng mục cụ thể",$C196*VLOOKUP($B196,'4. CÀI ĐẶT'!$A$2:$H$32,2,FALSE)))</f>
        <v/>
      </c>
      <c r="F196" s="67">
        <f>IF($B196="",0,IF(LEFT($B196,1)="━",0,$C196*VLOOKUP($B196,'4. CÀI ĐẶT'!$A$2:$H$32,3,FALSE)))</f>
        <v/>
      </c>
      <c r="G196" s="67">
        <f>IF($B196="",0,IF(LEFT($B196,1)="━",0,$C196*VLOOKUP($B196,'4. CÀI ĐẶT'!$A$2:$H$32,4,FALSE)))</f>
        <v/>
      </c>
      <c r="H196" s="67">
        <f>IF($B196="",0,IF(LEFT($B196,1)="━",0,$C196*VLOOKUP($B196,'4. CÀI ĐẶT'!$A$2:$H$32,5,FALSE)))</f>
        <v/>
      </c>
      <c r="I196">
        <f>IF($B196="","",IF(LEFT($B196,1)="━","",VLOOKUP($B196,'4. CÀI ĐẶT'!$A$2:$H$32,6,FALSE)))</f>
        <v/>
      </c>
      <c r="J196" s="13">
        <f>IF($A196="","",EOMONTH($A196,0))</f>
        <v/>
      </c>
      <c r="K196" s="67">
        <f>IF($B196="",0,IF(LEFT($B196,1)="━",0,$C196*VLOOKUP($B196,'4. CÀI ĐẶT'!$A$2:$H$32,7,FALSE)))</f>
        <v/>
      </c>
    </row>
    <row r="197">
      <c r="A197" s="8" t="n"/>
      <c r="B197" s="9" t="n"/>
      <c r="C197" s="65" t="n"/>
      <c r="D197" s="9" t="n"/>
      <c r="E197" s="66">
        <f>IF($B197="","",IF(LEFT($B197,1)="━","⚠️ Chọn hạng mục cụ thể",$C197*VLOOKUP($B197,'4. CÀI ĐẶT'!$A$2:$H$32,2,FALSE)))</f>
        <v/>
      </c>
      <c r="F197" s="67">
        <f>IF($B197="",0,IF(LEFT($B197,1)="━",0,$C197*VLOOKUP($B197,'4. CÀI ĐẶT'!$A$2:$H$32,3,FALSE)))</f>
        <v/>
      </c>
      <c r="G197" s="67">
        <f>IF($B197="",0,IF(LEFT($B197,1)="━",0,$C197*VLOOKUP($B197,'4. CÀI ĐẶT'!$A$2:$H$32,4,FALSE)))</f>
        <v/>
      </c>
      <c r="H197" s="67">
        <f>IF($B197="",0,IF(LEFT($B197,1)="━",0,$C197*VLOOKUP($B197,'4. CÀI ĐẶT'!$A$2:$H$32,5,FALSE)))</f>
        <v/>
      </c>
      <c r="I197">
        <f>IF($B197="","",IF(LEFT($B197,1)="━","",VLOOKUP($B197,'4. CÀI ĐẶT'!$A$2:$H$32,6,FALSE)))</f>
        <v/>
      </c>
      <c r="J197" s="13">
        <f>IF($A197="","",EOMONTH($A197,0))</f>
        <v/>
      </c>
      <c r="K197" s="67">
        <f>IF($B197="",0,IF(LEFT($B197,1)="━",0,$C197*VLOOKUP($B197,'4. CÀI ĐẶT'!$A$2:$H$32,7,FALSE)))</f>
        <v/>
      </c>
    </row>
    <row r="198">
      <c r="A198" s="8" t="n"/>
      <c r="B198" s="9" t="n"/>
      <c r="C198" s="65" t="n"/>
      <c r="D198" s="9" t="n"/>
      <c r="E198" s="66">
        <f>IF($B198="","",IF(LEFT($B198,1)="━","⚠️ Chọn hạng mục cụ thể",$C198*VLOOKUP($B198,'4. CÀI ĐẶT'!$A$2:$H$32,2,FALSE)))</f>
        <v/>
      </c>
      <c r="F198" s="67">
        <f>IF($B198="",0,IF(LEFT($B198,1)="━",0,$C198*VLOOKUP($B198,'4. CÀI ĐẶT'!$A$2:$H$32,3,FALSE)))</f>
        <v/>
      </c>
      <c r="G198" s="67">
        <f>IF($B198="",0,IF(LEFT($B198,1)="━",0,$C198*VLOOKUP($B198,'4. CÀI ĐẶT'!$A$2:$H$32,4,FALSE)))</f>
        <v/>
      </c>
      <c r="H198" s="67">
        <f>IF($B198="",0,IF(LEFT($B198,1)="━",0,$C198*VLOOKUP($B198,'4. CÀI ĐẶT'!$A$2:$H$32,5,FALSE)))</f>
        <v/>
      </c>
      <c r="I198">
        <f>IF($B198="","",IF(LEFT($B198,1)="━","",VLOOKUP($B198,'4. CÀI ĐẶT'!$A$2:$H$32,6,FALSE)))</f>
        <v/>
      </c>
      <c r="J198" s="13">
        <f>IF($A198="","",EOMONTH($A198,0))</f>
        <v/>
      </c>
      <c r="K198" s="67">
        <f>IF($B198="",0,IF(LEFT($B198,1)="━",0,$C198*VLOOKUP($B198,'4. CÀI ĐẶT'!$A$2:$H$32,7,FALSE)))</f>
        <v/>
      </c>
    </row>
    <row r="199">
      <c r="A199" s="8" t="n"/>
      <c r="B199" s="9" t="n"/>
      <c r="C199" s="65" t="n"/>
      <c r="D199" s="9" t="n"/>
      <c r="E199" s="66">
        <f>IF($B199="","",IF(LEFT($B199,1)="━","⚠️ Chọn hạng mục cụ thể",$C199*VLOOKUP($B199,'4. CÀI ĐẶT'!$A$2:$H$32,2,FALSE)))</f>
        <v/>
      </c>
      <c r="F199" s="67">
        <f>IF($B199="",0,IF(LEFT($B199,1)="━",0,$C199*VLOOKUP($B199,'4. CÀI ĐẶT'!$A$2:$H$32,3,FALSE)))</f>
        <v/>
      </c>
      <c r="G199" s="67">
        <f>IF($B199="",0,IF(LEFT($B199,1)="━",0,$C199*VLOOKUP($B199,'4. CÀI ĐẶT'!$A$2:$H$32,4,FALSE)))</f>
        <v/>
      </c>
      <c r="H199" s="67">
        <f>IF($B199="",0,IF(LEFT($B199,1)="━",0,$C199*VLOOKUP($B199,'4. CÀI ĐẶT'!$A$2:$H$32,5,FALSE)))</f>
        <v/>
      </c>
      <c r="I199">
        <f>IF($B199="","",IF(LEFT($B199,1)="━","",VLOOKUP($B199,'4. CÀI ĐẶT'!$A$2:$H$32,6,FALSE)))</f>
        <v/>
      </c>
      <c r="J199" s="13">
        <f>IF($A199="","",EOMONTH($A199,0))</f>
        <v/>
      </c>
      <c r="K199" s="67">
        <f>IF($B199="",0,IF(LEFT($B199,1)="━",0,$C199*VLOOKUP($B199,'4. CÀI ĐẶT'!$A$2:$H$32,7,FALSE)))</f>
        <v/>
      </c>
    </row>
    <row r="200">
      <c r="A200" s="8" t="n"/>
      <c r="B200" s="9" t="n"/>
      <c r="C200" s="65" t="n"/>
      <c r="D200" s="9" t="n"/>
      <c r="E200" s="66">
        <f>IF($B200="","",IF(LEFT($B200,1)="━","⚠️ Chọn hạng mục cụ thể",$C200*VLOOKUP($B200,'4. CÀI ĐẶT'!$A$2:$H$32,2,FALSE)))</f>
        <v/>
      </c>
      <c r="F200" s="67">
        <f>IF($B200="",0,IF(LEFT($B200,1)="━",0,$C200*VLOOKUP($B200,'4. CÀI ĐẶT'!$A$2:$H$32,3,FALSE)))</f>
        <v/>
      </c>
      <c r="G200" s="67">
        <f>IF($B200="",0,IF(LEFT($B200,1)="━",0,$C200*VLOOKUP($B200,'4. CÀI ĐẶT'!$A$2:$H$32,4,FALSE)))</f>
        <v/>
      </c>
      <c r="H200" s="67">
        <f>IF($B200="",0,IF(LEFT($B200,1)="━",0,$C200*VLOOKUP($B200,'4. CÀI ĐẶT'!$A$2:$H$32,5,FALSE)))</f>
        <v/>
      </c>
      <c r="I200">
        <f>IF($B200="","",IF(LEFT($B200,1)="━","",VLOOKUP($B200,'4. CÀI ĐẶT'!$A$2:$H$32,6,FALSE)))</f>
        <v/>
      </c>
      <c r="J200" s="13">
        <f>IF($A200="","",EOMONTH($A200,0))</f>
        <v/>
      </c>
      <c r="K200" s="67">
        <f>IF($B200="",0,IF(LEFT($B200,1)="━",0,$C200*VLOOKUP($B200,'4. CÀI ĐẶT'!$A$2:$H$32,7,FALSE)))</f>
        <v/>
      </c>
    </row>
    <row r="201">
      <c r="A201" s="8" t="n"/>
      <c r="B201" s="9" t="n"/>
      <c r="C201" s="65" t="n"/>
      <c r="D201" s="9" t="n"/>
      <c r="E201" s="66">
        <f>IF($B201="","",IF(LEFT($B201,1)="━","⚠️ Chọn hạng mục cụ thể",$C201*VLOOKUP($B201,'4. CÀI ĐẶT'!$A$2:$H$32,2,FALSE)))</f>
        <v/>
      </c>
      <c r="F201" s="67">
        <f>IF($B201="",0,IF(LEFT($B201,1)="━",0,$C201*VLOOKUP($B201,'4. CÀI ĐẶT'!$A$2:$H$32,3,FALSE)))</f>
        <v/>
      </c>
      <c r="G201" s="67">
        <f>IF($B201="",0,IF(LEFT($B201,1)="━",0,$C201*VLOOKUP($B201,'4. CÀI ĐẶT'!$A$2:$H$32,4,FALSE)))</f>
        <v/>
      </c>
      <c r="H201" s="67">
        <f>IF($B201="",0,IF(LEFT($B201,1)="━",0,$C201*VLOOKUP($B201,'4. CÀI ĐẶT'!$A$2:$H$32,5,FALSE)))</f>
        <v/>
      </c>
      <c r="I201">
        <f>IF($B201="","",IF(LEFT($B201,1)="━","",VLOOKUP($B201,'4. CÀI ĐẶT'!$A$2:$H$32,6,FALSE)))</f>
        <v/>
      </c>
      <c r="J201" s="13">
        <f>IF($A201="","",EOMONTH($A201,0))</f>
        <v/>
      </c>
      <c r="K201" s="67">
        <f>IF($B201="",0,IF(LEFT($B201,1)="━",0,$C201*VLOOKUP($B201,'4. CÀI ĐẶT'!$A$2:$H$32,7,FALSE)))</f>
        <v/>
      </c>
    </row>
    <row r="202">
      <c r="A202" s="8" t="n"/>
      <c r="B202" s="9" t="n"/>
      <c r="C202" s="65" t="n"/>
      <c r="D202" s="9" t="n"/>
      <c r="E202" s="66">
        <f>IF($B202="","",IF(LEFT($B202,1)="━","⚠️ Chọn hạng mục cụ thể",$C202*VLOOKUP($B202,'4. CÀI ĐẶT'!$A$2:$H$32,2,FALSE)))</f>
        <v/>
      </c>
      <c r="F202" s="67">
        <f>IF($B202="",0,IF(LEFT($B202,1)="━",0,$C202*VLOOKUP($B202,'4. CÀI ĐẶT'!$A$2:$H$32,3,FALSE)))</f>
        <v/>
      </c>
      <c r="G202" s="67">
        <f>IF($B202="",0,IF(LEFT($B202,1)="━",0,$C202*VLOOKUP($B202,'4. CÀI ĐẶT'!$A$2:$H$32,4,FALSE)))</f>
        <v/>
      </c>
      <c r="H202" s="67">
        <f>IF($B202="",0,IF(LEFT($B202,1)="━",0,$C202*VLOOKUP($B202,'4. CÀI ĐẶT'!$A$2:$H$32,5,FALSE)))</f>
        <v/>
      </c>
      <c r="I202">
        <f>IF($B202="","",IF(LEFT($B202,1)="━","",VLOOKUP($B202,'4. CÀI ĐẶT'!$A$2:$H$32,6,FALSE)))</f>
        <v/>
      </c>
      <c r="J202" s="13">
        <f>IF($A202="","",EOMONTH($A202,0))</f>
        <v/>
      </c>
      <c r="K202" s="67">
        <f>IF($B202="",0,IF(LEFT($B202,1)="━",0,$C202*VLOOKUP($B202,'4. CÀI ĐẶT'!$A$2:$H$32,7,FALSE)))</f>
        <v/>
      </c>
    </row>
    <row r="203">
      <c r="A203" s="8" t="n"/>
      <c r="B203" s="9" t="n"/>
      <c r="C203" s="65" t="n"/>
      <c r="D203" s="9" t="n"/>
      <c r="E203" s="66">
        <f>IF($B203="","",IF(LEFT($B203,1)="━","⚠️ Chọn hạng mục cụ thể",$C203*VLOOKUP($B203,'4. CÀI ĐẶT'!$A$2:$H$32,2,FALSE)))</f>
        <v/>
      </c>
      <c r="F203" s="67">
        <f>IF($B203="",0,IF(LEFT($B203,1)="━",0,$C203*VLOOKUP($B203,'4. CÀI ĐẶT'!$A$2:$H$32,3,FALSE)))</f>
        <v/>
      </c>
      <c r="G203" s="67">
        <f>IF($B203="",0,IF(LEFT($B203,1)="━",0,$C203*VLOOKUP($B203,'4. CÀI ĐẶT'!$A$2:$H$32,4,FALSE)))</f>
        <v/>
      </c>
      <c r="H203" s="67">
        <f>IF($B203="",0,IF(LEFT($B203,1)="━",0,$C203*VLOOKUP($B203,'4. CÀI ĐẶT'!$A$2:$H$32,5,FALSE)))</f>
        <v/>
      </c>
      <c r="I203">
        <f>IF($B203="","",IF(LEFT($B203,1)="━","",VLOOKUP($B203,'4. CÀI ĐẶT'!$A$2:$H$32,6,FALSE)))</f>
        <v/>
      </c>
      <c r="J203" s="13">
        <f>IF($A203="","",EOMONTH($A203,0))</f>
        <v/>
      </c>
      <c r="K203" s="67">
        <f>IF($B203="",0,IF(LEFT($B203,1)="━",0,$C203*VLOOKUP($B203,'4. CÀI ĐẶT'!$A$2:$H$32,7,FALSE)))</f>
        <v/>
      </c>
    </row>
    <row r="204">
      <c r="A204" s="8" t="n"/>
      <c r="B204" s="9" t="n"/>
      <c r="C204" s="65" t="n"/>
      <c r="D204" s="9" t="n"/>
      <c r="E204" s="66">
        <f>IF($B204="","",IF(LEFT($B204,1)="━","⚠️ Chọn hạng mục cụ thể",$C204*VLOOKUP($B204,'4. CÀI ĐẶT'!$A$2:$H$32,2,FALSE)))</f>
        <v/>
      </c>
      <c r="F204" s="67">
        <f>IF($B204="",0,IF(LEFT($B204,1)="━",0,$C204*VLOOKUP($B204,'4. CÀI ĐẶT'!$A$2:$H$32,3,FALSE)))</f>
        <v/>
      </c>
      <c r="G204" s="67">
        <f>IF($B204="",0,IF(LEFT($B204,1)="━",0,$C204*VLOOKUP($B204,'4. CÀI ĐẶT'!$A$2:$H$32,4,FALSE)))</f>
        <v/>
      </c>
      <c r="H204" s="67">
        <f>IF($B204="",0,IF(LEFT($B204,1)="━",0,$C204*VLOOKUP($B204,'4. CÀI ĐẶT'!$A$2:$H$32,5,FALSE)))</f>
        <v/>
      </c>
      <c r="I204">
        <f>IF($B204="","",IF(LEFT($B204,1)="━","",VLOOKUP($B204,'4. CÀI ĐẶT'!$A$2:$H$32,6,FALSE)))</f>
        <v/>
      </c>
      <c r="J204" s="13">
        <f>IF($A204="","",EOMONTH($A204,0))</f>
        <v/>
      </c>
      <c r="K204" s="67">
        <f>IF($B204="",0,IF(LEFT($B204,1)="━",0,$C204*VLOOKUP($B204,'4. CÀI ĐẶT'!$A$2:$H$32,7,FALSE)))</f>
        <v/>
      </c>
    </row>
    <row r="205">
      <c r="A205" s="8" t="n"/>
      <c r="B205" s="9" t="n"/>
      <c r="C205" s="65" t="n"/>
      <c r="D205" s="9" t="n"/>
      <c r="E205" s="66">
        <f>IF($B205="","",IF(LEFT($B205,1)="━","⚠️ Chọn hạng mục cụ thể",$C205*VLOOKUP($B205,'4. CÀI ĐẶT'!$A$2:$H$32,2,FALSE)))</f>
        <v/>
      </c>
      <c r="F205" s="67">
        <f>IF($B205="",0,IF(LEFT($B205,1)="━",0,$C205*VLOOKUP($B205,'4. CÀI ĐẶT'!$A$2:$H$32,3,FALSE)))</f>
        <v/>
      </c>
      <c r="G205" s="67">
        <f>IF($B205="",0,IF(LEFT($B205,1)="━",0,$C205*VLOOKUP($B205,'4. CÀI ĐẶT'!$A$2:$H$32,4,FALSE)))</f>
        <v/>
      </c>
      <c r="H205" s="67">
        <f>IF($B205="",0,IF(LEFT($B205,1)="━",0,$C205*VLOOKUP($B205,'4. CÀI ĐẶT'!$A$2:$H$32,5,FALSE)))</f>
        <v/>
      </c>
      <c r="I205">
        <f>IF($B205="","",IF(LEFT($B205,1)="━","",VLOOKUP($B205,'4. CÀI ĐẶT'!$A$2:$H$32,6,FALSE)))</f>
        <v/>
      </c>
      <c r="J205" s="13">
        <f>IF($A205="","",EOMONTH($A205,0))</f>
        <v/>
      </c>
      <c r="K205" s="67">
        <f>IF($B205="",0,IF(LEFT($B205,1)="━",0,$C205*VLOOKUP($B205,'4. CÀI ĐẶT'!$A$2:$H$32,7,FALSE)))</f>
        <v/>
      </c>
    </row>
    <row r="206">
      <c r="A206" s="8" t="n"/>
      <c r="B206" s="9" t="n"/>
      <c r="C206" s="65" t="n"/>
      <c r="D206" s="9" t="n"/>
      <c r="E206" s="66">
        <f>IF($B206="","",IF(LEFT($B206,1)="━","⚠️ Chọn hạng mục cụ thể",$C206*VLOOKUP($B206,'4. CÀI ĐẶT'!$A$2:$H$32,2,FALSE)))</f>
        <v/>
      </c>
      <c r="F206" s="67">
        <f>IF($B206="",0,IF(LEFT($B206,1)="━",0,$C206*VLOOKUP($B206,'4. CÀI ĐẶT'!$A$2:$H$32,3,FALSE)))</f>
        <v/>
      </c>
      <c r="G206" s="67">
        <f>IF($B206="",0,IF(LEFT($B206,1)="━",0,$C206*VLOOKUP($B206,'4. CÀI ĐẶT'!$A$2:$H$32,4,FALSE)))</f>
        <v/>
      </c>
      <c r="H206" s="67">
        <f>IF($B206="",0,IF(LEFT($B206,1)="━",0,$C206*VLOOKUP($B206,'4. CÀI ĐẶT'!$A$2:$H$32,5,FALSE)))</f>
        <v/>
      </c>
      <c r="I206">
        <f>IF($B206="","",IF(LEFT($B206,1)="━","",VLOOKUP($B206,'4. CÀI ĐẶT'!$A$2:$H$32,6,FALSE)))</f>
        <v/>
      </c>
      <c r="J206" s="13">
        <f>IF($A206="","",EOMONTH($A206,0))</f>
        <v/>
      </c>
      <c r="K206" s="67">
        <f>IF($B206="",0,IF(LEFT($B206,1)="━",0,$C206*VLOOKUP($B206,'4. CÀI ĐẶT'!$A$2:$H$32,7,FALSE)))</f>
        <v/>
      </c>
    </row>
    <row r="207">
      <c r="A207" s="8" t="n"/>
      <c r="B207" s="9" t="n"/>
      <c r="C207" s="65" t="n"/>
      <c r="D207" s="9" t="n"/>
      <c r="E207" s="66">
        <f>IF($B207="","",IF(LEFT($B207,1)="━","⚠️ Chọn hạng mục cụ thể",$C207*VLOOKUP($B207,'4. CÀI ĐẶT'!$A$2:$H$32,2,FALSE)))</f>
        <v/>
      </c>
      <c r="F207" s="67">
        <f>IF($B207="",0,IF(LEFT($B207,1)="━",0,$C207*VLOOKUP($B207,'4. CÀI ĐẶT'!$A$2:$H$32,3,FALSE)))</f>
        <v/>
      </c>
      <c r="G207" s="67">
        <f>IF($B207="",0,IF(LEFT($B207,1)="━",0,$C207*VLOOKUP($B207,'4. CÀI ĐẶT'!$A$2:$H$32,4,FALSE)))</f>
        <v/>
      </c>
      <c r="H207" s="67">
        <f>IF($B207="",0,IF(LEFT($B207,1)="━",0,$C207*VLOOKUP($B207,'4. CÀI ĐẶT'!$A$2:$H$32,5,FALSE)))</f>
        <v/>
      </c>
      <c r="I207">
        <f>IF($B207="","",IF(LEFT($B207,1)="━","",VLOOKUP($B207,'4. CÀI ĐẶT'!$A$2:$H$32,6,FALSE)))</f>
        <v/>
      </c>
      <c r="J207" s="13">
        <f>IF($A207="","",EOMONTH($A207,0))</f>
        <v/>
      </c>
      <c r="K207" s="67">
        <f>IF($B207="",0,IF(LEFT($B207,1)="━",0,$C207*VLOOKUP($B207,'4. CÀI ĐẶT'!$A$2:$H$32,7,FALSE)))</f>
        <v/>
      </c>
    </row>
    <row r="208">
      <c r="A208" s="8" t="n"/>
      <c r="B208" s="9" t="n"/>
      <c r="C208" s="65" t="n"/>
      <c r="D208" s="9" t="n"/>
      <c r="E208" s="66">
        <f>IF($B208="","",IF(LEFT($B208,1)="━","⚠️ Chọn hạng mục cụ thể",$C208*VLOOKUP($B208,'4. CÀI ĐẶT'!$A$2:$H$32,2,FALSE)))</f>
        <v/>
      </c>
      <c r="F208" s="67">
        <f>IF($B208="",0,IF(LEFT($B208,1)="━",0,$C208*VLOOKUP($B208,'4. CÀI ĐẶT'!$A$2:$H$32,3,FALSE)))</f>
        <v/>
      </c>
      <c r="G208" s="67">
        <f>IF($B208="",0,IF(LEFT($B208,1)="━",0,$C208*VLOOKUP($B208,'4. CÀI ĐẶT'!$A$2:$H$32,4,FALSE)))</f>
        <v/>
      </c>
      <c r="H208" s="67">
        <f>IF($B208="",0,IF(LEFT($B208,1)="━",0,$C208*VLOOKUP($B208,'4. CÀI ĐẶT'!$A$2:$H$32,5,FALSE)))</f>
        <v/>
      </c>
      <c r="I208">
        <f>IF($B208="","",IF(LEFT($B208,1)="━","",VLOOKUP($B208,'4. CÀI ĐẶT'!$A$2:$H$32,6,FALSE)))</f>
        <v/>
      </c>
      <c r="J208" s="13">
        <f>IF($A208="","",EOMONTH($A208,0))</f>
        <v/>
      </c>
      <c r="K208" s="67">
        <f>IF($B208="",0,IF(LEFT($B208,1)="━",0,$C208*VLOOKUP($B208,'4. CÀI ĐẶT'!$A$2:$H$32,7,FALSE)))</f>
        <v/>
      </c>
    </row>
    <row r="209">
      <c r="A209" s="8" t="n"/>
      <c r="B209" s="9" t="n"/>
      <c r="C209" s="65" t="n"/>
      <c r="D209" s="9" t="n"/>
      <c r="E209" s="66">
        <f>IF($B209="","",IF(LEFT($B209,1)="━","⚠️ Chọn hạng mục cụ thể",$C209*VLOOKUP($B209,'4. CÀI ĐẶT'!$A$2:$H$32,2,FALSE)))</f>
        <v/>
      </c>
      <c r="F209" s="67">
        <f>IF($B209="",0,IF(LEFT($B209,1)="━",0,$C209*VLOOKUP($B209,'4. CÀI ĐẶT'!$A$2:$H$32,3,FALSE)))</f>
        <v/>
      </c>
      <c r="G209" s="67">
        <f>IF($B209="",0,IF(LEFT($B209,1)="━",0,$C209*VLOOKUP($B209,'4. CÀI ĐẶT'!$A$2:$H$32,4,FALSE)))</f>
        <v/>
      </c>
      <c r="H209" s="67">
        <f>IF($B209="",0,IF(LEFT($B209,1)="━",0,$C209*VLOOKUP($B209,'4. CÀI ĐẶT'!$A$2:$H$32,5,FALSE)))</f>
        <v/>
      </c>
      <c r="I209">
        <f>IF($B209="","",IF(LEFT($B209,1)="━","",VLOOKUP($B209,'4. CÀI ĐẶT'!$A$2:$H$32,6,FALSE)))</f>
        <v/>
      </c>
      <c r="J209" s="13">
        <f>IF($A209="","",EOMONTH($A209,0))</f>
        <v/>
      </c>
      <c r="K209" s="67">
        <f>IF($B209="",0,IF(LEFT($B209,1)="━",0,$C209*VLOOKUP($B209,'4. CÀI ĐẶT'!$A$2:$H$32,7,FALSE)))</f>
        <v/>
      </c>
    </row>
    <row r="210">
      <c r="A210" s="8" t="n"/>
      <c r="B210" s="9" t="n"/>
      <c r="C210" s="65" t="n"/>
      <c r="D210" s="9" t="n"/>
      <c r="E210" s="66">
        <f>IF($B210="","",IF(LEFT($B210,1)="━","⚠️ Chọn hạng mục cụ thể",$C210*VLOOKUP($B210,'4. CÀI ĐẶT'!$A$2:$H$32,2,FALSE)))</f>
        <v/>
      </c>
      <c r="F210" s="67">
        <f>IF($B210="",0,IF(LEFT($B210,1)="━",0,$C210*VLOOKUP($B210,'4. CÀI ĐẶT'!$A$2:$H$32,3,FALSE)))</f>
        <v/>
      </c>
      <c r="G210" s="67">
        <f>IF($B210="",0,IF(LEFT($B210,1)="━",0,$C210*VLOOKUP($B210,'4. CÀI ĐẶT'!$A$2:$H$32,4,FALSE)))</f>
        <v/>
      </c>
      <c r="H210" s="67">
        <f>IF($B210="",0,IF(LEFT($B210,1)="━",0,$C210*VLOOKUP($B210,'4. CÀI ĐẶT'!$A$2:$H$32,5,FALSE)))</f>
        <v/>
      </c>
      <c r="I210">
        <f>IF($B210="","",IF(LEFT($B210,1)="━","",VLOOKUP($B210,'4. CÀI ĐẶT'!$A$2:$H$32,6,FALSE)))</f>
        <v/>
      </c>
      <c r="J210" s="13">
        <f>IF($A210="","",EOMONTH($A210,0))</f>
        <v/>
      </c>
      <c r="K210" s="67">
        <f>IF($B210="",0,IF(LEFT($B210,1)="━",0,$C210*VLOOKUP($B210,'4. CÀI ĐẶT'!$A$2:$H$32,7,FALSE)))</f>
        <v/>
      </c>
    </row>
    <row r="211">
      <c r="A211" s="8" t="n"/>
      <c r="B211" s="9" t="n"/>
      <c r="C211" s="65" t="n"/>
      <c r="D211" s="9" t="n"/>
      <c r="E211" s="66">
        <f>IF($B211="","",IF(LEFT($B211,1)="━","⚠️ Chọn hạng mục cụ thể",$C211*VLOOKUP($B211,'4. CÀI ĐẶT'!$A$2:$H$32,2,FALSE)))</f>
        <v/>
      </c>
      <c r="F211" s="67">
        <f>IF($B211="",0,IF(LEFT($B211,1)="━",0,$C211*VLOOKUP($B211,'4. CÀI ĐẶT'!$A$2:$H$32,3,FALSE)))</f>
        <v/>
      </c>
      <c r="G211" s="67">
        <f>IF($B211="",0,IF(LEFT($B211,1)="━",0,$C211*VLOOKUP($B211,'4. CÀI ĐẶT'!$A$2:$H$32,4,FALSE)))</f>
        <v/>
      </c>
      <c r="H211" s="67">
        <f>IF($B211="",0,IF(LEFT($B211,1)="━",0,$C211*VLOOKUP($B211,'4. CÀI ĐẶT'!$A$2:$H$32,5,FALSE)))</f>
        <v/>
      </c>
      <c r="I211">
        <f>IF($B211="","",IF(LEFT($B211,1)="━","",VLOOKUP($B211,'4. CÀI ĐẶT'!$A$2:$H$32,6,FALSE)))</f>
        <v/>
      </c>
      <c r="J211" s="13">
        <f>IF($A211="","",EOMONTH($A211,0))</f>
        <v/>
      </c>
      <c r="K211" s="67">
        <f>IF($B211="",0,IF(LEFT($B211,1)="━",0,$C211*VLOOKUP($B211,'4. CÀI ĐẶT'!$A$2:$H$32,7,FALSE)))</f>
        <v/>
      </c>
    </row>
    <row r="212">
      <c r="A212" s="8" t="n"/>
      <c r="B212" s="9" t="n"/>
      <c r="C212" s="65" t="n"/>
      <c r="D212" s="9" t="n"/>
      <c r="E212" s="66">
        <f>IF($B212="","",IF(LEFT($B212,1)="━","⚠️ Chọn hạng mục cụ thể",$C212*VLOOKUP($B212,'4. CÀI ĐẶT'!$A$2:$H$32,2,FALSE)))</f>
        <v/>
      </c>
      <c r="F212" s="67">
        <f>IF($B212="",0,IF(LEFT($B212,1)="━",0,$C212*VLOOKUP($B212,'4. CÀI ĐẶT'!$A$2:$H$32,3,FALSE)))</f>
        <v/>
      </c>
      <c r="G212" s="67">
        <f>IF($B212="",0,IF(LEFT($B212,1)="━",0,$C212*VLOOKUP($B212,'4. CÀI ĐẶT'!$A$2:$H$32,4,FALSE)))</f>
        <v/>
      </c>
      <c r="H212" s="67">
        <f>IF($B212="",0,IF(LEFT($B212,1)="━",0,$C212*VLOOKUP($B212,'4. CÀI ĐẶT'!$A$2:$H$32,5,FALSE)))</f>
        <v/>
      </c>
      <c r="I212">
        <f>IF($B212="","",IF(LEFT($B212,1)="━","",VLOOKUP($B212,'4. CÀI ĐẶT'!$A$2:$H$32,6,FALSE)))</f>
        <v/>
      </c>
      <c r="J212" s="13">
        <f>IF($A212="","",EOMONTH($A212,0))</f>
        <v/>
      </c>
      <c r="K212" s="67">
        <f>IF($B212="",0,IF(LEFT($B212,1)="━",0,$C212*VLOOKUP($B212,'4. CÀI ĐẶT'!$A$2:$H$32,7,FALSE)))</f>
        <v/>
      </c>
    </row>
    <row r="213">
      <c r="A213" s="8" t="n"/>
      <c r="B213" s="9" t="n"/>
      <c r="C213" s="65" t="n"/>
      <c r="D213" s="9" t="n"/>
      <c r="E213" s="66">
        <f>IF($B213="","",IF(LEFT($B213,1)="━","⚠️ Chọn hạng mục cụ thể",$C213*VLOOKUP($B213,'4. CÀI ĐẶT'!$A$2:$H$32,2,FALSE)))</f>
        <v/>
      </c>
      <c r="F213" s="67">
        <f>IF($B213="",0,IF(LEFT($B213,1)="━",0,$C213*VLOOKUP($B213,'4. CÀI ĐẶT'!$A$2:$H$32,3,FALSE)))</f>
        <v/>
      </c>
      <c r="G213" s="67">
        <f>IF($B213="",0,IF(LEFT($B213,1)="━",0,$C213*VLOOKUP($B213,'4. CÀI ĐẶT'!$A$2:$H$32,4,FALSE)))</f>
        <v/>
      </c>
      <c r="H213" s="67">
        <f>IF($B213="",0,IF(LEFT($B213,1)="━",0,$C213*VLOOKUP($B213,'4. CÀI ĐẶT'!$A$2:$H$32,5,FALSE)))</f>
        <v/>
      </c>
      <c r="I213">
        <f>IF($B213="","",IF(LEFT($B213,1)="━","",VLOOKUP($B213,'4. CÀI ĐẶT'!$A$2:$H$32,6,FALSE)))</f>
        <v/>
      </c>
      <c r="J213" s="13">
        <f>IF($A213="","",EOMONTH($A213,0))</f>
        <v/>
      </c>
      <c r="K213" s="67">
        <f>IF($B213="",0,IF(LEFT($B213,1)="━",0,$C213*VLOOKUP($B213,'4. CÀI ĐẶT'!$A$2:$H$32,7,FALSE)))</f>
        <v/>
      </c>
    </row>
    <row r="214">
      <c r="A214" s="8" t="n"/>
      <c r="B214" s="9" t="n"/>
      <c r="C214" s="65" t="n"/>
      <c r="D214" s="9" t="n"/>
      <c r="E214" s="66">
        <f>IF($B214="","",IF(LEFT($B214,1)="━","⚠️ Chọn hạng mục cụ thể",$C214*VLOOKUP($B214,'4. CÀI ĐẶT'!$A$2:$H$32,2,FALSE)))</f>
        <v/>
      </c>
      <c r="F214" s="67">
        <f>IF($B214="",0,IF(LEFT($B214,1)="━",0,$C214*VLOOKUP($B214,'4. CÀI ĐẶT'!$A$2:$H$32,3,FALSE)))</f>
        <v/>
      </c>
      <c r="G214" s="67">
        <f>IF($B214="",0,IF(LEFT($B214,1)="━",0,$C214*VLOOKUP($B214,'4. CÀI ĐẶT'!$A$2:$H$32,4,FALSE)))</f>
        <v/>
      </c>
      <c r="H214" s="67">
        <f>IF($B214="",0,IF(LEFT($B214,1)="━",0,$C214*VLOOKUP($B214,'4. CÀI ĐẶT'!$A$2:$H$32,5,FALSE)))</f>
        <v/>
      </c>
      <c r="I214">
        <f>IF($B214="","",IF(LEFT($B214,1)="━","",VLOOKUP($B214,'4. CÀI ĐẶT'!$A$2:$H$32,6,FALSE)))</f>
        <v/>
      </c>
      <c r="J214" s="13">
        <f>IF($A214="","",EOMONTH($A214,0))</f>
        <v/>
      </c>
      <c r="K214" s="67">
        <f>IF($B214="",0,IF(LEFT($B214,1)="━",0,$C214*VLOOKUP($B214,'4. CÀI ĐẶT'!$A$2:$H$32,7,FALSE)))</f>
        <v/>
      </c>
    </row>
    <row r="215">
      <c r="A215" s="8" t="n"/>
      <c r="B215" s="9" t="n"/>
      <c r="C215" s="65" t="n"/>
      <c r="D215" s="9" t="n"/>
      <c r="E215" s="66">
        <f>IF($B215="","",IF(LEFT($B215,1)="━","⚠️ Chọn hạng mục cụ thể",$C215*VLOOKUP($B215,'4. CÀI ĐẶT'!$A$2:$H$32,2,FALSE)))</f>
        <v/>
      </c>
      <c r="F215" s="67">
        <f>IF($B215="",0,IF(LEFT($B215,1)="━",0,$C215*VLOOKUP($B215,'4. CÀI ĐẶT'!$A$2:$H$32,3,FALSE)))</f>
        <v/>
      </c>
      <c r="G215" s="67">
        <f>IF($B215="",0,IF(LEFT($B215,1)="━",0,$C215*VLOOKUP($B215,'4. CÀI ĐẶT'!$A$2:$H$32,4,FALSE)))</f>
        <v/>
      </c>
      <c r="H215" s="67">
        <f>IF($B215="",0,IF(LEFT($B215,1)="━",0,$C215*VLOOKUP($B215,'4. CÀI ĐẶT'!$A$2:$H$32,5,FALSE)))</f>
        <v/>
      </c>
      <c r="I215">
        <f>IF($B215="","",IF(LEFT($B215,1)="━","",VLOOKUP($B215,'4. CÀI ĐẶT'!$A$2:$H$32,6,FALSE)))</f>
        <v/>
      </c>
      <c r="J215" s="13">
        <f>IF($A215="","",EOMONTH($A215,0))</f>
        <v/>
      </c>
      <c r="K215" s="67">
        <f>IF($B215="",0,IF(LEFT($B215,1)="━",0,$C215*VLOOKUP($B215,'4. CÀI ĐẶT'!$A$2:$H$32,7,FALSE)))</f>
        <v/>
      </c>
    </row>
    <row r="216">
      <c r="A216" s="8" t="n"/>
      <c r="B216" s="9" t="n"/>
      <c r="C216" s="65" t="n"/>
      <c r="D216" s="9" t="n"/>
      <c r="E216" s="66">
        <f>IF($B216="","",IF(LEFT($B216,1)="━","⚠️ Chọn hạng mục cụ thể",$C216*VLOOKUP($B216,'4. CÀI ĐẶT'!$A$2:$H$32,2,FALSE)))</f>
        <v/>
      </c>
      <c r="F216" s="67">
        <f>IF($B216="",0,IF(LEFT($B216,1)="━",0,$C216*VLOOKUP($B216,'4. CÀI ĐẶT'!$A$2:$H$32,3,FALSE)))</f>
        <v/>
      </c>
      <c r="G216" s="67">
        <f>IF($B216="",0,IF(LEFT($B216,1)="━",0,$C216*VLOOKUP($B216,'4. CÀI ĐẶT'!$A$2:$H$32,4,FALSE)))</f>
        <v/>
      </c>
      <c r="H216" s="67">
        <f>IF($B216="",0,IF(LEFT($B216,1)="━",0,$C216*VLOOKUP($B216,'4. CÀI ĐẶT'!$A$2:$H$32,5,FALSE)))</f>
        <v/>
      </c>
      <c r="I216">
        <f>IF($B216="","",IF(LEFT($B216,1)="━","",VLOOKUP($B216,'4. CÀI ĐẶT'!$A$2:$H$32,6,FALSE)))</f>
        <v/>
      </c>
      <c r="J216" s="13">
        <f>IF($A216="","",EOMONTH($A216,0))</f>
        <v/>
      </c>
      <c r="K216" s="67">
        <f>IF($B216="",0,IF(LEFT($B216,1)="━",0,$C216*VLOOKUP($B216,'4. CÀI ĐẶT'!$A$2:$H$32,7,FALSE)))</f>
        <v/>
      </c>
    </row>
    <row r="217">
      <c r="A217" s="8" t="n"/>
      <c r="B217" s="9" t="n"/>
      <c r="C217" s="65" t="n"/>
      <c r="D217" s="9" t="n"/>
      <c r="E217" s="66">
        <f>IF($B217="","",IF(LEFT($B217,1)="━","⚠️ Chọn hạng mục cụ thể",$C217*VLOOKUP($B217,'4. CÀI ĐẶT'!$A$2:$H$32,2,FALSE)))</f>
        <v/>
      </c>
      <c r="F217" s="67">
        <f>IF($B217="",0,IF(LEFT($B217,1)="━",0,$C217*VLOOKUP($B217,'4. CÀI ĐẶT'!$A$2:$H$32,3,FALSE)))</f>
        <v/>
      </c>
      <c r="G217" s="67">
        <f>IF($B217="",0,IF(LEFT($B217,1)="━",0,$C217*VLOOKUP($B217,'4. CÀI ĐẶT'!$A$2:$H$32,4,FALSE)))</f>
        <v/>
      </c>
      <c r="H217" s="67">
        <f>IF($B217="",0,IF(LEFT($B217,1)="━",0,$C217*VLOOKUP($B217,'4. CÀI ĐẶT'!$A$2:$H$32,5,FALSE)))</f>
        <v/>
      </c>
      <c r="I217">
        <f>IF($B217="","",IF(LEFT($B217,1)="━","",VLOOKUP($B217,'4. CÀI ĐẶT'!$A$2:$H$32,6,FALSE)))</f>
        <v/>
      </c>
      <c r="J217" s="13">
        <f>IF($A217="","",EOMONTH($A217,0))</f>
        <v/>
      </c>
      <c r="K217" s="67">
        <f>IF($B217="",0,IF(LEFT($B217,1)="━",0,$C217*VLOOKUP($B217,'4. CÀI ĐẶT'!$A$2:$H$32,7,FALSE)))</f>
        <v/>
      </c>
    </row>
    <row r="218">
      <c r="A218" s="8" t="n"/>
      <c r="B218" s="9" t="n"/>
      <c r="C218" s="65" t="n"/>
      <c r="D218" s="9" t="n"/>
      <c r="E218" s="66">
        <f>IF($B218="","",IF(LEFT($B218,1)="━","⚠️ Chọn hạng mục cụ thể",$C218*VLOOKUP($B218,'4. CÀI ĐẶT'!$A$2:$H$32,2,FALSE)))</f>
        <v/>
      </c>
      <c r="F218" s="67">
        <f>IF($B218="",0,IF(LEFT($B218,1)="━",0,$C218*VLOOKUP($B218,'4. CÀI ĐẶT'!$A$2:$H$32,3,FALSE)))</f>
        <v/>
      </c>
      <c r="G218" s="67">
        <f>IF($B218="",0,IF(LEFT($B218,1)="━",0,$C218*VLOOKUP($B218,'4. CÀI ĐẶT'!$A$2:$H$32,4,FALSE)))</f>
        <v/>
      </c>
      <c r="H218" s="67">
        <f>IF($B218="",0,IF(LEFT($B218,1)="━",0,$C218*VLOOKUP($B218,'4. CÀI ĐẶT'!$A$2:$H$32,5,FALSE)))</f>
        <v/>
      </c>
      <c r="I218">
        <f>IF($B218="","",IF(LEFT($B218,1)="━","",VLOOKUP($B218,'4. CÀI ĐẶT'!$A$2:$H$32,6,FALSE)))</f>
        <v/>
      </c>
      <c r="J218" s="13">
        <f>IF($A218="","",EOMONTH($A218,0))</f>
        <v/>
      </c>
      <c r="K218" s="67">
        <f>IF($B218="",0,IF(LEFT($B218,1)="━",0,$C218*VLOOKUP($B218,'4. CÀI ĐẶT'!$A$2:$H$32,7,FALSE)))</f>
        <v/>
      </c>
    </row>
    <row r="219">
      <c r="A219" s="8" t="n"/>
      <c r="B219" s="9" t="n"/>
      <c r="C219" s="65" t="n"/>
      <c r="D219" s="9" t="n"/>
      <c r="E219" s="66">
        <f>IF($B219="","",IF(LEFT($B219,1)="━","⚠️ Chọn hạng mục cụ thể",$C219*VLOOKUP($B219,'4. CÀI ĐẶT'!$A$2:$H$32,2,FALSE)))</f>
        <v/>
      </c>
      <c r="F219" s="67">
        <f>IF($B219="",0,IF(LEFT($B219,1)="━",0,$C219*VLOOKUP($B219,'4. CÀI ĐẶT'!$A$2:$H$32,3,FALSE)))</f>
        <v/>
      </c>
      <c r="G219" s="67">
        <f>IF($B219="",0,IF(LEFT($B219,1)="━",0,$C219*VLOOKUP($B219,'4. CÀI ĐẶT'!$A$2:$H$32,4,FALSE)))</f>
        <v/>
      </c>
      <c r="H219" s="67">
        <f>IF($B219="",0,IF(LEFT($B219,1)="━",0,$C219*VLOOKUP($B219,'4. CÀI ĐẶT'!$A$2:$H$32,5,FALSE)))</f>
        <v/>
      </c>
      <c r="I219">
        <f>IF($B219="","",IF(LEFT($B219,1)="━","",VLOOKUP($B219,'4. CÀI ĐẶT'!$A$2:$H$32,6,FALSE)))</f>
        <v/>
      </c>
      <c r="J219" s="13">
        <f>IF($A219="","",EOMONTH($A219,0))</f>
        <v/>
      </c>
      <c r="K219" s="67">
        <f>IF($B219="",0,IF(LEFT($B219,1)="━",0,$C219*VLOOKUP($B219,'4. CÀI ĐẶT'!$A$2:$H$32,7,FALSE)))</f>
        <v/>
      </c>
    </row>
    <row r="220">
      <c r="A220" s="8" t="n"/>
      <c r="B220" s="9" t="n"/>
      <c r="C220" s="65" t="n"/>
      <c r="D220" s="9" t="n"/>
      <c r="E220" s="66">
        <f>IF($B220="","",IF(LEFT($B220,1)="━","⚠️ Chọn hạng mục cụ thể",$C220*VLOOKUP($B220,'4. CÀI ĐẶT'!$A$2:$H$32,2,FALSE)))</f>
        <v/>
      </c>
      <c r="F220" s="67">
        <f>IF($B220="",0,IF(LEFT($B220,1)="━",0,$C220*VLOOKUP($B220,'4. CÀI ĐẶT'!$A$2:$H$32,3,FALSE)))</f>
        <v/>
      </c>
      <c r="G220" s="67">
        <f>IF($B220="",0,IF(LEFT($B220,1)="━",0,$C220*VLOOKUP($B220,'4. CÀI ĐẶT'!$A$2:$H$32,4,FALSE)))</f>
        <v/>
      </c>
      <c r="H220" s="67">
        <f>IF($B220="",0,IF(LEFT($B220,1)="━",0,$C220*VLOOKUP($B220,'4. CÀI ĐẶT'!$A$2:$H$32,5,FALSE)))</f>
        <v/>
      </c>
      <c r="I220">
        <f>IF($B220="","",IF(LEFT($B220,1)="━","",VLOOKUP($B220,'4. CÀI ĐẶT'!$A$2:$H$32,6,FALSE)))</f>
        <v/>
      </c>
      <c r="J220" s="13">
        <f>IF($A220="","",EOMONTH($A220,0))</f>
        <v/>
      </c>
      <c r="K220" s="67">
        <f>IF($B220="",0,IF(LEFT($B220,1)="━",0,$C220*VLOOKUP($B220,'4. CÀI ĐẶT'!$A$2:$H$32,7,FALSE)))</f>
        <v/>
      </c>
    </row>
    <row r="221">
      <c r="A221" s="8" t="n"/>
      <c r="B221" s="9" t="n"/>
      <c r="C221" s="65" t="n"/>
      <c r="D221" s="9" t="n"/>
      <c r="E221" s="66">
        <f>IF($B221="","",IF(LEFT($B221,1)="━","⚠️ Chọn hạng mục cụ thể",$C221*VLOOKUP($B221,'4. CÀI ĐẶT'!$A$2:$H$32,2,FALSE)))</f>
        <v/>
      </c>
      <c r="F221" s="67">
        <f>IF($B221="",0,IF(LEFT($B221,1)="━",0,$C221*VLOOKUP($B221,'4. CÀI ĐẶT'!$A$2:$H$32,3,FALSE)))</f>
        <v/>
      </c>
      <c r="G221" s="67">
        <f>IF($B221="",0,IF(LEFT($B221,1)="━",0,$C221*VLOOKUP($B221,'4. CÀI ĐẶT'!$A$2:$H$32,4,FALSE)))</f>
        <v/>
      </c>
      <c r="H221" s="67">
        <f>IF($B221="",0,IF(LEFT($B221,1)="━",0,$C221*VLOOKUP($B221,'4. CÀI ĐẶT'!$A$2:$H$32,5,FALSE)))</f>
        <v/>
      </c>
      <c r="I221">
        <f>IF($B221="","",IF(LEFT($B221,1)="━","",VLOOKUP($B221,'4. CÀI ĐẶT'!$A$2:$H$32,6,FALSE)))</f>
        <v/>
      </c>
      <c r="J221" s="13">
        <f>IF($A221="","",EOMONTH($A221,0))</f>
        <v/>
      </c>
      <c r="K221" s="67">
        <f>IF($B221="",0,IF(LEFT($B221,1)="━",0,$C221*VLOOKUP($B221,'4. CÀI ĐẶT'!$A$2:$H$32,7,FALSE)))</f>
        <v/>
      </c>
    </row>
    <row r="222">
      <c r="A222" s="8" t="n"/>
      <c r="B222" s="9" t="n"/>
      <c r="C222" s="65" t="n"/>
      <c r="D222" s="9" t="n"/>
      <c r="E222" s="66">
        <f>IF($B222="","",IF(LEFT($B222,1)="━","⚠️ Chọn hạng mục cụ thể",$C222*VLOOKUP($B222,'4. CÀI ĐẶT'!$A$2:$H$32,2,FALSE)))</f>
        <v/>
      </c>
      <c r="F222" s="67">
        <f>IF($B222="",0,IF(LEFT($B222,1)="━",0,$C222*VLOOKUP($B222,'4. CÀI ĐẶT'!$A$2:$H$32,3,FALSE)))</f>
        <v/>
      </c>
      <c r="G222" s="67">
        <f>IF($B222="",0,IF(LEFT($B222,1)="━",0,$C222*VLOOKUP($B222,'4. CÀI ĐẶT'!$A$2:$H$32,4,FALSE)))</f>
        <v/>
      </c>
      <c r="H222" s="67">
        <f>IF($B222="",0,IF(LEFT($B222,1)="━",0,$C222*VLOOKUP($B222,'4. CÀI ĐẶT'!$A$2:$H$32,5,FALSE)))</f>
        <v/>
      </c>
      <c r="I222">
        <f>IF($B222="","",IF(LEFT($B222,1)="━","",VLOOKUP($B222,'4. CÀI ĐẶT'!$A$2:$H$32,6,FALSE)))</f>
        <v/>
      </c>
      <c r="J222" s="13">
        <f>IF($A222="","",EOMONTH($A222,0))</f>
        <v/>
      </c>
      <c r="K222" s="67">
        <f>IF($B222="",0,IF(LEFT($B222,1)="━",0,$C222*VLOOKUP($B222,'4. CÀI ĐẶT'!$A$2:$H$32,7,FALSE)))</f>
        <v/>
      </c>
    </row>
    <row r="223">
      <c r="A223" s="8" t="n"/>
      <c r="B223" s="9" t="n"/>
      <c r="C223" s="65" t="n"/>
      <c r="D223" s="9" t="n"/>
      <c r="E223" s="66">
        <f>IF($B223="","",IF(LEFT($B223,1)="━","⚠️ Chọn hạng mục cụ thể",$C223*VLOOKUP($B223,'4. CÀI ĐẶT'!$A$2:$H$32,2,FALSE)))</f>
        <v/>
      </c>
      <c r="F223" s="67">
        <f>IF($B223="",0,IF(LEFT($B223,1)="━",0,$C223*VLOOKUP($B223,'4. CÀI ĐẶT'!$A$2:$H$32,3,FALSE)))</f>
        <v/>
      </c>
      <c r="G223" s="67">
        <f>IF($B223="",0,IF(LEFT($B223,1)="━",0,$C223*VLOOKUP($B223,'4. CÀI ĐẶT'!$A$2:$H$32,4,FALSE)))</f>
        <v/>
      </c>
      <c r="H223" s="67">
        <f>IF($B223="",0,IF(LEFT($B223,1)="━",0,$C223*VLOOKUP($B223,'4. CÀI ĐẶT'!$A$2:$H$32,5,FALSE)))</f>
        <v/>
      </c>
      <c r="I223">
        <f>IF($B223="","",IF(LEFT($B223,1)="━","",VLOOKUP($B223,'4. CÀI ĐẶT'!$A$2:$H$32,6,FALSE)))</f>
        <v/>
      </c>
      <c r="J223" s="13">
        <f>IF($A223="","",EOMONTH($A223,0))</f>
        <v/>
      </c>
      <c r="K223" s="67">
        <f>IF($B223="",0,IF(LEFT($B223,1)="━",0,$C223*VLOOKUP($B223,'4. CÀI ĐẶT'!$A$2:$H$32,7,FALSE)))</f>
        <v/>
      </c>
    </row>
    <row r="224">
      <c r="A224" s="8" t="n"/>
      <c r="B224" s="9" t="n"/>
      <c r="C224" s="65" t="n"/>
      <c r="D224" s="9" t="n"/>
      <c r="E224" s="66">
        <f>IF($B224="","",IF(LEFT($B224,1)="━","⚠️ Chọn hạng mục cụ thể",$C224*VLOOKUP($B224,'4. CÀI ĐẶT'!$A$2:$H$32,2,FALSE)))</f>
        <v/>
      </c>
      <c r="F224" s="67">
        <f>IF($B224="",0,IF(LEFT($B224,1)="━",0,$C224*VLOOKUP($B224,'4. CÀI ĐẶT'!$A$2:$H$32,3,FALSE)))</f>
        <v/>
      </c>
      <c r="G224" s="67">
        <f>IF($B224="",0,IF(LEFT($B224,1)="━",0,$C224*VLOOKUP($B224,'4. CÀI ĐẶT'!$A$2:$H$32,4,FALSE)))</f>
        <v/>
      </c>
      <c r="H224" s="67">
        <f>IF($B224="",0,IF(LEFT($B224,1)="━",0,$C224*VLOOKUP($B224,'4. CÀI ĐẶT'!$A$2:$H$32,5,FALSE)))</f>
        <v/>
      </c>
      <c r="I224">
        <f>IF($B224="","",IF(LEFT($B224,1)="━","",VLOOKUP($B224,'4. CÀI ĐẶT'!$A$2:$H$32,6,FALSE)))</f>
        <v/>
      </c>
      <c r="J224" s="13">
        <f>IF($A224="","",EOMONTH($A224,0))</f>
        <v/>
      </c>
      <c r="K224" s="67">
        <f>IF($B224="",0,IF(LEFT($B224,1)="━",0,$C224*VLOOKUP($B224,'4. CÀI ĐẶT'!$A$2:$H$32,7,FALSE)))</f>
        <v/>
      </c>
    </row>
    <row r="225">
      <c r="A225" s="8" t="n"/>
      <c r="B225" s="9" t="n"/>
      <c r="C225" s="65" t="n"/>
      <c r="D225" s="9" t="n"/>
      <c r="E225" s="66">
        <f>IF($B225="","",IF(LEFT($B225,1)="━","⚠️ Chọn hạng mục cụ thể",$C225*VLOOKUP($B225,'4. CÀI ĐẶT'!$A$2:$H$32,2,FALSE)))</f>
        <v/>
      </c>
      <c r="F225" s="67">
        <f>IF($B225="",0,IF(LEFT($B225,1)="━",0,$C225*VLOOKUP($B225,'4. CÀI ĐẶT'!$A$2:$H$32,3,FALSE)))</f>
        <v/>
      </c>
      <c r="G225" s="67">
        <f>IF($B225="",0,IF(LEFT($B225,1)="━",0,$C225*VLOOKUP($B225,'4. CÀI ĐẶT'!$A$2:$H$32,4,FALSE)))</f>
        <v/>
      </c>
      <c r="H225" s="67">
        <f>IF($B225="",0,IF(LEFT($B225,1)="━",0,$C225*VLOOKUP($B225,'4. CÀI ĐẶT'!$A$2:$H$32,5,FALSE)))</f>
        <v/>
      </c>
      <c r="I225">
        <f>IF($B225="","",IF(LEFT($B225,1)="━","",VLOOKUP($B225,'4. CÀI ĐẶT'!$A$2:$H$32,6,FALSE)))</f>
        <v/>
      </c>
      <c r="J225" s="13">
        <f>IF($A225="","",EOMONTH($A225,0))</f>
        <v/>
      </c>
      <c r="K225" s="67">
        <f>IF($B225="",0,IF(LEFT($B225,1)="━",0,$C225*VLOOKUP($B225,'4. CÀI ĐẶT'!$A$2:$H$32,7,FALSE)))</f>
        <v/>
      </c>
    </row>
    <row r="226">
      <c r="A226" s="8" t="n"/>
      <c r="B226" s="9" t="n"/>
      <c r="C226" s="65" t="n"/>
      <c r="D226" s="9" t="n"/>
      <c r="E226" s="66">
        <f>IF($B226="","",IF(LEFT($B226,1)="━","⚠️ Chọn hạng mục cụ thể",$C226*VLOOKUP($B226,'4. CÀI ĐẶT'!$A$2:$H$32,2,FALSE)))</f>
        <v/>
      </c>
      <c r="F226" s="67">
        <f>IF($B226="",0,IF(LEFT($B226,1)="━",0,$C226*VLOOKUP($B226,'4. CÀI ĐẶT'!$A$2:$H$32,3,FALSE)))</f>
        <v/>
      </c>
      <c r="G226" s="67">
        <f>IF($B226="",0,IF(LEFT($B226,1)="━",0,$C226*VLOOKUP($B226,'4. CÀI ĐẶT'!$A$2:$H$32,4,FALSE)))</f>
        <v/>
      </c>
      <c r="H226" s="67">
        <f>IF($B226="",0,IF(LEFT($B226,1)="━",0,$C226*VLOOKUP($B226,'4. CÀI ĐẶT'!$A$2:$H$32,5,FALSE)))</f>
        <v/>
      </c>
      <c r="I226">
        <f>IF($B226="","",IF(LEFT($B226,1)="━","",VLOOKUP($B226,'4. CÀI ĐẶT'!$A$2:$H$32,6,FALSE)))</f>
        <v/>
      </c>
      <c r="J226" s="13">
        <f>IF($A226="","",EOMONTH($A226,0))</f>
        <v/>
      </c>
      <c r="K226" s="67">
        <f>IF($B226="",0,IF(LEFT($B226,1)="━",0,$C226*VLOOKUP($B226,'4. CÀI ĐẶT'!$A$2:$H$32,7,FALSE)))</f>
        <v/>
      </c>
    </row>
    <row r="227">
      <c r="A227" s="8" t="n"/>
      <c r="B227" s="9" t="n"/>
      <c r="C227" s="65" t="n"/>
      <c r="D227" s="9" t="n"/>
      <c r="E227" s="66">
        <f>IF($B227="","",IF(LEFT($B227,1)="━","⚠️ Chọn hạng mục cụ thể",$C227*VLOOKUP($B227,'4. CÀI ĐẶT'!$A$2:$H$32,2,FALSE)))</f>
        <v/>
      </c>
      <c r="F227" s="67">
        <f>IF($B227="",0,IF(LEFT($B227,1)="━",0,$C227*VLOOKUP($B227,'4. CÀI ĐẶT'!$A$2:$H$32,3,FALSE)))</f>
        <v/>
      </c>
      <c r="G227" s="67">
        <f>IF($B227="",0,IF(LEFT($B227,1)="━",0,$C227*VLOOKUP($B227,'4. CÀI ĐẶT'!$A$2:$H$32,4,FALSE)))</f>
        <v/>
      </c>
      <c r="H227" s="67">
        <f>IF($B227="",0,IF(LEFT($B227,1)="━",0,$C227*VLOOKUP($B227,'4. CÀI ĐẶT'!$A$2:$H$32,5,FALSE)))</f>
        <v/>
      </c>
      <c r="I227">
        <f>IF($B227="","",IF(LEFT($B227,1)="━","",VLOOKUP($B227,'4. CÀI ĐẶT'!$A$2:$H$32,6,FALSE)))</f>
        <v/>
      </c>
      <c r="J227" s="13">
        <f>IF($A227="","",EOMONTH($A227,0))</f>
        <v/>
      </c>
      <c r="K227" s="67">
        <f>IF($B227="",0,IF(LEFT($B227,1)="━",0,$C227*VLOOKUP($B227,'4. CÀI ĐẶT'!$A$2:$H$32,7,FALSE)))</f>
        <v/>
      </c>
    </row>
    <row r="228">
      <c r="A228" s="8" t="n"/>
      <c r="B228" s="9" t="n"/>
      <c r="C228" s="65" t="n"/>
      <c r="D228" s="9" t="n"/>
      <c r="E228" s="66">
        <f>IF($B228="","",IF(LEFT($B228,1)="━","⚠️ Chọn hạng mục cụ thể",$C228*VLOOKUP($B228,'4. CÀI ĐẶT'!$A$2:$H$32,2,FALSE)))</f>
        <v/>
      </c>
      <c r="F228" s="67">
        <f>IF($B228="",0,IF(LEFT($B228,1)="━",0,$C228*VLOOKUP($B228,'4. CÀI ĐẶT'!$A$2:$H$32,3,FALSE)))</f>
        <v/>
      </c>
      <c r="G228" s="67">
        <f>IF($B228="",0,IF(LEFT($B228,1)="━",0,$C228*VLOOKUP($B228,'4. CÀI ĐẶT'!$A$2:$H$32,4,FALSE)))</f>
        <v/>
      </c>
      <c r="H228" s="67">
        <f>IF($B228="",0,IF(LEFT($B228,1)="━",0,$C228*VLOOKUP($B228,'4. CÀI ĐẶT'!$A$2:$H$32,5,FALSE)))</f>
        <v/>
      </c>
      <c r="I228">
        <f>IF($B228="","",IF(LEFT($B228,1)="━","",VLOOKUP($B228,'4. CÀI ĐẶT'!$A$2:$H$32,6,FALSE)))</f>
        <v/>
      </c>
      <c r="J228" s="13">
        <f>IF($A228="","",EOMONTH($A228,0))</f>
        <v/>
      </c>
      <c r="K228" s="67">
        <f>IF($B228="",0,IF(LEFT($B228,1)="━",0,$C228*VLOOKUP($B228,'4. CÀI ĐẶT'!$A$2:$H$32,7,FALSE)))</f>
        <v/>
      </c>
    </row>
    <row r="229">
      <c r="A229" s="8" t="n"/>
      <c r="B229" s="9" t="n"/>
      <c r="C229" s="65" t="n"/>
      <c r="D229" s="9" t="n"/>
      <c r="E229" s="66">
        <f>IF($B229="","",IF(LEFT($B229,1)="━","⚠️ Chọn hạng mục cụ thể",$C229*VLOOKUP($B229,'4. CÀI ĐẶT'!$A$2:$H$32,2,FALSE)))</f>
        <v/>
      </c>
      <c r="F229" s="67">
        <f>IF($B229="",0,IF(LEFT($B229,1)="━",0,$C229*VLOOKUP($B229,'4. CÀI ĐẶT'!$A$2:$H$32,3,FALSE)))</f>
        <v/>
      </c>
      <c r="G229" s="67">
        <f>IF($B229="",0,IF(LEFT($B229,1)="━",0,$C229*VLOOKUP($B229,'4. CÀI ĐẶT'!$A$2:$H$32,4,FALSE)))</f>
        <v/>
      </c>
      <c r="H229" s="67">
        <f>IF($B229="",0,IF(LEFT($B229,1)="━",0,$C229*VLOOKUP($B229,'4. CÀI ĐẶT'!$A$2:$H$32,5,FALSE)))</f>
        <v/>
      </c>
      <c r="I229">
        <f>IF($B229="","",IF(LEFT($B229,1)="━","",VLOOKUP($B229,'4. CÀI ĐẶT'!$A$2:$H$32,6,FALSE)))</f>
        <v/>
      </c>
      <c r="J229" s="13">
        <f>IF($A229="","",EOMONTH($A229,0))</f>
        <v/>
      </c>
      <c r="K229" s="67">
        <f>IF($B229="",0,IF(LEFT($B229,1)="━",0,$C229*VLOOKUP($B229,'4. CÀI ĐẶT'!$A$2:$H$32,7,FALSE)))</f>
        <v/>
      </c>
    </row>
    <row r="230">
      <c r="A230" s="8" t="n"/>
      <c r="B230" s="9" t="n"/>
      <c r="C230" s="65" t="n"/>
      <c r="D230" s="9" t="n"/>
      <c r="E230" s="66">
        <f>IF($B230="","",IF(LEFT($B230,1)="━","⚠️ Chọn hạng mục cụ thể",$C230*VLOOKUP($B230,'4. CÀI ĐẶT'!$A$2:$H$32,2,FALSE)))</f>
        <v/>
      </c>
      <c r="F230" s="67">
        <f>IF($B230="",0,IF(LEFT($B230,1)="━",0,$C230*VLOOKUP($B230,'4. CÀI ĐẶT'!$A$2:$H$32,3,FALSE)))</f>
        <v/>
      </c>
      <c r="G230" s="67">
        <f>IF($B230="",0,IF(LEFT($B230,1)="━",0,$C230*VLOOKUP($B230,'4. CÀI ĐẶT'!$A$2:$H$32,4,FALSE)))</f>
        <v/>
      </c>
      <c r="H230" s="67">
        <f>IF($B230="",0,IF(LEFT($B230,1)="━",0,$C230*VLOOKUP($B230,'4. CÀI ĐẶT'!$A$2:$H$32,5,FALSE)))</f>
        <v/>
      </c>
      <c r="I230">
        <f>IF($B230="","",IF(LEFT($B230,1)="━","",VLOOKUP($B230,'4. CÀI ĐẶT'!$A$2:$H$32,6,FALSE)))</f>
        <v/>
      </c>
      <c r="J230" s="13">
        <f>IF($A230="","",EOMONTH($A230,0))</f>
        <v/>
      </c>
      <c r="K230" s="67">
        <f>IF($B230="",0,IF(LEFT($B230,1)="━",0,$C230*VLOOKUP($B230,'4. CÀI ĐẶT'!$A$2:$H$32,7,FALSE)))</f>
        <v/>
      </c>
    </row>
    <row r="231">
      <c r="A231" s="8" t="n"/>
      <c r="B231" s="9" t="n"/>
      <c r="C231" s="65" t="n"/>
      <c r="D231" s="9" t="n"/>
      <c r="E231" s="66">
        <f>IF($B231="","",IF(LEFT($B231,1)="━","⚠️ Chọn hạng mục cụ thể",$C231*VLOOKUP($B231,'4. CÀI ĐẶT'!$A$2:$H$32,2,FALSE)))</f>
        <v/>
      </c>
      <c r="F231" s="67">
        <f>IF($B231="",0,IF(LEFT($B231,1)="━",0,$C231*VLOOKUP($B231,'4. CÀI ĐẶT'!$A$2:$H$32,3,FALSE)))</f>
        <v/>
      </c>
      <c r="G231" s="67">
        <f>IF($B231="",0,IF(LEFT($B231,1)="━",0,$C231*VLOOKUP($B231,'4. CÀI ĐẶT'!$A$2:$H$32,4,FALSE)))</f>
        <v/>
      </c>
      <c r="H231" s="67">
        <f>IF($B231="",0,IF(LEFT($B231,1)="━",0,$C231*VLOOKUP($B231,'4. CÀI ĐẶT'!$A$2:$H$32,5,FALSE)))</f>
        <v/>
      </c>
      <c r="I231">
        <f>IF($B231="","",IF(LEFT($B231,1)="━","",VLOOKUP($B231,'4. CÀI ĐẶT'!$A$2:$H$32,6,FALSE)))</f>
        <v/>
      </c>
      <c r="J231" s="13">
        <f>IF($A231="","",EOMONTH($A231,0))</f>
        <v/>
      </c>
      <c r="K231" s="67">
        <f>IF($B231="",0,IF(LEFT($B231,1)="━",0,$C231*VLOOKUP($B231,'4. CÀI ĐẶT'!$A$2:$H$32,7,FALSE)))</f>
        <v/>
      </c>
    </row>
    <row r="232">
      <c r="A232" s="8" t="n"/>
      <c r="B232" s="9" t="n"/>
      <c r="C232" s="65" t="n"/>
      <c r="D232" s="9" t="n"/>
      <c r="E232" s="66">
        <f>IF($B232="","",IF(LEFT($B232,1)="━","⚠️ Chọn hạng mục cụ thể",$C232*VLOOKUP($B232,'4. CÀI ĐẶT'!$A$2:$H$32,2,FALSE)))</f>
        <v/>
      </c>
      <c r="F232" s="67">
        <f>IF($B232="",0,IF(LEFT($B232,1)="━",0,$C232*VLOOKUP($B232,'4. CÀI ĐẶT'!$A$2:$H$32,3,FALSE)))</f>
        <v/>
      </c>
      <c r="G232" s="67">
        <f>IF($B232="",0,IF(LEFT($B232,1)="━",0,$C232*VLOOKUP($B232,'4. CÀI ĐẶT'!$A$2:$H$32,4,FALSE)))</f>
        <v/>
      </c>
      <c r="H232" s="67">
        <f>IF($B232="",0,IF(LEFT($B232,1)="━",0,$C232*VLOOKUP($B232,'4. CÀI ĐẶT'!$A$2:$H$32,5,FALSE)))</f>
        <v/>
      </c>
      <c r="I232">
        <f>IF($B232="","",IF(LEFT($B232,1)="━","",VLOOKUP($B232,'4. CÀI ĐẶT'!$A$2:$H$32,6,FALSE)))</f>
        <v/>
      </c>
      <c r="J232" s="13">
        <f>IF($A232="","",EOMONTH($A232,0))</f>
        <v/>
      </c>
      <c r="K232" s="67">
        <f>IF($B232="",0,IF(LEFT($B232,1)="━",0,$C232*VLOOKUP($B232,'4. CÀI ĐẶT'!$A$2:$H$32,7,FALSE)))</f>
        <v/>
      </c>
    </row>
    <row r="233">
      <c r="A233" s="8" t="n"/>
      <c r="B233" s="9" t="n"/>
      <c r="C233" s="65" t="n"/>
      <c r="D233" s="9" t="n"/>
      <c r="E233" s="66">
        <f>IF($B233="","",IF(LEFT($B233,1)="━","⚠️ Chọn hạng mục cụ thể",$C233*VLOOKUP($B233,'4. CÀI ĐẶT'!$A$2:$H$32,2,FALSE)))</f>
        <v/>
      </c>
      <c r="F233" s="67">
        <f>IF($B233="",0,IF(LEFT($B233,1)="━",0,$C233*VLOOKUP($B233,'4. CÀI ĐẶT'!$A$2:$H$32,3,FALSE)))</f>
        <v/>
      </c>
      <c r="G233" s="67">
        <f>IF($B233="",0,IF(LEFT($B233,1)="━",0,$C233*VLOOKUP($B233,'4. CÀI ĐẶT'!$A$2:$H$32,4,FALSE)))</f>
        <v/>
      </c>
      <c r="H233" s="67">
        <f>IF($B233="",0,IF(LEFT($B233,1)="━",0,$C233*VLOOKUP($B233,'4. CÀI ĐẶT'!$A$2:$H$32,5,FALSE)))</f>
        <v/>
      </c>
      <c r="I233">
        <f>IF($B233="","",IF(LEFT($B233,1)="━","",VLOOKUP($B233,'4. CÀI ĐẶT'!$A$2:$H$32,6,FALSE)))</f>
        <v/>
      </c>
      <c r="J233" s="13">
        <f>IF($A233="","",EOMONTH($A233,0))</f>
        <v/>
      </c>
      <c r="K233" s="67">
        <f>IF($B233="",0,IF(LEFT($B233,1)="━",0,$C233*VLOOKUP($B233,'4. CÀI ĐẶT'!$A$2:$H$32,7,FALSE)))</f>
        <v/>
      </c>
    </row>
    <row r="234">
      <c r="A234" s="8" t="n"/>
      <c r="B234" s="9" t="n"/>
      <c r="C234" s="65" t="n"/>
      <c r="D234" s="9" t="n"/>
      <c r="E234" s="66">
        <f>IF($B234="","",IF(LEFT($B234,1)="━","⚠️ Chọn hạng mục cụ thể",$C234*VLOOKUP($B234,'4. CÀI ĐẶT'!$A$2:$H$32,2,FALSE)))</f>
        <v/>
      </c>
      <c r="F234" s="67">
        <f>IF($B234="",0,IF(LEFT($B234,1)="━",0,$C234*VLOOKUP($B234,'4. CÀI ĐẶT'!$A$2:$H$32,3,FALSE)))</f>
        <v/>
      </c>
      <c r="G234" s="67">
        <f>IF($B234="",0,IF(LEFT($B234,1)="━",0,$C234*VLOOKUP($B234,'4. CÀI ĐẶT'!$A$2:$H$32,4,FALSE)))</f>
        <v/>
      </c>
      <c r="H234" s="67">
        <f>IF($B234="",0,IF(LEFT($B234,1)="━",0,$C234*VLOOKUP($B234,'4. CÀI ĐẶT'!$A$2:$H$32,5,FALSE)))</f>
        <v/>
      </c>
      <c r="I234">
        <f>IF($B234="","",IF(LEFT($B234,1)="━","",VLOOKUP($B234,'4. CÀI ĐẶT'!$A$2:$H$32,6,FALSE)))</f>
        <v/>
      </c>
      <c r="J234" s="13">
        <f>IF($A234="","",EOMONTH($A234,0))</f>
        <v/>
      </c>
      <c r="K234" s="67">
        <f>IF($B234="",0,IF(LEFT($B234,1)="━",0,$C234*VLOOKUP($B234,'4. CÀI ĐẶT'!$A$2:$H$32,7,FALSE)))</f>
        <v/>
      </c>
    </row>
    <row r="235">
      <c r="A235" s="8" t="n"/>
      <c r="B235" s="9" t="n"/>
      <c r="C235" s="65" t="n"/>
      <c r="D235" s="9" t="n"/>
      <c r="E235" s="66">
        <f>IF($B235="","",IF(LEFT($B235,1)="━","⚠️ Chọn hạng mục cụ thể",$C235*VLOOKUP($B235,'4. CÀI ĐẶT'!$A$2:$H$32,2,FALSE)))</f>
        <v/>
      </c>
      <c r="F235" s="67">
        <f>IF($B235="",0,IF(LEFT($B235,1)="━",0,$C235*VLOOKUP($B235,'4. CÀI ĐẶT'!$A$2:$H$32,3,FALSE)))</f>
        <v/>
      </c>
      <c r="G235" s="67">
        <f>IF($B235="",0,IF(LEFT($B235,1)="━",0,$C235*VLOOKUP($B235,'4. CÀI ĐẶT'!$A$2:$H$32,4,FALSE)))</f>
        <v/>
      </c>
      <c r="H235" s="67">
        <f>IF($B235="",0,IF(LEFT($B235,1)="━",0,$C235*VLOOKUP($B235,'4. CÀI ĐẶT'!$A$2:$H$32,5,FALSE)))</f>
        <v/>
      </c>
      <c r="I235">
        <f>IF($B235="","",IF(LEFT($B235,1)="━","",VLOOKUP($B235,'4. CÀI ĐẶT'!$A$2:$H$32,6,FALSE)))</f>
        <v/>
      </c>
      <c r="J235" s="13">
        <f>IF($A235="","",EOMONTH($A235,0))</f>
        <v/>
      </c>
      <c r="K235" s="67">
        <f>IF($B235="",0,IF(LEFT($B235,1)="━",0,$C235*VLOOKUP($B235,'4. CÀI ĐẶT'!$A$2:$H$32,7,FALSE)))</f>
        <v/>
      </c>
    </row>
    <row r="236">
      <c r="A236" s="8" t="n"/>
      <c r="B236" s="9" t="n"/>
      <c r="C236" s="65" t="n"/>
      <c r="D236" s="9" t="n"/>
      <c r="E236" s="66">
        <f>IF($B236="","",IF(LEFT($B236,1)="━","⚠️ Chọn hạng mục cụ thể",$C236*VLOOKUP($B236,'4. CÀI ĐẶT'!$A$2:$H$32,2,FALSE)))</f>
        <v/>
      </c>
      <c r="F236" s="67">
        <f>IF($B236="",0,IF(LEFT($B236,1)="━",0,$C236*VLOOKUP($B236,'4. CÀI ĐẶT'!$A$2:$H$32,3,FALSE)))</f>
        <v/>
      </c>
      <c r="G236" s="67">
        <f>IF($B236="",0,IF(LEFT($B236,1)="━",0,$C236*VLOOKUP($B236,'4. CÀI ĐẶT'!$A$2:$H$32,4,FALSE)))</f>
        <v/>
      </c>
      <c r="H236" s="67">
        <f>IF($B236="",0,IF(LEFT($B236,1)="━",0,$C236*VLOOKUP($B236,'4. CÀI ĐẶT'!$A$2:$H$32,5,FALSE)))</f>
        <v/>
      </c>
      <c r="I236">
        <f>IF($B236="","",IF(LEFT($B236,1)="━","",VLOOKUP($B236,'4. CÀI ĐẶT'!$A$2:$H$32,6,FALSE)))</f>
        <v/>
      </c>
      <c r="J236" s="13">
        <f>IF($A236="","",EOMONTH($A236,0))</f>
        <v/>
      </c>
      <c r="K236" s="67">
        <f>IF($B236="",0,IF(LEFT($B236,1)="━",0,$C236*VLOOKUP($B236,'4. CÀI ĐẶT'!$A$2:$H$32,7,FALSE)))</f>
        <v/>
      </c>
    </row>
    <row r="237">
      <c r="A237" s="8" t="n"/>
      <c r="B237" s="9" t="n"/>
      <c r="C237" s="65" t="n"/>
      <c r="D237" s="9" t="n"/>
      <c r="E237" s="66">
        <f>IF($B237="","",IF(LEFT($B237,1)="━","⚠️ Chọn hạng mục cụ thể",$C237*VLOOKUP($B237,'4. CÀI ĐẶT'!$A$2:$H$32,2,FALSE)))</f>
        <v/>
      </c>
      <c r="F237" s="67">
        <f>IF($B237="",0,IF(LEFT($B237,1)="━",0,$C237*VLOOKUP($B237,'4. CÀI ĐẶT'!$A$2:$H$32,3,FALSE)))</f>
        <v/>
      </c>
      <c r="G237" s="67">
        <f>IF($B237="",0,IF(LEFT($B237,1)="━",0,$C237*VLOOKUP($B237,'4. CÀI ĐẶT'!$A$2:$H$32,4,FALSE)))</f>
        <v/>
      </c>
      <c r="H237" s="67">
        <f>IF($B237="",0,IF(LEFT($B237,1)="━",0,$C237*VLOOKUP($B237,'4. CÀI ĐẶT'!$A$2:$H$32,5,FALSE)))</f>
        <v/>
      </c>
      <c r="I237">
        <f>IF($B237="","",IF(LEFT($B237,1)="━","",VLOOKUP($B237,'4. CÀI ĐẶT'!$A$2:$H$32,6,FALSE)))</f>
        <v/>
      </c>
      <c r="J237" s="13">
        <f>IF($A237="","",EOMONTH($A237,0))</f>
        <v/>
      </c>
      <c r="K237" s="67">
        <f>IF($B237="",0,IF(LEFT($B237,1)="━",0,$C237*VLOOKUP($B237,'4. CÀI ĐẶT'!$A$2:$H$32,7,FALSE)))</f>
        <v/>
      </c>
    </row>
    <row r="238">
      <c r="A238" s="8" t="n"/>
      <c r="B238" s="9" t="n"/>
      <c r="C238" s="65" t="n"/>
      <c r="D238" s="9" t="n"/>
      <c r="E238" s="66">
        <f>IF($B238="","",IF(LEFT($B238,1)="━","⚠️ Chọn hạng mục cụ thể",$C238*VLOOKUP($B238,'4. CÀI ĐẶT'!$A$2:$H$32,2,FALSE)))</f>
        <v/>
      </c>
      <c r="F238" s="67">
        <f>IF($B238="",0,IF(LEFT($B238,1)="━",0,$C238*VLOOKUP($B238,'4. CÀI ĐẶT'!$A$2:$H$32,3,FALSE)))</f>
        <v/>
      </c>
      <c r="G238" s="67">
        <f>IF($B238="",0,IF(LEFT($B238,1)="━",0,$C238*VLOOKUP($B238,'4. CÀI ĐẶT'!$A$2:$H$32,4,FALSE)))</f>
        <v/>
      </c>
      <c r="H238" s="67">
        <f>IF($B238="",0,IF(LEFT($B238,1)="━",0,$C238*VLOOKUP($B238,'4. CÀI ĐẶT'!$A$2:$H$32,5,FALSE)))</f>
        <v/>
      </c>
      <c r="I238">
        <f>IF($B238="","",IF(LEFT($B238,1)="━","",VLOOKUP($B238,'4. CÀI ĐẶT'!$A$2:$H$32,6,FALSE)))</f>
        <v/>
      </c>
      <c r="J238" s="13">
        <f>IF($A238="","",EOMONTH($A238,0))</f>
        <v/>
      </c>
      <c r="K238" s="67">
        <f>IF($B238="",0,IF(LEFT($B238,1)="━",0,$C238*VLOOKUP($B238,'4. CÀI ĐẶT'!$A$2:$H$32,7,FALSE)))</f>
        <v/>
      </c>
    </row>
    <row r="239">
      <c r="A239" s="8" t="n"/>
      <c r="B239" s="9" t="n"/>
      <c r="C239" s="65" t="n"/>
      <c r="D239" s="9" t="n"/>
      <c r="E239" s="66">
        <f>IF($B239="","",IF(LEFT($B239,1)="━","⚠️ Chọn hạng mục cụ thể",$C239*VLOOKUP($B239,'4. CÀI ĐẶT'!$A$2:$H$32,2,FALSE)))</f>
        <v/>
      </c>
      <c r="F239" s="67">
        <f>IF($B239="",0,IF(LEFT($B239,1)="━",0,$C239*VLOOKUP($B239,'4. CÀI ĐẶT'!$A$2:$H$32,3,FALSE)))</f>
        <v/>
      </c>
      <c r="G239" s="67">
        <f>IF($B239="",0,IF(LEFT($B239,1)="━",0,$C239*VLOOKUP($B239,'4. CÀI ĐẶT'!$A$2:$H$32,4,FALSE)))</f>
        <v/>
      </c>
      <c r="H239" s="67">
        <f>IF($B239="",0,IF(LEFT($B239,1)="━",0,$C239*VLOOKUP($B239,'4. CÀI ĐẶT'!$A$2:$H$32,5,FALSE)))</f>
        <v/>
      </c>
      <c r="I239">
        <f>IF($B239="","",IF(LEFT($B239,1)="━","",VLOOKUP($B239,'4. CÀI ĐẶT'!$A$2:$H$32,6,FALSE)))</f>
        <v/>
      </c>
      <c r="J239" s="13">
        <f>IF($A239="","",EOMONTH($A239,0))</f>
        <v/>
      </c>
      <c r="K239" s="67">
        <f>IF($B239="",0,IF(LEFT($B239,1)="━",0,$C239*VLOOKUP($B239,'4. CÀI ĐẶT'!$A$2:$H$32,7,FALSE)))</f>
        <v/>
      </c>
    </row>
    <row r="240">
      <c r="A240" s="8" t="n"/>
      <c r="B240" s="9" t="n"/>
      <c r="C240" s="65" t="n"/>
      <c r="D240" s="9" t="n"/>
      <c r="E240" s="66">
        <f>IF($B240="","",IF(LEFT($B240,1)="━","⚠️ Chọn hạng mục cụ thể",$C240*VLOOKUP($B240,'4. CÀI ĐẶT'!$A$2:$H$32,2,FALSE)))</f>
        <v/>
      </c>
      <c r="F240" s="67">
        <f>IF($B240="",0,IF(LEFT($B240,1)="━",0,$C240*VLOOKUP($B240,'4. CÀI ĐẶT'!$A$2:$H$32,3,FALSE)))</f>
        <v/>
      </c>
      <c r="G240" s="67">
        <f>IF($B240="",0,IF(LEFT($B240,1)="━",0,$C240*VLOOKUP($B240,'4. CÀI ĐẶT'!$A$2:$H$32,4,FALSE)))</f>
        <v/>
      </c>
      <c r="H240" s="67">
        <f>IF($B240="",0,IF(LEFT($B240,1)="━",0,$C240*VLOOKUP($B240,'4. CÀI ĐẶT'!$A$2:$H$32,5,FALSE)))</f>
        <v/>
      </c>
      <c r="I240">
        <f>IF($B240="","",IF(LEFT($B240,1)="━","",VLOOKUP($B240,'4. CÀI ĐẶT'!$A$2:$H$32,6,FALSE)))</f>
        <v/>
      </c>
      <c r="J240" s="13">
        <f>IF($A240="","",EOMONTH($A240,0))</f>
        <v/>
      </c>
      <c r="K240" s="67">
        <f>IF($B240="",0,IF(LEFT($B240,1)="━",0,$C240*VLOOKUP($B240,'4. CÀI ĐẶT'!$A$2:$H$32,7,FALSE)))</f>
        <v/>
      </c>
    </row>
    <row r="241">
      <c r="A241" s="8" t="n"/>
      <c r="B241" s="9" t="n"/>
      <c r="C241" s="65" t="n"/>
      <c r="D241" s="9" t="n"/>
      <c r="E241" s="66">
        <f>IF($B241="","",IF(LEFT($B241,1)="━","⚠️ Chọn hạng mục cụ thể",$C241*VLOOKUP($B241,'4. CÀI ĐẶT'!$A$2:$H$32,2,FALSE)))</f>
        <v/>
      </c>
      <c r="F241" s="67">
        <f>IF($B241="",0,IF(LEFT($B241,1)="━",0,$C241*VLOOKUP($B241,'4. CÀI ĐẶT'!$A$2:$H$32,3,FALSE)))</f>
        <v/>
      </c>
      <c r="G241" s="67">
        <f>IF($B241="",0,IF(LEFT($B241,1)="━",0,$C241*VLOOKUP($B241,'4. CÀI ĐẶT'!$A$2:$H$32,4,FALSE)))</f>
        <v/>
      </c>
      <c r="H241" s="67">
        <f>IF($B241="",0,IF(LEFT($B241,1)="━",0,$C241*VLOOKUP($B241,'4. CÀI ĐẶT'!$A$2:$H$32,5,FALSE)))</f>
        <v/>
      </c>
      <c r="I241">
        <f>IF($B241="","",IF(LEFT($B241,1)="━","",VLOOKUP($B241,'4. CÀI ĐẶT'!$A$2:$H$32,6,FALSE)))</f>
        <v/>
      </c>
      <c r="J241" s="13">
        <f>IF($A241="","",EOMONTH($A241,0))</f>
        <v/>
      </c>
      <c r="K241" s="67">
        <f>IF($B241="",0,IF(LEFT($B241,1)="━",0,$C241*VLOOKUP($B241,'4. CÀI ĐẶT'!$A$2:$H$32,7,FALSE)))</f>
        <v/>
      </c>
    </row>
    <row r="242">
      <c r="A242" s="8" t="n"/>
      <c r="B242" s="9" t="n"/>
      <c r="C242" s="65" t="n"/>
      <c r="D242" s="9" t="n"/>
      <c r="E242" s="66">
        <f>IF($B242="","",IF(LEFT($B242,1)="━","⚠️ Chọn hạng mục cụ thể",$C242*VLOOKUP($B242,'4. CÀI ĐẶT'!$A$2:$H$32,2,FALSE)))</f>
        <v/>
      </c>
      <c r="F242" s="67">
        <f>IF($B242="",0,IF(LEFT($B242,1)="━",0,$C242*VLOOKUP($B242,'4. CÀI ĐẶT'!$A$2:$H$32,3,FALSE)))</f>
        <v/>
      </c>
      <c r="G242" s="67">
        <f>IF($B242="",0,IF(LEFT($B242,1)="━",0,$C242*VLOOKUP($B242,'4. CÀI ĐẶT'!$A$2:$H$32,4,FALSE)))</f>
        <v/>
      </c>
      <c r="H242" s="67">
        <f>IF($B242="",0,IF(LEFT($B242,1)="━",0,$C242*VLOOKUP($B242,'4. CÀI ĐẶT'!$A$2:$H$32,5,FALSE)))</f>
        <v/>
      </c>
      <c r="I242">
        <f>IF($B242="","",IF(LEFT($B242,1)="━","",VLOOKUP($B242,'4. CÀI ĐẶT'!$A$2:$H$32,6,FALSE)))</f>
        <v/>
      </c>
      <c r="J242" s="13">
        <f>IF($A242="","",EOMONTH($A242,0))</f>
        <v/>
      </c>
      <c r="K242" s="67">
        <f>IF($B242="",0,IF(LEFT($B242,1)="━",0,$C242*VLOOKUP($B242,'4. CÀI ĐẶT'!$A$2:$H$32,7,FALSE)))</f>
        <v/>
      </c>
    </row>
    <row r="243">
      <c r="A243" s="8" t="n"/>
      <c r="B243" s="9" t="n"/>
      <c r="C243" s="65" t="n"/>
      <c r="D243" s="9" t="n"/>
      <c r="E243" s="66">
        <f>IF($B243="","",IF(LEFT($B243,1)="━","⚠️ Chọn hạng mục cụ thể",$C243*VLOOKUP($B243,'4. CÀI ĐẶT'!$A$2:$H$32,2,FALSE)))</f>
        <v/>
      </c>
      <c r="F243" s="67">
        <f>IF($B243="",0,IF(LEFT($B243,1)="━",0,$C243*VLOOKUP($B243,'4. CÀI ĐẶT'!$A$2:$H$32,3,FALSE)))</f>
        <v/>
      </c>
      <c r="G243" s="67">
        <f>IF($B243="",0,IF(LEFT($B243,1)="━",0,$C243*VLOOKUP($B243,'4. CÀI ĐẶT'!$A$2:$H$32,4,FALSE)))</f>
        <v/>
      </c>
      <c r="H243" s="67">
        <f>IF($B243="",0,IF(LEFT($B243,1)="━",0,$C243*VLOOKUP($B243,'4. CÀI ĐẶT'!$A$2:$H$32,5,FALSE)))</f>
        <v/>
      </c>
      <c r="I243">
        <f>IF($B243="","",IF(LEFT($B243,1)="━","",VLOOKUP($B243,'4. CÀI ĐẶT'!$A$2:$H$32,6,FALSE)))</f>
        <v/>
      </c>
      <c r="J243" s="13">
        <f>IF($A243="","",EOMONTH($A243,0))</f>
        <v/>
      </c>
      <c r="K243" s="67">
        <f>IF($B243="",0,IF(LEFT($B243,1)="━",0,$C243*VLOOKUP($B243,'4. CÀI ĐẶT'!$A$2:$H$32,7,FALSE)))</f>
        <v/>
      </c>
    </row>
    <row r="244">
      <c r="A244" s="8" t="n"/>
      <c r="B244" s="9" t="n"/>
      <c r="C244" s="65" t="n"/>
      <c r="D244" s="9" t="n"/>
      <c r="E244" s="66">
        <f>IF($B244="","",IF(LEFT($B244,1)="━","⚠️ Chọn hạng mục cụ thể",$C244*VLOOKUP($B244,'4. CÀI ĐẶT'!$A$2:$H$32,2,FALSE)))</f>
        <v/>
      </c>
      <c r="F244" s="67">
        <f>IF($B244="",0,IF(LEFT($B244,1)="━",0,$C244*VLOOKUP($B244,'4. CÀI ĐẶT'!$A$2:$H$32,3,FALSE)))</f>
        <v/>
      </c>
      <c r="G244" s="67">
        <f>IF($B244="",0,IF(LEFT($B244,1)="━",0,$C244*VLOOKUP($B244,'4. CÀI ĐẶT'!$A$2:$H$32,4,FALSE)))</f>
        <v/>
      </c>
      <c r="H244" s="67">
        <f>IF($B244="",0,IF(LEFT($B244,1)="━",0,$C244*VLOOKUP($B244,'4. CÀI ĐẶT'!$A$2:$H$32,5,FALSE)))</f>
        <v/>
      </c>
      <c r="I244">
        <f>IF($B244="","",IF(LEFT($B244,1)="━","",VLOOKUP($B244,'4. CÀI ĐẶT'!$A$2:$H$32,6,FALSE)))</f>
        <v/>
      </c>
      <c r="J244" s="13">
        <f>IF($A244="","",EOMONTH($A244,0))</f>
        <v/>
      </c>
      <c r="K244" s="67">
        <f>IF($B244="",0,IF(LEFT($B244,1)="━",0,$C244*VLOOKUP($B244,'4. CÀI ĐẶT'!$A$2:$H$32,7,FALSE)))</f>
        <v/>
      </c>
    </row>
    <row r="245">
      <c r="A245" s="8" t="n"/>
      <c r="B245" s="9" t="n"/>
      <c r="C245" s="65" t="n"/>
      <c r="D245" s="9" t="n"/>
      <c r="E245" s="66">
        <f>IF($B245="","",IF(LEFT($B245,1)="━","⚠️ Chọn hạng mục cụ thể",$C245*VLOOKUP($B245,'4. CÀI ĐẶT'!$A$2:$H$32,2,FALSE)))</f>
        <v/>
      </c>
      <c r="F245" s="67">
        <f>IF($B245="",0,IF(LEFT($B245,1)="━",0,$C245*VLOOKUP($B245,'4. CÀI ĐẶT'!$A$2:$H$32,3,FALSE)))</f>
        <v/>
      </c>
      <c r="G245" s="67">
        <f>IF($B245="",0,IF(LEFT($B245,1)="━",0,$C245*VLOOKUP($B245,'4. CÀI ĐẶT'!$A$2:$H$32,4,FALSE)))</f>
        <v/>
      </c>
      <c r="H245" s="67">
        <f>IF($B245="",0,IF(LEFT($B245,1)="━",0,$C245*VLOOKUP($B245,'4. CÀI ĐẶT'!$A$2:$H$32,5,FALSE)))</f>
        <v/>
      </c>
      <c r="I245">
        <f>IF($B245="","",IF(LEFT($B245,1)="━","",VLOOKUP($B245,'4. CÀI ĐẶT'!$A$2:$H$32,6,FALSE)))</f>
        <v/>
      </c>
      <c r="J245" s="13">
        <f>IF($A245="","",EOMONTH($A245,0))</f>
        <v/>
      </c>
      <c r="K245" s="67">
        <f>IF($B245="",0,IF(LEFT($B245,1)="━",0,$C245*VLOOKUP($B245,'4. CÀI ĐẶT'!$A$2:$H$32,7,FALSE)))</f>
        <v/>
      </c>
    </row>
    <row r="246">
      <c r="A246" s="8" t="n"/>
      <c r="B246" s="9" t="n"/>
      <c r="C246" s="65" t="n"/>
      <c r="D246" s="9" t="n"/>
      <c r="E246" s="66">
        <f>IF($B246="","",IF(LEFT($B246,1)="━","⚠️ Chọn hạng mục cụ thể",$C246*VLOOKUP($B246,'4. CÀI ĐẶT'!$A$2:$H$32,2,FALSE)))</f>
        <v/>
      </c>
      <c r="F246" s="67">
        <f>IF($B246="",0,IF(LEFT($B246,1)="━",0,$C246*VLOOKUP($B246,'4. CÀI ĐẶT'!$A$2:$H$32,3,FALSE)))</f>
        <v/>
      </c>
      <c r="G246" s="67">
        <f>IF($B246="",0,IF(LEFT($B246,1)="━",0,$C246*VLOOKUP($B246,'4. CÀI ĐẶT'!$A$2:$H$32,4,FALSE)))</f>
        <v/>
      </c>
      <c r="H246" s="67">
        <f>IF($B246="",0,IF(LEFT($B246,1)="━",0,$C246*VLOOKUP($B246,'4. CÀI ĐẶT'!$A$2:$H$32,5,FALSE)))</f>
        <v/>
      </c>
      <c r="I246">
        <f>IF($B246="","",IF(LEFT($B246,1)="━","",VLOOKUP($B246,'4. CÀI ĐẶT'!$A$2:$H$32,6,FALSE)))</f>
        <v/>
      </c>
      <c r="J246" s="13">
        <f>IF($A246="","",EOMONTH($A246,0))</f>
        <v/>
      </c>
      <c r="K246" s="67">
        <f>IF($B246="",0,IF(LEFT($B246,1)="━",0,$C246*VLOOKUP($B246,'4. CÀI ĐẶT'!$A$2:$H$32,7,FALSE)))</f>
        <v/>
      </c>
    </row>
    <row r="247">
      <c r="A247" s="8" t="n"/>
      <c r="B247" s="9" t="n"/>
      <c r="C247" s="65" t="n"/>
      <c r="D247" s="9" t="n"/>
      <c r="E247" s="66">
        <f>IF($B247="","",IF(LEFT($B247,1)="━","⚠️ Chọn hạng mục cụ thể",$C247*VLOOKUP($B247,'4. CÀI ĐẶT'!$A$2:$H$32,2,FALSE)))</f>
        <v/>
      </c>
      <c r="F247" s="67">
        <f>IF($B247="",0,IF(LEFT($B247,1)="━",0,$C247*VLOOKUP($B247,'4. CÀI ĐẶT'!$A$2:$H$32,3,FALSE)))</f>
        <v/>
      </c>
      <c r="G247" s="67">
        <f>IF($B247="",0,IF(LEFT($B247,1)="━",0,$C247*VLOOKUP($B247,'4. CÀI ĐẶT'!$A$2:$H$32,4,FALSE)))</f>
        <v/>
      </c>
      <c r="H247" s="67">
        <f>IF($B247="",0,IF(LEFT($B247,1)="━",0,$C247*VLOOKUP($B247,'4. CÀI ĐẶT'!$A$2:$H$32,5,FALSE)))</f>
        <v/>
      </c>
      <c r="I247">
        <f>IF($B247="","",IF(LEFT($B247,1)="━","",VLOOKUP($B247,'4. CÀI ĐẶT'!$A$2:$H$32,6,FALSE)))</f>
        <v/>
      </c>
      <c r="J247" s="13">
        <f>IF($A247="","",EOMONTH($A247,0))</f>
        <v/>
      </c>
      <c r="K247" s="67">
        <f>IF($B247="",0,IF(LEFT($B247,1)="━",0,$C247*VLOOKUP($B247,'4. CÀI ĐẶT'!$A$2:$H$32,7,FALSE)))</f>
        <v/>
      </c>
    </row>
    <row r="248">
      <c r="A248" s="8" t="n"/>
      <c r="B248" s="9" t="n"/>
      <c r="C248" s="65" t="n"/>
      <c r="D248" s="9" t="n"/>
      <c r="E248" s="66">
        <f>IF($B248="","",IF(LEFT($B248,1)="━","⚠️ Chọn hạng mục cụ thể",$C248*VLOOKUP($B248,'4. CÀI ĐẶT'!$A$2:$H$32,2,FALSE)))</f>
        <v/>
      </c>
      <c r="F248" s="67">
        <f>IF($B248="",0,IF(LEFT($B248,1)="━",0,$C248*VLOOKUP($B248,'4. CÀI ĐẶT'!$A$2:$H$32,3,FALSE)))</f>
        <v/>
      </c>
      <c r="G248" s="67">
        <f>IF($B248="",0,IF(LEFT($B248,1)="━",0,$C248*VLOOKUP($B248,'4. CÀI ĐẶT'!$A$2:$H$32,4,FALSE)))</f>
        <v/>
      </c>
      <c r="H248" s="67">
        <f>IF($B248="",0,IF(LEFT($B248,1)="━",0,$C248*VLOOKUP($B248,'4. CÀI ĐẶT'!$A$2:$H$32,5,FALSE)))</f>
        <v/>
      </c>
      <c r="I248">
        <f>IF($B248="","",IF(LEFT($B248,1)="━","",VLOOKUP($B248,'4. CÀI ĐẶT'!$A$2:$H$32,6,FALSE)))</f>
        <v/>
      </c>
      <c r="J248" s="13">
        <f>IF($A248="","",EOMONTH($A248,0))</f>
        <v/>
      </c>
      <c r="K248" s="67">
        <f>IF($B248="",0,IF(LEFT($B248,1)="━",0,$C248*VLOOKUP($B248,'4. CÀI ĐẶT'!$A$2:$H$32,7,FALSE)))</f>
        <v/>
      </c>
    </row>
    <row r="249">
      <c r="A249" s="8" t="n"/>
      <c r="B249" s="9" t="n"/>
      <c r="C249" s="65" t="n"/>
      <c r="D249" s="9" t="n"/>
      <c r="E249" s="66">
        <f>IF($B249="","",IF(LEFT($B249,1)="━","⚠️ Chọn hạng mục cụ thể",$C249*VLOOKUP($B249,'4. CÀI ĐẶT'!$A$2:$H$32,2,FALSE)))</f>
        <v/>
      </c>
      <c r="F249" s="67">
        <f>IF($B249="",0,IF(LEFT($B249,1)="━",0,$C249*VLOOKUP($B249,'4. CÀI ĐẶT'!$A$2:$H$32,3,FALSE)))</f>
        <v/>
      </c>
      <c r="G249" s="67">
        <f>IF($B249="",0,IF(LEFT($B249,1)="━",0,$C249*VLOOKUP($B249,'4. CÀI ĐẶT'!$A$2:$H$32,4,FALSE)))</f>
        <v/>
      </c>
      <c r="H249" s="67">
        <f>IF($B249="",0,IF(LEFT($B249,1)="━",0,$C249*VLOOKUP($B249,'4. CÀI ĐẶT'!$A$2:$H$32,5,FALSE)))</f>
        <v/>
      </c>
      <c r="I249">
        <f>IF($B249="","",IF(LEFT($B249,1)="━","",VLOOKUP($B249,'4. CÀI ĐẶT'!$A$2:$H$32,6,FALSE)))</f>
        <v/>
      </c>
      <c r="J249" s="13">
        <f>IF($A249="","",EOMONTH($A249,0))</f>
        <v/>
      </c>
      <c r="K249" s="67">
        <f>IF($B249="",0,IF(LEFT($B249,1)="━",0,$C249*VLOOKUP($B249,'4. CÀI ĐẶT'!$A$2:$H$32,7,FALSE)))</f>
        <v/>
      </c>
    </row>
    <row r="250">
      <c r="A250" s="8" t="n"/>
      <c r="B250" s="9" t="n"/>
      <c r="C250" s="65" t="n"/>
      <c r="D250" s="9" t="n"/>
      <c r="E250" s="66">
        <f>IF($B250="","",IF(LEFT($B250,1)="━","⚠️ Chọn hạng mục cụ thể",$C250*VLOOKUP($B250,'4. CÀI ĐẶT'!$A$2:$H$32,2,FALSE)))</f>
        <v/>
      </c>
      <c r="F250" s="67">
        <f>IF($B250="",0,IF(LEFT($B250,1)="━",0,$C250*VLOOKUP($B250,'4. CÀI ĐẶT'!$A$2:$H$32,3,FALSE)))</f>
        <v/>
      </c>
      <c r="G250" s="67">
        <f>IF($B250="",0,IF(LEFT($B250,1)="━",0,$C250*VLOOKUP($B250,'4. CÀI ĐẶT'!$A$2:$H$32,4,FALSE)))</f>
        <v/>
      </c>
      <c r="H250" s="67">
        <f>IF($B250="",0,IF(LEFT($B250,1)="━",0,$C250*VLOOKUP($B250,'4. CÀI ĐẶT'!$A$2:$H$32,5,FALSE)))</f>
        <v/>
      </c>
      <c r="I250">
        <f>IF($B250="","",IF(LEFT($B250,1)="━","",VLOOKUP($B250,'4. CÀI ĐẶT'!$A$2:$H$32,6,FALSE)))</f>
        <v/>
      </c>
      <c r="J250" s="13">
        <f>IF($A250="","",EOMONTH($A250,0))</f>
        <v/>
      </c>
      <c r="K250" s="67">
        <f>IF($B250="",0,IF(LEFT($B250,1)="━",0,$C250*VLOOKUP($B250,'4. CÀI ĐẶT'!$A$2:$H$32,7,FALSE)))</f>
        <v/>
      </c>
    </row>
    <row r="251">
      <c r="A251" s="8" t="n"/>
      <c r="B251" s="9" t="n"/>
      <c r="C251" s="65" t="n"/>
      <c r="D251" s="9" t="n"/>
      <c r="E251" s="66">
        <f>IF($B251="","",IF(LEFT($B251,1)="━","⚠️ Chọn hạng mục cụ thể",$C251*VLOOKUP($B251,'4. CÀI ĐẶT'!$A$2:$H$32,2,FALSE)))</f>
        <v/>
      </c>
      <c r="F251" s="67">
        <f>IF($B251="",0,IF(LEFT($B251,1)="━",0,$C251*VLOOKUP($B251,'4. CÀI ĐẶT'!$A$2:$H$32,3,FALSE)))</f>
        <v/>
      </c>
      <c r="G251" s="67">
        <f>IF($B251="",0,IF(LEFT($B251,1)="━",0,$C251*VLOOKUP($B251,'4. CÀI ĐẶT'!$A$2:$H$32,4,FALSE)))</f>
        <v/>
      </c>
      <c r="H251" s="67">
        <f>IF($B251="",0,IF(LEFT($B251,1)="━",0,$C251*VLOOKUP($B251,'4. CÀI ĐẶT'!$A$2:$H$32,5,FALSE)))</f>
        <v/>
      </c>
      <c r="I251">
        <f>IF($B251="","",IF(LEFT($B251,1)="━","",VLOOKUP($B251,'4. CÀI ĐẶT'!$A$2:$H$32,6,FALSE)))</f>
        <v/>
      </c>
      <c r="J251" s="13">
        <f>IF($A251="","",EOMONTH($A251,0))</f>
        <v/>
      </c>
      <c r="K251" s="67">
        <f>IF($B251="",0,IF(LEFT($B251,1)="━",0,$C251*VLOOKUP($B251,'4. CÀI ĐẶT'!$A$2:$H$32,7,FALSE)))</f>
        <v/>
      </c>
    </row>
    <row r="252">
      <c r="A252" s="8" t="n"/>
      <c r="B252" s="9" t="n"/>
      <c r="C252" s="65" t="n"/>
      <c r="D252" s="9" t="n"/>
      <c r="E252" s="66">
        <f>IF($B252="","",IF(LEFT($B252,1)="━","⚠️ Chọn hạng mục cụ thể",$C252*VLOOKUP($B252,'4. CÀI ĐẶT'!$A$2:$H$32,2,FALSE)))</f>
        <v/>
      </c>
      <c r="F252" s="67">
        <f>IF($B252="",0,IF(LEFT($B252,1)="━",0,$C252*VLOOKUP($B252,'4. CÀI ĐẶT'!$A$2:$H$32,3,FALSE)))</f>
        <v/>
      </c>
      <c r="G252" s="67">
        <f>IF($B252="",0,IF(LEFT($B252,1)="━",0,$C252*VLOOKUP($B252,'4. CÀI ĐẶT'!$A$2:$H$32,4,FALSE)))</f>
        <v/>
      </c>
      <c r="H252" s="67">
        <f>IF($B252="",0,IF(LEFT($B252,1)="━",0,$C252*VLOOKUP($B252,'4. CÀI ĐẶT'!$A$2:$H$32,5,FALSE)))</f>
        <v/>
      </c>
      <c r="I252">
        <f>IF($B252="","",IF(LEFT($B252,1)="━","",VLOOKUP($B252,'4. CÀI ĐẶT'!$A$2:$H$32,6,FALSE)))</f>
        <v/>
      </c>
      <c r="J252" s="13">
        <f>IF($A252="","",EOMONTH($A252,0))</f>
        <v/>
      </c>
      <c r="K252" s="67">
        <f>IF($B252="",0,IF(LEFT($B252,1)="━",0,$C252*VLOOKUP($B252,'4. CÀI ĐẶT'!$A$2:$H$32,7,FALSE)))</f>
        <v/>
      </c>
    </row>
    <row r="253">
      <c r="A253" s="8" t="n"/>
      <c r="B253" s="9" t="n"/>
      <c r="C253" s="65" t="n"/>
      <c r="D253" s="9" t="n"/>
      <c r="E253" s="66">
        <f>IF($B253="","",IF(LEFT($B253,1)="━","⚠️ Chọn hạng mục cụ thể",$C253*VLOOKUP($B253,'4. CÀI ĐẶT'!$A$2:$H$32,2,FALSE)))</f>
        <v/>
      </c>
      <c r="F253" s="67">
        <f>IF($B253="",0,IF(LEFT($B253,1)="━",0,$C253*VLOOKUP($B253,'4. CÀI ĐẶT'!$A$2:$H$32,3,FALSE)))</f>
        <v/>
      </c>
      <c r="G253" s="67">
        <f>IF($B253="",0,IF(LEFT($B253,1)="━",0,$C253*VLOOKUP($B253,'4. CÀI ĐẶT'!$A$2:$H$32,4,FALSE)))</f>
        <v/>
      </c>
      <c r="H253" s="67">
        <f>IF($B253="",0,IF(LEFT($B253,1)="━",0,$C253*VLOOKUP($B253,'4. CÀI ĐẶT'!$A$2:$H$32,5,FALSE)))</f>
        <v/>
      </c>
      <c r="I253">
        <f>IF($B253="","",IF(LEFT($B253,1)="━","",VLOOKUP($B253,'4. CÀI ĐẶT'!$A$2:$H$32,6,FALSE)))</f>
        <v/>
      </c>
      <c r="J253" s="13">
        <f>IF($A253="","",EOMONTH($A253,0))</f>
        <v/>
      </c>
      <c r="K253" s="67">
        <f>IF($B253="",0,IF(LEFT($B253,1)="━",0,$C253*VLOOKUP($B253,'4. CÀI ĐẶT'!$A$2:$H$32,7,FALSE)))</f>
        <v/>
      </c>
    </row>
    <row r="254">
      <c r="A254" s="8" t="n"/>
      <c r="B254" s="9" t="n"/>
      <c r="C254" s="65" t="n"/>
      <c r="D254" s="9" t="n"/>
      <c r="E254" s="66">
        <f>IF($B254="","",IF(LEFT($B254,1)="━","⚠️ Chọn hạng mục cụ thể",$C254*VLOOKUP($B254,'4. CÀI ĐẶT'!$A$2:$H$32,2,FALSE)))</f>
        <v/>
      </c>
      <c r="F254" s="67">
        <f>IF($B254="",0,IF(LEFT($B254,1)="━",0,$C254*VLOOKUP($B254,'4. CÀI ĐẶT'!$A$2:$H$32,3,FALSE)))</f>
        <v/>
      </c>
      <c r="G254" s="67">
        <f>IF($B254="",0,IF(LEFT($B254,1)="━",0,$C254*VLOOKUP($B254,'4. CÀI ĐẶT'!$A$2:$H$32,4,FALSE)))</f>
        <v/>
      </c>
      <c r="H254" s="67">
        <f>IF($B254="",0,IF(LEFT($B254,1)="━",0,$C254*VLOOKUP($B254,'4. CÀI ĐẶT'!$A$2:$H$32,5,FALSE)))</f>
        <v/>
      </c>
      <c r="I254">
        <f>IF($B254="","",IF(LEFT($B254,1)="━","",VLOOKUP($B254,'4. CÀI ĐẶT'!$A$2:$H$32,6,FALSE)))</f>
        <v/>
      </c>
      <c r="J254" s="13">
        <f>IF($A254="","",EOMONTH($A254,0))</f>
        <v/>
      </c>
      <c r="K254" s="67">
        <f>IF($B254="",0,IF(LEFT($B254,1)="━",0,$C254*VLOOKUP($B254,'4. CÀI ĐẶT'!$A$2:$H$32,7,FALSE)))</f>
        <v/>
      </c>
    </row>
    <row r="255">
      <c r="A255" s="8" t="n"/>
      <c r="B255" s="9" t="n"/>
      <c r="C255" s="65" t="n"/>
      <c r="D255" s="9" t="n"/>
      <c r="E255" s="66">
        <f>IF($B255="","",IF(LEFT($B255,1)="━","⚠️ Chọn hạng mục cụ thể",$C255*VLOOKUP($B255,'4. CÀI ĐẶT'!$A$2:$H$32,2,FALSE)))</f>
        <v/>
      </c>
      <c r="F255" s="67">
        <f>IF($B255="",0,IF(LEFT($B255,1)="━",0,$C255*VLOOKUP($B255,'4. CÀI ĐẶT'!$A$2:$H$32,3,FALSE)))</f>
        <v/>
      </c>
      <c r="G255" s="67">
        <f>IF($B255="",0,IF(LEFT($B255,1)="━",0,$C255*VLOOKUP($B255,'4. CÀI ĐẶT'!$A$2:$H$32,4,FALSE)))</f>
        <v/>
      </c>
      <c r="H255" s="67">
        <f>IF($B255="",0,IF(LEFT($B255,1)="━",0,$C255*VLOOKUP($B255,'4. CÀI ĐẶT'!$A$2:$H$32,5,FALSE)))</f>
        <v/>
      </c>
      <c r="I255">
        <f>IF($B255="","",IF(LEFT($B255,1)="━","",VLOOKUP($B255,'4. CÀI ĐẶT'!$A$2:$H$32,6,FALSE)))</f>
        <v/>
      </c>
      <c r="J255" s="13">
        <f>IF($A255="","",EOMONTH($A255,0))</f>
        <v/>
      </c>
      <c r="K255" s="67">
        <f>IF($B255="",0,IF(LEFT($B255,1)="━",0,$C255*VLOOKUP($B255,'4. CÀI ĐẶT'!$A$2:$H$32,7,FALSE)))</f>
        <v/>
      </c>
    </row>
    <row r="256">
      <c r="A256" s="8" t="n"/>
      <c r="B256" s="9" t="n"/>
      <c r="C256" s="65" t="n"/>
      <c r="D256" s="9" t="n"/>
      <c r="E256" s="66">
        <f>IF($B256="","",IF(LEFT($B256,1)="━","⚠️ Chọn hạng mục cụ thể",$C256*VLOOKUP($B256,'4. CÀI ĐẶT'!$A$2:$H$32,2,FALSE)))</f>
        <v/>
      </c>
      <c r="F256" s="67">
        <f>IF($B256="",0,IF(LEFT($B256,1)="━",0,$C256*VLOOKUP($B256,'4. CÀI ĐẶT'!$A$2:$H$32,3,FALSE)))</f>
        <v/>
      </c>
      <c r="G256" s="67">
        <f>IF($B256="",0,IF(LEFT($B256,1)="━",0,$C256*VLOOKUP($B256,'4. CÀI ĐẶT'!$A$2:$H$32,4,FALSE)))</f>
        <v/>
      </c>
      <c r="H256" s="67">
        <f>IF($B256="",0,IF(LEFT($B256,1)="━",0,$C256*VLOOKUP($B256,'4. CÀI ĐẶT'!$A$2:$H$32,5,FALSE)))</f>
        <v/>
      </c>
      <c r="I256">
        <f>IF($B256="","",IF(LEFT($B256,1)="━","",VLOOKUP($B256,'4. CÀI ĐẶT'!$A$2:$H$32,6,FALSE)))</f>
        <v/>
      </c>
      <c r="J256" s="13">
        <f>IF($A256="","",EOMONTH($A256,0))</f>
        <v/>
      </c>
      <c r="K256" s="67">
        <f>IF($B256="",0,IF(LEFT($B256,1)="━",0,$C256*VLOOKUP($B256,'4. CÀI ĐẶT'!$A$2:$H$32,7,FALSE)))</f>
        <v/>
      </c>
    </row>
    <row r="257">
      <c r="A257" s="8" t="n"/>
      <c r="B257" s="9" t="n"/>
      <c r="C257" s="65" t="n"/>
      <c r="D257" s="9" t="n"/>
      <c r="E257" s="66">
        <f>IF($B257="","",IF(LEFT($B257,1)="━","⚠️ Chọn hạng mục cụ thể",$C257*VLOOKUP($B257,'4. CÀI ĐẶT'!$A$2:$H$32,2,FALSE)))</f>
        <v/>
      </c>
      <c r="F257" s="67">
        <f>IF($B257="",0,IF(LEFT($B257,1)="━",0,$C257*VLOOKUP($B257,'4. CÀI ĐẶT'!$A$2:$H$32,3,FALSE)))</f>
        <v/>
      </c>
      <c r="G257" s="67">
        <f>IF($B257="",0,IF(LEFT($B257,1)="━",0,$C257*VLOOKUP($B257,'4. CÀI ĐẶT'!$A$2:$H$32,4,FALSE)))</f>
        <v/>
      </c>
      <c r="H257" s="67">
        <f>IF($B257="",0,IF(LEFT($B257,1)="━",0,$C257*VLOOKUP($B257,'4. CÀI ĐẶT'!$A$2:$H$32,5,FALSE)))</f>
        <v/>
      </c>
      <c r="I257">
        <f>IF($B257="","",IF(LEFT($B257,1)="━","",VLOOKUP($B257,'4. CÀI ĐẶT'!$A$2:$H$32,6,FALSE)))</f>
        <v/>
      </c>
      <c r="J257" s="13">
        <f>IF($A257="","",EOMONTH($A257,0))</f>
        <v/>
      </c>
      <c r="K257" s="67">
        <f>IF($B257="",0,IF(LEFT($B257,1)="━",0,$C257*VLOOKUP($B257,'4. CÀI ĐẶT'!$A$2:$H$32,7,FALSE)))</f>
        <v/>
      </c>
    </row>
    <row r="258">
      <c r="A258" s="8" t="n"/>
      <c r="B258" s="9" t="n"/>
      <c r="C258" s="65" t="n"/>
      <c r="D258" s="9" t="n"/>
      <c r="E258" s="66">
        <f>IF($B258="","",IF(LEFT($B258,1)="━","⚠️ Chọn hạng mục cụ thể",$C258*VLOOKUP($B258,'4. CÀI ĐẶT'!$A$2:$H$32,2,FALSE)))</f>
        <v/>
      </c>
      <c r="F258" s="67">
        <f>IF($B258="",0,IF(LEFT($B258,1)="━",0,$C258*VLOOKUP($B258,'4. CÀI ĐẶT'!$A$2:$H$32,3,FALSE)))</f>
        <v/>
      </c>
      <c r="G258" s="67">
        <f>IF($B258="",0,IF(LEFT($B258,1)="━",0,$C258*VLOOKUP($B258,'4. CÀI ĐẶT'!$A$2:$H$32,4,FALSE)))</f>
        <v/>
      </c>
      <c r="H258" s="67">
        <f>IF($B258="",0,IF(LEFT($B258,1)="━",0,$C258*VLOOKUP($B258,'4. CÀI ĐẶT'!$A$2:$H$32,5,FALSE)))</f>
        <v/>
      </c>
      <c r="I258">
        <f>IF($B258="","",IF(LEFT($B258,1)="━","",VLOOKUP($B258,'4. CÀI ĐẶT'!$A$2:$H$32,6,FALSE)))</f>
        <v/>
      </c>
      <c r="J258" s="13">
        <f>IF($A258="","",EOMONTH($A258,0))</f>
        <v/>
      </c>
      <c r="K258" s="67">
        <f>IF($B258="",0,IF(LEFT($B258,1)="━",0,$C258*VLOOKUP($B258,'4. CÀI ĐẶT'!$A$2:$H$32,7,FALSE)))</f>
        <v/>
      </c>
    </row>
    <row r="259">
      <c r="A259" s="8" t="n"/>
      <c r="B259" s="9" t="n"/>
      <c r="C259" s="65" t="n"/>
      <c r="D259" s="9" t="n"/>
      <c r="E259" s="66">
        <f>IF($B259="","",IF(LEFT($B259,1)="━","⚠️ Chọn hạng mục cụ thể",$C259*VLOOKUP($B259,'4. CÀI ĐẶT'!$A$2:$H$32,2,FALSE)))</f>
        <v/>
      </c>
      <c r="F259" s="67">
        <f>IF($B259="",0,IF(LEFT($B259,1)="━",0,$C259*VLOOKUP($B259,'4. CÀI ĐẶT'!$A$2:$H$32,3,FALSE)))</f>
        <v/>
      </c>
      <c r="G259" s="67">
        <f>IF($B259="",0,IF(LEFT($B259,1)="━",0,$C259*VLOOKUP($B259,'4. CÀI ĐẶT'!$A$2:$H$32,4,FALSE)))</f>
        <v/>
      </c>
      <c r="H259" s="67">
        <f>IF($B259="",0,IF(LEFT($B259,1)="━",0,$C259*VLOOKUP($B259,'4. CÀI ĐẶT'!$A$2:$H$32,5,FALSE)))</f>
        <v/>
      </c>
      <c r="I259">
        <f>IF($B259="","",IF(LEFT($B259,1)="━","",VLOOKUP($B259,'4. CÀI ĐẶT'!$A$2:$H$32,6,FALSE)))</f>
        <v/>
      </c>
      <c r="J259" s="13">
        <f>IF($A259="","",EOMONTH($A259,0))</f>
        <v/>
      </c>
      <c r="K259" s="67">
        <f>IF($B259="",0,IF(LEFT($B259,1)="━",0,$C259*VLOOKUP($B259,'4. CÀI ĐẶT'!$A$2:$H$32,7,FALSE)))</f>
        <v/>
      </c>
    </row>
    <row r="260">
      <c r="A260" s="8" t="n"/>
      <c r="B260" s="9" t="n"/>
      <c r="C260" s="65" t="n"/>
      <c r="D260" s="9" t="n"/>
      <c r="E260" s="66">
        <f>IF($B260="","",IF(LEFT($B260,1)="━","⚠️ Chọn hạng mục cụ thể",$C260*VLOOKUP($B260,'4. CÀI ĐẶT'!$A$2:$H$32,2,FALSE)))</f>
        <v/>
      </c>
      <c r="F260" s="67">
        <f>IF($B260="",0,IF(LEFT($B260,1)="━",0,$C260*VLOOKUP($B260,'4. CÀI ĐẶT'!$A$2:$H$32,3,FALSE)))</f>
        <v/>
      </c>
      <c r="G260" s="67">
        <f>IF($B260="",0,IF(LEFT($B260,1)="━",0,$C260*VLOOKUP($B260,'4. CÀI ĐẶT'!$A$2:$H$32,4,FALSE)))</f>
        <v/>
      </c>
      <c r="H260" s="67">
        <f>IF($B260="",0,IF(LEFT($B260,1)="━",0,$C260*VLOOKUP($B260,'4. CÀI ĐẶT'!$A$2:$H$32,5,FALSE)))</f>
        <v/>
      </c>
      <c r="I260">
        <f>IF($B260="","",IF(LEFT($B260,1)="━","",VLOOKUP($B260,'4. CÀI ĐẶT'!$A$2:$H$32,6,FALSE)))</f>
        <v/>
      </c>
      <c r="J260" s="13">
        <f>IF($A260="","",EOMONTH($A260,0))</f>
        <v/>
      </c>
      <c r="K260" s="67">
        <f>IF($B260="",0,IF(LEFT($B260,1)="━",0,$C260*VLOOKUP($B260,'4. CÀI ĐẶT'!$A$2:$H$32,7,FALSE)))</f>
        <v/>
      </c>
    </row>
    <row r="261">
      <c r="A261" s="8" t="n"/>
      <c r="B261" s="9" t="n"/>
      <c r="C261" s="65" t="n"/>
      <c r="D261" s="9" t="n"/>
      <c r="E261" s="66">
        <f>IF($B261="","",IF(LEFT($B261,1)="━","⚠️ Chọn hạng mục cụ thể",$C261*VLOOKUP($B261,'4. CÀI ĐẶT'!$A$2:$H$32,2,FALSE)))</f>
        <v/>
      </c>
      <c r="F261" s="67">
        <f>IF($B261="",0,IF(LEFT($B261,1)="━",0,$C261*VLOOKUP($B261,'4. CÀI ĐẶT'!$A$2:$H$32,3,FALSE)))</f>
        <v/>
      </c>
      <c r="G261" s="67">
        <f>IF($B261="",0,IF(LEFT($B261,1)="━",0,$C261*VLOOKUP($B261,'4. CÀI ĐẶT'!$A$2:$H$32,4,FALSE)))</f>
        <v/>
      </c>
      <c r="H261" s="67">
        <f>IF($B261="",0,IF(LEFT($B261,1)="━",0,$C261*VLOOKUP($B261,'4. CÀI ĐẶT'!$A$2:$H$32,5,FALSE)))</f>
        <v/>
      </c>
      <c r="I261">
        <f>IF($B261="","",IF(LEFT($B261,1)="━","",VLOOKUP($B261,'4. CÀI ĐẶT'!$A$2:$H$32,6,FALSE)))</f>
        <v/>
      </c>
      <c r="J261" s="13">
        <f>IF($A261="","",EOMONTH($A261,0))</f>
        <v/>
      </c>
      <c r="K261" s="67">
        <f>IF($B261="",0,IF(LEFT($B261,1)="━",0,$C261*VLOOKUP($B261,'4. CÀI ĐẶT'!$A$2:$H$32,7,FALSE)))</f>
        <v/>
      </c>
    </row>
    <row r="262">
      <c r="A262" s="8" t="n"/>
      <c r="B262" s="9" t="n"/>
      <c r="C262" s="65" t="n"/>
      <c r="D262" s="9" t="n"/>
      <c r="E262" s="66">
        <f>IF($B262="","",IF(LEFT($B262,1)="━","⚠️ Chọn hạng mục cụ thể",$C262*VLOOKUP($B262,'4. CÀI ĐẶT'!$A$2:$H$32,2,FALSE)))</f>
        <v/>
      </c>
      <c r="F262" s="67">
        <f>IF($B262="",0,IF(LEFT($B262,1)="━",0,$C262*VLOOKUP($B262,'4. CÀI ĐẶT'!$A$2:$H$32,3,FALSE)))</f>
        <v/>
      </c>
      <c r="G262" s="67">
        <f>IF($B262="",0,IF(LEFT($B262,1)="━",0,$C262*VLOOKUP($B262,'4. CÀI ĐẶT'!$A$2:$H$32,4,FALSE)))</f>
        <v/>
      </c>
      <c r="H262" s="67">
        <f>IF($B262="",0,IF(LEFT($B262,1)="━",0,$C262*VLOOKUP($B262,'4. CÀI ĐẶT'!$A$2:$H$32,5,FALSE)))</f>
        <v/>
      </c>
      <c r="I262">
        <f>IF($B262="","",IF(LEFT($B262,1)="━","",VLOOKUP($B262,'4. CÀI ĐẶT'!$A$2:$H$32,6,FALSE)))</f>
        <v/>
      </c>
      <c r="J262" s="13">
        <f>IF($A262="","",EOMONTH($A262,0))</f>
        <v/>
      </c>
      <c r="K262" s="67">
        <f>IF($B262="",0,IF(LEFT($B262,1)="━",0,$C262*VLOOKUP($B262,'4. CÀI ĐẶT'!$A$2:$H$32,7,FALSE)))</f>
        <v/>
      </c>
    </row>
    <row r="263">
      <c r="A263" s="8" t="n"/>
      <c r="B263" s="9" t="n"/>
      <c r="C263" s="65" t="n"/>
      <c r="D263" s="9" t="n"/>
      <c r="E263" s="66">
        <f>IF($B263="","",IF(LEFT($B263,1)="━","⚠️ Chọn hạng mục cụ thể",$C263*VLOOKUP($B263,'4. CÀI ĐẶT'!$A$2:$H$32,2,FALSE)))</f>
        <v/>
      </c>
      <c r="F263" s="67">
        <f>IF($B263="",0,IF(LEFT($B263,1)="━",0,$C263*VLOOKUP($B263,'4. CÀI ĐẶT'!$A$2:$H$32,3,FALSE)))</f>
        <v/>
      </c>
      <c r="G263" s="67">
        <f>IF($B263="",0,IF(LEFT($B263,1)="━",0,$C263*VLOOKUP($B263,'4. CÀI ĐẶT'!$A$2:$H$32,4,FALSE)))</f>
        <v/>
      </c>
      <c r="H263" s="67">
        <f>IF($B263="",0,IF(LEFT($B263,1)="━",0,$C263*VLOOKUP($B263,'4. CÀI ĐẶT'!$A$2:$H$32,5,FALSE)))</f>
        <v/>
      </c>
      <c r="I263">
        <f>IF($B263="","",IF(LEFT($B263,1)="━","",VLOOKUP($B263,'4. CÀI ĐẶT'!$A$2:$H$32,6,FALSE)))</f>
        <v/>
      </c>
      <c r="J263" s="13">
        <f>IF($A263="","",EOMONTH($A263,0))</f>
        <v/>
      </c>
      <c r="K263" s="67">
        <f>IF($B263="",0,IF(LEFT($B263,1)="━",0,$C263*VLOOKUP($B263,'4. CÀI ĐẶT'!$A$2:$H$32,7,FALSE)))</f>
        <v/>
      </c>
    </row>
    <row r="264">
      <c r="A264" s="8" t="n"/>
      <c r="B264" s="9" t="n"/>
      <c r="C264" s="65" t="n"/>
      <c r="D264" s="9" t="n"/>
      <c r="E264" s="66">
        <f>IF($B264="","",IF(LEFT($B264,1)="━","⚠️ Chọn hạng mục cụ thể",$C264*VLOOKUP($B264,'4. CÀI ĐẶT'!$A$2:$H$32,2,FALSE)))</f>
        <v/>
      </c>
      <c r="F264" s="67">
        <f>IF($B264="",0,IF(LEFT($B264,1)="━",0,$C264*VLOOKUP($B264,'4. CÀI ĐẶT'!$A$2:$H$32,3,FALSE)))</f>
        <v/>
      </c>
      <c r="G264" s="67">
        <f>IF($B264="",0,IF(LEFT($B264,1)="━",0,$C264*VLOOKUP($B264,'4. CÀI ĐẶT'!$A$2:$H$32,4,FALSE)))</f>
        <v/>
      </c>
      <c r="H264" s="67">
        <f>IF($B264="",0,IF(LEFT($B264,1)="━",0,$C264*VLOOKUP($B264,'4. CÀI ĐẶT'!$A$2:$H$32,5,FALSE)))</f>
        <v/>
      </c>
      <c r="I264">
        <f>IF($B264="","",IF(LEFT($B264,1)="━","",VLOOKUP($B264,'4. CÀI ĐẶT'!$A$2:$H$32,6,FALSE)))</f>
        <v/>
      </c>
      <c r="J264" s="13">
        <f>IF($A264="","",EOMONTH($A264,0))</f>
        <v/>
      </c>
      <c r="K264" s="67">
        <f>IF($B264="",0,IF(LEFT($B264,1)="━",0,$C264*VLOOKUP($B264,'4. CÀI ĐẶT'!$A$2:$H$32,7,FALSE)))</f>
        <v/>
      </c>
    </row>
    <row r="265">
      <c r="A265" s="8" t="n"/>
      <c r="B265" s="9" t="n"/>
      <c r="C265" s="65" t="n"/>
      <c r="D265" s="9" t="n"/>
      <c r="E265" s="66">
        <f>IF($B265="","",IF(LEFT($B265,1)="━","⚠️ Chọn hạng mục cụ thể",$C265*VLOOKUP($B265,'4. CÀI ĐẶT'!$A$2:$H$32,2,FALSE)))</f>
        <v/>
      </c>
      <c r="F265" s="67">
        <f>IF($B265="",0,IF(LEFT($B265,1)="━",0,$C265*VLOOKUP($B265,'4. CÀI ĐẶT'!$A$2:$H$32,3,FALSE)))</f>
        <v/>
      </c>
      <c r="G265" s="67">
        <f>IF($B265="",0,IF(LEFT($B265,1)="━",0,$C265*VLOOKUP($B265,'4. CÀI ĐẶT'!$A$2:$H$32,4,FALSE)))</f>
        <v/>
      </c>
      <c r="H265" s="67">
        <f>IF($B265="",0,IF(LEFT($B265,1)="━",0,$C265*VLOOKUP($B265,'4. CÀI ĐẶT'!$A$2:$H$32,5,FALSE)))</f>
        <v/>
      </c>
      <c r="I265">
        <f>IF($B265="","",IF(LEFT($B265,1)="━","",VLOOKUP($B265,'4. CÀI ĐẶT'!$A$2:$H$32,6,FALSE)))</f>
        <v/>
      </c>
      <c r="J265" s="13">
        <f>IF($A265="","",EOMONTH($A265,0))</f>
        <v/>
      </c>
      <c r="K265" s="67">
        <f>IF($B265="",0,IF(LEFT($B265,1)="━",0,$C265*VLOOKUP($B265,'4. CÀI ĐẶT'!$A$2:$H$32,7,FALSE)))</f>
        <v/>
      </c>
    </row>
    <row r="266">
      <c r="A266" s="8" t="n"/>
      <c r="B266" s="9" t="n"/>
      <c r="C266" s="65" t="n"/>
      <c r="D266" s="9" t="n"/>
      <c r="E266" s="66">
        <f>IF($B266="","",IF(LEFT($B266,1)="━","⚠️ Chọn hạng mục cụ thể",$C266*VLOOKUP($B266,'4. CÀI ĐẶT'!$A$2:$H$32,2,FALSE)))</f>
        <v/>
      </c>
      <c r="F266" s="67">
        <f>IF($B266="",0,IF(LEFT($B266,1)="━",0,$C266*VLOOKUP($B266,'4. CÀI ĐẶT'!$A$2:$H$32,3,FALSE)))</f>
        <v/>
      </c>
      <c r="G266" s="67">
        <f>IF($B266="",0,IF(LEFT($B266,1)="━",0,$C266*VLOOKUP($B266,'4. CÀI ĐẶT'!$A$2:$H$32,4,FALSE)))</f>
        <v/>
      </c>
      <c r="H266" s="67">
        <f>IF($B266="",0,IF(LEFT($B266,1)="━",0,$C266*VLOOKUP($B266,'4. CÀI ĐẶT'!$A$2:$H$32,5,FALSE)))</f>
        <v/>
      </c>
      <c r="I266">
        <f>IF($B266="","",IF(LEFT($B266,1)="━","",VLOOKUP($B266,'4. CÀI ĐẶT'!$A$2:$H$32,6,FALSE)))</f>
        <v/>
      </c>
      <c r="J266" s="13">
        <f>IF($A266="","",EOMONTH($A266,0))</f>
        <v/>
      </c>
      <c r="K266" s="67">
        <f>IF($B266="",0,IF(LEFT($B266,1)="━",0,$C266*VLOOKUP($B266,'4. CÀI ĐẶT'!$A$2:$H$32,7,FALSE)))</f>
        <v/>
      </c>
    </row>
    <row r="267">
      <c r="A267" s="8" t="n"/>
      <c r="B267" s="9" t="n"/>
      <c r="C267" s="65" t="n"/>
      <c r="D267" s="9" t="n"/>
      <c r="E267" s="66">
        <f>IF($B267="","",IF(LEFT($B267,1)="━","⚠️ Chọn hạng mục cụ thể",$C267*VLOOKUP($B267,'4. CÀI ĐẶT'!$A$2:$H$32,2,FALSE)))</f>
        <v/>
      </c>
      <c r="F267" s="67">
        <f>IF($B267="",0,IF(LEFT($B267,1)="━",0,$C267*VLOOKUP($B267,'4. CÀI ĐẶT'!$A$2:$H$32,3,FALSE)))</f>
        <v/>
      </c>
      <c r="G267" s="67">
        <f>IF($B267="",0,IF(LEFT($B267,1)="━",0,$C267*VLOOKUP($B267,'4. CÀI ĐẶT'!$A$2:$H$32,4,FALSE)))</f>
        <v/>
      </c>
      <c r="H267" s="67">
        <f>IF($B267="",0,IF(LEFT($B267,1)="━",0,$C267*VLOOKUP($B267,'4. CÀI ĐẶT'!$A$2:$H$32,5,FALSE)))</f>
        <v/>
      </c>
      <c r="I267">
        <f>IF($B267="","",IF(LEFT($B267,1)="━","",VLOOKUP($B267,'4. CÀI ĐẶT'!$A$2:$H$32,6,FALSE)))</f>
        <v/>
      </c>
      <c r="J267" s="13">
        <f>IF($A267="","",EOMONTH($A267,0))</f>
        <v/>
      </c>
      <c r="K267" s="67">
        <f>IF($B267="",0,IF(LEFT($B267,1)="━",0,$C267*VLOOKUP($B267,'4. CÀI ĐẶT'!$A$2:$H$32,7,FALSE)))</f>
        <v/>
      </c>
    </row>
    <row r="268">
      <c r="A268" s="8" t="n"/>
      <c r="B268" s="9" t="n"/>
      <c r="C268" s="65" t="n"/>
      <c r="D268" s="9" t="n"/>
      <c r="E268" s="66">
        <f>IF($B268="","",IF(LEFT($B268,1)="━","⚠️ Chọn hạng mục cụ thể",$C268*VLOOKUP($B268,'4. CÀI ĐẶT'!$A$2:$H$32,2,FALSE)))</f>
        <v/>
      </c>
      <c r="F268" s="67">
        <f>IF($B268="",0,IF(LEFT($B268,1)="━",0,$C268*VLOOKUP($B268,'4. CÀI ĐẶT'!$A$2:$H$32,3,FALSE)))</f>
        <v/>
      </c>
      <c r="G268" s="67">
        <f>IF($B268="",0,IF(LEFT($B268,1)="━",0,$C268*VLOOKUP($B268,'4. CÀI ĐẶT'!$A$2:$H$32,4,FALSE)))</f>
        <v/>
      </c>
      <c r="H268" s="67">
        <f>IF($B268="",0,IF(LEFT($B268,1)="━",0,$C268*VLOOKUP($B268,'4. CÀI ĐẶT'!$A$2:$H$32,5,FALSE)))</f>
        <v/>
      </c>
      <c r="I268">
        <f>IF($B268="","",IF(LEFT($B268,1)="━","",VLOOKUP($B268,'4. CÀI ĐẶT'!$A$2:$H$32,6,FALSE)))</f>
        <v/>
      </c>
      <c r="J268" s="13">
        <f>IF($A268="","",EOMONTH($A268,0))</f>
        <v/>
      </c>
      <c r="K268" s="67">
        <f>IF($B268="",0,IF(LEFT($B268,1)="━",0,$C268*VLOOKUP($B268,'4. CÀI ĐẶT'!$A$2:$H$32,7,FALSE)))</f>
        <v/>
      </c>
    </row>
    <row r="269">
      <c r="A269" s="8" t="n"/>
      <c r="B269" s="9" t="n"/>
      <c r="C269" s="65" t="n"/>
      <c r="D269" s="9" t="n"/>
      <c r="E269" s="66">
        <f>IF($B269="","",IF(LEFT($B269,1)="━","⚠️ Chọn hạng mục cụ thể",$C269*VLOOKUP($B269,'4. CÀI ĐẶT'!$A$2:$H$32,2,FALSE)))</f>
        <v/>
      </c>
      <c r="F269" s="67">
        <f>IF($B269="",0,IF(LEFT($B269,1)="━",0,$C269*VLOOKUP($B269,'4. CÀI ĐẶT'!$A$2:$H$32,3,FALSE)))</f>
        <v/>
      </c>
      <c r="G269" s="67">
        <f>IF($B269="",0,IF(LEFT($B269,1)="━",0,$C269*VLOOKUP($B269,'4. CÀI ĐẶT'!$A$2:$H$32,4,FALSE)))</f>
        <v/>
      </c>
      <c r="H269" s="67">
        <f>IF($B269="",0,IF(LEFT($B269,1)="━",0,$C269*VLOOKUP($B269,'4. CÀI ĐẶT'!$A$2:$H$32,5,FALSE)))</f>
        <v/>
      </c>
      <c r="I269">
        <f>IF($B269="","",IF(LEFT($B269,1)="━","",VLOOKUP($B269,'4. CÀI ĐẶT'!$A$2:$H$32,6,FALSE)))</f>
        <v/>
      </c>
      <c r="J269" s="13">
        <f>IF($A269="","",EOMONTH($A269,0))</f>
        <v/>
      </c>
      <c r="K269" s="67">
        <f>IF($B269="",0,IF(LEFT($B269,1)="━",0,$C269*VLOOKUP($B269,'4. CÀI ĐẶT'!$A$2:$H$32,7,FALSE)))</f>
        <v/>
      </c>
    </row>
    <row r="270">
      <c r="A270" s="8" t="n"/>
      <c r="B270" s="9" t="n"/>
      <c r="C270" s="65" t="n"/>
      <c r="D270" s="9" t="n"/>
      <c r="E270" s="66">
        <f>IF($B270="","",IF(LEFT($B270,1)="━","⚠️ Chọn hạng mục cụ thể",$C270*VLOOKUP($B270,'4. CÀI ĐẶT'!$A$2:$H$32,2,FALSE)))</f>
        <v/>
      </c>
      <c r="F270" s="67">
        <f>IF($B270="",0,IF(LEFT($B270,1)="━",0,$C270*VLOOKUP($B270,'4. CÀI ĐẶT'!$A$2:$H$32,3,FALSE)))</f>
        <v/>
      </c>
      <c r="G270" s="67">
        <f>IF($B270="",0,IF(LEFT($B270,1)="━",0,$C270*VLOOKUP($B270,'4. CÀI ĐẶT'!$A$2:$H$32,4,FALSE)))</f>
        <v/>
      </c>
      <c r="H270" s="67">
        <f>IF($B270="",0,IF(LEFT($B270,1)="━",0,$C270*VLOOKUP($B270,'4. CÀI ĐẶT'!$A$2:$H$32,5,FALSE)))</f>
        <v/>
      </c>
      <c r="I270">
        <f>IF($B270="","",IF(LEFT($B270,1)="━","",VLOOKUP($B270,'4. CÀI ĐẶT'!$A$2:$H$32,6,FALSE)))</f>
        <v/>
      </c>
      <c r="J270" s="13">
        <f>IF($A270="","",EOMONTH($A270,0))</f>
        <v/>
      </c>
      <c r="K270" s="67">
        <f>IF($B270="",0,IF(LEFT($B270,1)="━",0,$C270*VLOOKUP($B270,'4. CÀI ĐẶT'!$A$2:$H$32,7,FALSE)))</f>
        <v/>
      </c>
    </row>
    <row r="271">
      <c r="A271" s="8" t="n"/>
      <c r="B271" s="9" t="n"/>
      <c r="C271" s="65" t="n"/>
      <c r="D271" s="9" t="n"/>
      <c r="E271" s="66">
        <f>IF($B271="","",IF(LEFT($B271,1)="━","⚠️ Chọn hạng mục cụ thể",$C271*VLOOKUP($B271,'4. CÀI ĐẶT'!$A$2:$H$32,2,FALSE)))</f>
        <v/>
      </c>
      <c r="F271" s="67">
        <f>IF($B271="",0,IF(LEFT($B271,1)="━",0,$C271*VLOOKUP($B271,'4. CÀI ĐẶT'!$A$2:$H$32,3,FALSE)))</f>
        <v/>
      </c>
      <c r="G271" s="67">
        <f>IF($B271="",0,IF(LEFT($B271,1)="━",0,$C271*VLOOKUP($B271,'4. CÀI ĐẶT'!$A$2:$H$32,4,FALSE)))</f>
        <v/>
      </c>
      <c r="H271" s="67">
        <f>IF($B271="",0,IF(LEFT($B271,1)="━",0,$C271*VLOOKUP($B271,'4. CÀI ĐẶT'!$A$2:$H$32,5,FALSE)))</f>
        <v/>
      </c>
      <c r="I271">
        <f>IF($B271="","",IF(LEFT($B271,1)="━","",VLOOKUP($B271,'4. CÀI ĐẶT'!$A$2:$H$32,6,FALSE)))</f>
        <v/>
      </c>
      <c r="J271" s="13">
        <f>IF($A271="","",EOMONTH($A271,0))</f>
        <v/>
      </c>
      <c r="K271" s="67">
        <f>IF($B271="",0,IF(LEFT($B271,1)="━",0,$C271*VLOOKUP($B271,'4. CÀI ĐẶT'!$A$2:$H$32,7,FALSE)))</f>
        <v/>
      </c>
    </row>
    <row r="272">
      <c r="A272" s="8" t="n"/>
      <c r="B272" s="9" t="n"/>
      <c r="C272" s="65" t="n"/>
      <c r="D272" s="9" t="n"/>
      <c r="E272" s="66">
        <f>IF($B272="","",IF(LEFT($B272,1)="━","⚠️ Chọn hạng mục cụ thể",$C272*VLOOKUP($B272,'4. CÀI ĐẶT'!$A$2:$H$32,2,FALSE)))</f>
        <v/>
      </c>
      <c r="F272" s="67">
        <f>IF($B272="",0,IF(LEFT($B272,1)="━",0,$C272*VLOOKUP($B272,'4. CÀI ĐẶT'!$A$2:$H$32,3,FALSE)))</f>
        <v/>
      </c>
      <c r="G272" s="67">
        <f>IF($B272="",0,IF(LEFT($B272,1)="━",0,$C272*VLOOKUP($B272,'4. CÀI ĐẶT'!$A$2:$H$32,4,FALSE)))</f>
        <v/>
      </c>
      <c r="H272" s="67">
        <f>IF($B272="",0,IF(LEFT($B272,1)="━",0,$C272*VLOOKUP($B272,'4. CÀI ĐẶT'!$A$2:$H$32,5,FALSE)))</f>
        <v/>
      </c>
      <c r="I272">
        <f>IF($B272="","",IF(LEFT($B272,1)="━","",VLOOKUP($B272,'4. CÀI ĐẶT'!$A$2:$H$32,6,FALSE)))</f>
        <v/>
      </c>
      <c r="J272" s="13">
        <f>IF($A272="","",EOMONTH($A272,0))</f>
        <v/>
      </c>
      <c r="K272" s="67">
        <f>IF($B272="",0,IF(LEFT($B272,1)="━",0,$C272*VLOOKUP($B272,'4. CÀI ĐẶT'!$A$2:$H$32,7,FALSE)))</f>
        <v/>
      </c>
    </row>
    <row r="273">
      <c r="A273" s="8" t="n"/>
      <c r="B273" s="9" t="n"/>
      <c r="C273" s="65" t="n"/>
      <c r="D273" s="9" t="n"/>
      <c r="E273" s="66">
        <f>IF($B273="","",IF(LEFT($B273,1)="━","⚠️ Chọn hạng mục cụ thể",$C273*VLOOKUP($B273,'4. CÀI ĐẶT'!$A$2:$H$32,2,FALSE)))</f>
        <v/>
      </c>
      <c r="F273" s="67">
        <f>IF($B273="",0,IF(LEFT($B273,1)="━",0,$C273*VLOOKUP($B273,'4. CÀI ĐẶT'!$A$2:$H$32,3,FALSE)))</f>
        <v/>
      </c>
      <c r="G273" s="67">
        <f>IF($B273="",0,IF(LEFT($B273,1)="━",0,$C273*VLOOKUP($B273,'4. CÀI ĐẶT'!$A$2:$H$32,4,FALSE)))</f>
        <v/>
      </c>
      <c r="H273" s="67">
        <f>IF($B273="",0,IF(LEFT($B273,1)="━",0,$C273*VLOOKUP($B273,'4. CÀI ĐẶT'!$A$2:$H$32,5,FALSE)))</f>
        <v/>
      </c>
      <c r="I273">
        <f>IF($B273="","",IF(LEFT($B273,1)="━","",VLOOKUP($B273,'4. CÀI ĐẶT'!$A$2:$H$32,6,FALSE)))</f>
        <v/>
      </c>
      <c r="J273" s="13">
        <f>IF($A273="","",EOMONTH($A273,0))</f>
        <v/>
      </c>
      <c r="K273" s="67">
        <f>IF($B273="",0,IF(LEFT($B273,1)="━",0,$C273*VLOOKUP($B273,'4. CÀI ĐẶT'!$A$2:$H$32,7,FALSE)))</f>
        <v/>
      </c>
    </row>
    <row r="274">
      <c r="A274" s="8" t="n"/>
      <c r="B274" s="9" t="n"/>
      <c r="C274" s="65" t="n"/>
      <c r="D274" s="9" t="n"/>
      <c r="E274" s="66">
        <f>IF($B274="","",IF(LEFT($B274,1)="━","⚠️ Chọn hạng mục cụ thể",$C274*VLOOKUP($B274,'4. CÀI ĐẶT'!$A$2:$H$32,2,FALSE)))</f>
        <v/>
      </c>
      <c r="F274" s="67">
        <f>IF($B274="",0,IF(LEFT($B274,1)="━",0,$C274*VLOOKUP($B274,'4. CÀI ĐẶT'!$A$2:$H$32,3,FALSE)))</f>
        <v/>
      </c>
      <c r="G274" s="67">
        <f>IF($B274="",0,IF(LEFT($B274,1)="━",0,$C274*VLOOKUP($B274,'4. CÀI ĐẶT'!$A$2:$H$32,4,FALSE)))</f>
        <v/>
      </c>
      <c r="H274" s="67">
        <f>IF($B274="",0,IF(LEFT($B274,1)="━",0,$C274*VLOOKUP($B274,'4. CÀI ĐẶT'!$A$2:$H$32,5,FALSE)))</f>
        <v/>
      </c>
      <c r="I274">
        <f>IF($B274="","",IF(LEFT($B274,1)="━","",VLOOKUP($B274,'4. CÀI ĐẶT'!$A$2:$H$32,6,FALSE)))</f>
        <v/>
      </c>
      <c r="J274" s="13">
        <f>IF($A274="","",EOMONTH($A274,0))</f>
        <v/>
      </c>
      <c r="K274" s="67">
        <f>IF($B274="",0,IF(LEFT($B274,1)="━",0,$C274*VLOOKUP($B274,'4. CÀI ĐẶT'!$A$2:$H$32,7,FALSE)))</f>
        <v/>
      </c>
    </row>
    <row r="275">
      <c r="A275" s="8" t="n"/>
      <c r="B275" s="9" t="n"/>
      <c r="C275" s="65" t="n"/>
      <c r="D275" s="9" t="n"/>
      <c r="E275" s="66">
        <f>IF($B275="","",IF(LEFT($B275,1)="━","⚠️ Chọn hạng mục cụ thể",$C275*VLOOKUP($B275,'4. CÀI ĐẶT'!$A$2:$H$32,2,FALSE)))</f>
        <v/>
      </c>
      <c r="F275" s="67">
        <f>IF($B275="",0,IF(LEFT($B275,1)="━",0,$C275*VLOOKUP($B275,'4. CÀI ĐẶT'!$A$2:$H$32,3,FALSE)))</f>
        <v/>
      </c>
      <c r="G275" s="67">
        <f>IF($B275="",0,IF(LEFT($B275,1)="━",0,$C275*VLOOKUP($B275,'4. CÀI ĐẶT'!$A$2:$H$32,4,FALSE)))</f>
        <v/>
      </c>
      <c r="H275" s="67">
        <f>IF($B275="",0,IF(LEFT($B275,1)="━",0,$C275*VLOOKUP($B275,'4. CÀI ĐẶT'!$A$2:$H$32,5,FALSE)))</f>
        <v/>
      </c>
      <c r="I275">
        <f>IF($B275="","",IF(LEFT($B275,1)="━","",VLOOKUP($B275,'4. CÀI ĐẶT'!$A$2:$H$32,6,FALSE)))</f>
        <v/>
      </c>
      <c r="J275" s="13">
        <f>IF($A275="","",EOMONTH($A275,0))</f>
        <v/>
      </c>
      <c r="K275" s="67">
        <f>IF($B275="",0,IF(LEFT($B275,1)="━",0,$C275*VLOOKUP($B275,'4. CÀI ĐẶT'!$A$2:$H$32,7,FALSE)))</f>
        <v/>
      </c>
    </row>
    <row r="276">
      <c r="A276" s="8" t="n"/>
      <c r="B276" s="9" t="n"/>
      <c r="C276" s="65" t="n"/>
      <c r="D276" s="9" t="n"/>
      <c r="E276" s="66">
        <f>IF($B276="","",IF(LEFT($B276,1)="━","⚠️ Chọn hạng mục cụ thể",$C276*VLOOKUP($B276,'4. CÀI ĐẶT'!$A$2:$H$32,2,FALSE)))</f>
        <v/>
      </c>
      <c r="F276" s="67">
        <f>IF($B276="",0,IF(LEFT($B276,1)="━",0,$C276*VLOOKUP($B276,'4. CÀI ĐẶT'!$A$2:$H$32,3,FALSE)))</f>
        <v/>
      </c>
      <c r="G276" s="67">
        <f>IF($B276="",0,IF(LEFT($B276,1)="━",0,$C276*VLOOKUP($B276,'4. CÀI ĐẶT'!$A$2:$H$32,4,FALSE)))</f>
        <v/>
      </c>
      <c r="H276" s="67">
        <f>IF($B276="",0,IF(LEFT($B276,1)="━",0,$C276*VLOOKUP($B276,'4. CÀI ĐẶT'!$A$2:$H$32,5,FALSE)))</f>
        <v/>
      </c>
      <c r="I276">
        <f>IF($B276="","",IF(LEFT($B276,1)="━","",VLOOKUP($B276,'4. CÀI ĐẶT'!$A$2:$H$32,6,FALSE)))</f>
        <v/>
      </c>
      <c r="J276" s="13">
        <f>IF($A276="","",EOMONTH($A276,0))</f>
        <v/>
      </c>
      <c r="K276" s="67">
        <f>IF($B276="",0,IF(LEFT($B276,1)="━",0,$C276*VLOOKUP($B276,'4. CÀI ĐẶT'!$A$2:$H$32,7,FALSE)))</f>
        <v/>
      </c>
    </row>
    <row r="277">
      <c r="A277" s="8" t="n"/>
      <c r="B277" s="9" t="n"/>
      <c r="C277" s="65" t="n"/>
      <c r="D277" s="9" t="n"/>
      <c r="E277" s="66">
        <f>IF($B277="","",IF(LEFT($B277,1)="━","⚠️ Chọn hạng mục cụ thể",$C277*VLOOKUP($B277,'4. CÀI ĐẶT'!$A$2:$H$32,2,FALSE)))</f>
        <v/>
      </c>
      <c r="F277" s="67">
        <f>IF($B277="",0,IF(LEFT($B277,1)="━",0,$C277*VLOOKUP($B277,'4. CÀI ĐẶT'!$A$2:$H$32,3,FALSE)))</f>
        <v/>
      </c>
      <c r="G277" s="67">
        <f>IF($B277="",0,IF(LEFT($B277,1)="━",0,$C277*VLOOKUP($B277,'4. CÀI ĐẶT'!$A$2:$H$32,4,FALSE)))</f>
        <v/>
      </c>
      <c r="H277" s="67">
        <f>IF($B277="",0,IF(LEFT($B277,1)="━",0,$C277*VLOOKUP($B277,'4. CÀI ĐẶT'!$A$2:$H$32,5,FALSE)))</f>
        <v/>
      </c>
      <c r="I277">
        <f>IF($B277="","",IF(LEFT($B277,1)="━","",VLOOKUP($B277,'4. CÀI ĐẶT'!$A$2:$H$32,6,FALSE)))</f>
        <v/>
      </c>
      <c r="J277" s="13">
        <f>IF($A277="","",EOMONTH($A277,0))</f>
        <v/>
      </c>
      <c r="K277" s="67">
        <f>IF($B277="",0,IF(LEFT($B277,1)="━",0,$C277*VLOOKUP($B277,'4. CÀI ĐẶT'!$A$2:$H$32,7,FALSE)))</f>
        <v/>
      </c>
    </row>
    <row r="278">
      <c r="A278" s="8" t="n"/>
      <c r="B278" s="9" t="n"/>
      <c r="C278" s="65" t="n"/>
      <c r="D278" s="9" t="n"/>
      <c r="E278" s="66">
        <f>IF($B278="","",IF(LEFT($B278,1)="━","⚠️ Chọn hạng mục cụ thể",$C278*VLOOKUP($B278,'4. CÀI ĐẶT'!$A$2:$H$32,2,FALSE)))</f>
        <v/>
      </c>
      <c r="F278" s="67">
        <f>IF($B278="",0,IF(LEFT($B278,1)="━",0,$C278*VLOOKUP($B278,'4. CÀI ĐẶT'!$A$2:$H$32,3,FALSE)))</f>
        <v/>
      </c>
      <c r="G278" s="67">
        <f>IF($B278="",0,IF(LEFT($B278,1)="━",0,$C278*VLOOKUP($B278,'4. CÀI ĐẶT'!$A$2:$H$32,4,FALSE)))</f>
        <v/>
      </c>
      <c r="H278" s="67">
        <f>IF($B278="",0,IF(LEFT($B278,1)="━",0,$C278*VLOOKUP($B278,'4. CÀI ĐẶT'!$A$2:$H$32,5,FALSE)))</f>
        <v/>
      </c>
      <c r="I278">
        <f>IF($B278="","",IF(LEFT($B278,1)="━","",VLOOKUP($B278,'4. CÀI ĐẶT'!$A$2:$H$32,6,FALSE)))</f>
        <v/>
      </c>
      <c r="J278" s="13">
        <f>IF($A278="","",EOMONTH($A278,0))</f>
        <v/>
      </c>
      <c r="K278" s="67">
        <f>IF($B278="",0,IF(LEFT($B278,1)="━",0,$C278*VLOOKUP($B278,'4. CÀI ĐẶT'!$A$2:$H$32,7,FALSE)))</f>
        <v/>
      </c>
    </row>
    <row r="279">
      <c r="A279" s="8" t="n"/>
      <c r="B279" s="9" t="n"/>
      <c r="C279" s="65" t="n"/>
      <c r="D279" s="9" t="n"/>
      <c r="E279" s="66">
        <f>IF($B279="","",IF(LEFT($B279,1)="━","⚠️ Chọn hạng mục cụ thể",$C279*VLOOKUP($B279,'4. CÀI ĐẶT'!$A$2:$H$32,2,FALSE)))</f>
        <v/>
      </c>
      <c r="F279" s="67">
        <f>IF($B279="",0,IF(LEFT($B279,1)="━",0,$C279*VLOOKUP($B279,'4. CÀI ĐẶT'!$A$2:$H$32,3,FALSE)))</f>
        <v/>
      </c>
      <c r="G279" s="67">
        <f>IF($B279="",0,IF(LEFT($B279,1)="━",0,$C279*VLOOKUP($B279,'4. CÀI ĐẶT'!$A$2:$H$32,4,FALSE)))</f>
        <v/>
      </c>
      <c r="H279" s="67">
        <f>IF($B279="",0,IF(LEFT($B279,1)="━",0,$C279*VLOOKUP($B279,'4. CÀI ĐẶT'!$A$2:$H$32,5,FALSE)))</f>
        <v/>
      </c>
      <c r="I279">
        <f>IF($B279="","",IF(LEFT($B279,1)="━","",VLOOKUP($B279,'4. CÀI ĐẶT'!$A$2:$H$32,6,FALSE)))</f>
        <v/>
      </c>
      <c r="J279" s="13">
        <f>IF($A279="","",EOMONTH($A279,0))</f>
        <v/>
      </c>
      <c r="K279" s="67">
        <f>IF($B279="",0,IF(LEFT($B279,1)="━",0,$C279*VLOOKUP($B279,'4. CÀI ĐẶT'!$A$2:$H$32,7,FALSE)))</f>
        <v/>
      </c>
    </row>
    <row r="280">
      <c r="A280" s="8" t="n"/>
      <c r="B280" s="9" t="n"/>
      <c r="C280" s="65" t="n"/>
      <c r="D280" s="9" t="n"/>
      <c r="E280" s="66">
        <f>IF($B280="","",IF(LEFT($B280,1)="━","⚠️ Chọn hạng mục cụ thể",$C280*VLOOKUP($B280,'4. CÀI ĐẶT'!$A$2:$H$32,2,FALSE)))</f>
        <v/>
      </c>
      <c r="F280" s="67">
        <f>IF($B280="",0,IF(LEFT($B280,1)="━",0,$C280*VLOOKUP($B280,'4. CÀI ĐẶT'!$A$2:$H$32,3,FALSE)))</f>
        <v/>
      </c>
      <c r="G280" s="67">
        <f>IF($B280="",0,IF(LEFT($B280,1)="━",0,$C280*VLOOKUP($B280,'4. CÀI ĐẶT'!$A$2:$H$32,4,FALSE)))</f>
        <v/>
      </c>
      <c r="H280" s="67">
        <f>IF($B280="",0,IF(LEFT($B280,1)="━",0,$C280*VLOOKUP($B280,'4. CÀI ĐẶT'!$A$2:$H$32,5,FALSE)))</f>
        <v/>
      </c>
      <c r="I280">
        <f>IF($B280="","",IF(LEFT($B280,1)="━","",VLOOKUP($B280,'4. CÀI ĐẶT'!$A$2:$H$32,6,FALSE)))</f>
        <v/>
      </c>
      <c r="J280" s="13">
        <f>IF($A280="","",EOMONTH($A280,0))</f>
        <v/>
      </c>
      <c r="K280" s="67">
        <f>IF($B280="",0,IF(LEFT($B280,1)="━",0,$C280*VLOOKUP($B280,'4. CÀI ĐẶT'!$A$2:$H$32,7,FALSE)))</f>
        <v/>
      </c>
    </row>
    <row r="281">
      <c r="A281" s="8" t="n"/>
      <c r="B281" s="9" t="n"/>
      <c r="C281" s="65" t="n"/>
      <c r="D281" s="9" t="n"/>
      <c r="E281" s="66">
        <f>IF($B281="","",IF(LEFT($B281,1)="━","⚠️ Chọn hạng mục cụ thể",$C281*VLOOKUP($B281,'4. CÀI ĐẶT'!$A$2:$H$32,2,FALSE)))</f>
        <v/>
      </c>
      <c r="F281" s="67">
        <f>IF($B281="",0,IF(LEFT($B281,1)="━",0,$C281*VLOOKUP($B281,'4. CÀI ĐẶT'!$A$2:$H$32,3,FALSE)))</f>
        <v/>
      </c>
      <c r="G281" s="67">
        <f>IF($B281="",0,IF(LEFT($B281,1)="━",0,$C281*VLOOKUP($B281,'4. CÀI ĐẶT'!$A$2:$H$32,4,FALSE)))</f>
        <v/>
      </c>
      <c r="H281" s="67">
        <f>IF($B281="",0,IF(LEFT($B281,1)="━",0,$C281*VLOOKUP($B281,'4. CÀI ĐẶT'!$A$2:$H$32,5,FALSE)))</f>
        <v/>
      </c>
      <c r="I281">
        <f>IF($B281="","",IF(LEFT($B281,1)="━","",VLOOKUP($B281,'4. CÀI ĐẶT'!$A$2:$H$32,6,FALSE)))</f>
        <v/>
      </c>
      <c r="J281" s="13">
        <f>IF($A281="","",EOMONTH($A281,0))</f>
        <v/>
      </c>
      <c r="K281" s="67">
        <f>IF($B281="",0,IF(LEFT($B281,1)="━",0,$C281*VLOOKUP($B281,'4. CÀI ĐẶT'!$A$2:$H$32,7,FALSE)))</f>
        <v/>
      </c>
    </row>
    <row r="282">
      <c r="A282" s="8" t="n"/>
      <c r="B282" s="9" t="n"/>
      <c r="C282" s="65" t="n"/>
      <c r="D282" s="9" t="n"/>
      <c r="E282" s="66">
        <f>IF($B282="","",IF(LEFT($B282,1)="━","⚠️ Chọn hạng mục cụ thể",$C282*VLOOKUP($B282,'4. CÀI ĐẶT'!$A$2:$H$32,2,FALSE)))</f>
        <v/>
      </c>
      <c r="F282" s="67">
        <f>IF($B282="",0,IF(LEFT($B282,1)="━",0,$C282*VLOOKUP($B282,'4. CÀI ĐẶT'!$A$2:$H$32,3,FALSE)))</f>
        <v/>
      </c>
      <c r="G282" s="67">
        <f>IF($B282="",0,IF(LEFT($B282,1)="━",0,$C282*VLOOKUP($B282,'4. CÀI ĐẶT'!$A$2:$H$32,4,FALSE)))</f>
        <v/>
      </c>
      <c r="H282" s="67">
        <f>IF($B282="",0,IF(LEFT($B282,1)="━",0,$C282*VLOOKUP($B282,'4. CÀI ĐẶT'!$A$2:$H$32,5,FALSE)))</f>
        <v/>
      </c>
      <c r="I282">
        <f>IF($B282="","",IF(LEFT($B282,1)="━","",VLOOKUP($B282,'4. CÀI ĐẶT'!$A$2:$H$32,6,FALSE)))</f>
        <v/>
      </c>
      <c r="J282" s="13">
        <f>IF($A282="","",EOMONTH($A282,0))</f>
        <v/>
      </c>
      <c r="K282" s="67">
        <f>IF($B282="",0,IF(LEFT($B282,1)="━",0,$C282*VLOOKUP($B282,'4. CÀI ĐẶT'!$A$2:$H$32,7,FALSE)))</f>
        <v/>
      </c>
    </row>
    <row r="283">
      <c r="A283" s="8" t="n"/>
      <c r="B283" s="9" t="n"/>
      <c r="C283" s="65" t="n"/>
      <c r="D283" s="9" t="n"/>
      <c r="E283" s="66">
        <f>IF($B283="","",IF(LEFT($B283,1)="━","⚠️ Chọn hạng mục cụ thể",$C283*VLOOKUP($B283,'4. CÀI ĐẶT'!$A$2:$H$32,2,FALSE)))</f>
        <v/>
      </c>
      <c r="F283" s="67">
        <f>IF($B283="",0,IF(LEFT($B283,1)="━",0,$C283*VLOOKUP($B283,'4. CÀI ĐẶT'!$A$2:$H$32,3,FALSE)))</f>
        <v/>
      </c>
      <c r="G283" s="67">
        <f>IF($B283="",0,IF(LEFT($B283,1)="━",0,$C283*VLOOKUP($B283,'4. CÀI ĐẶT'!$A$2:$H$32,4,FALSE)))</f>
        <v/>
      </c>
      <c r="H283" s="67">
        <f>IF($B283="",0,IF(LEFT($B283,1)="━",0,$C283*VLOOKUP($B283,'4. CÀI ĐẶT'!$A$2:$H$32,5,FALSE)))</f>
        <v/>
      </c>
      <c r="I283">
        <f>IF($B283="","",IF(LEFT($B283,1)="━","",VLOOKUP($B283,'4. CÀI ĐẶT'!$A$2:$H$32,6,FALSE)))</f>
        <v/>
      </c>
      <c r="J283" s="13">
        <f>IF($A283="","",EOMONTH($A283,0))</f>
        <v/>
      </c>
      <c r="K283" s="67">
        <f>IF($B283="",0,IF(LEFT($B283,1)="━",0,$C283*VLOOKUP($B283,'4. CÀI ĐẶT'!$A$2:$H$32,7,FALSE)))</f>
        <v/>
      </c>
    </row>
    <row r="284">
      <c r="A284" s="8" t="n"/>
      <c r="B284" s="9" t="n"/>
      <c r="C284" s="65" t="n"/>
      <c r="D284" s="9" t="n"/>
      <c r="E284" s="66">
        <f>IF($B284="","",IF(LEFT($B284,1)="━","⚠️ Chọn hạng mục cụ thể",$C284*VLOOKUP($B284,'4. CÀI ĐẶT'!$A$2:$H$32,2,FALSE)))</f>
        <v/>
      </c>
      <c r="F284" s="67">
        <f>IF($B284="",0,IF(LEFT($B284,1)="━",0,$C284*VLOOKUP($B284,'4. CÀI ĐẶT'!$A$2:$H$32,3,FALSE)))</f>
        <v/>
      </c>
      <c r="G284" s="67">
        <f>IF($B284="",0,IF(LEFT($B284,1)="━",0,$C284*VLOOKUP($B284,'4. CÀI ĐẶT'!$A$2:$H$32,4,FALSE)))</f>
        <v/>
      </c>
      <c r="H284" s="67">
        <f>IF($B284="",0,IF(LEFT($B284,1)="━",0,$C284*VLOOKUP($B284,'4. CÀI ĐẶT'!$A$2:$H$32,5,FALSE)))</f>
        <v/>
      </c>
      <c r="I284">
        <f>IF($B284="","",IF(LEFT($B284,1)="━","",VLOOKUP($B284,'4. CÀI ĐẶT'!$A$2:$H$32,6,FALSE)))</f>
        <v/>
      </c>
      <c r="J284" s="13">
        <f>IF($A284="","",EOMONTH($A284,0))</f>
        <v/>
      </c>
      <c r="K284" s="67">
        <f>IF($B284="",0,IF(LEFT($B284,1)="━",0,$C284*VLOOKUP($B284,'4. CÀI ĐẶT'!$A$2:$H$32,7,FALSE)))</f>
        <v/>
      </c>
    </row>
    <row r="285">
      <c r="A285" s="8" t="n"/>
      <c r="B285" s="9" t="n"/>
      <c r="C285" s="65" t="n"/>
      <c r="D285" s="9" t="n"/>
      <c r="E285" s="66">
        <f>IF($B285="","",IF(LEFT($B285,1)="━","⚠️ Chọn hạng mục cụ thể",$C285*VLOOKUP($B285,'4. CÀI ĐẶT'!$A$2:$H$32,2,FALSE)))</f>
        <v/>
      </c>
      <c r="F285" s="67">
        <f>IF($B285="",0,IF(LEFT($B285,1)="━",0,$C285*VLOOKUP($B285,'4. CÀI ĐẶT'!$A$2:$H$32,3,FALSE)))</f>
        <v/>
      </c>
      <c r="G285" s="67">
        <f>IF($B285="",0,IF(LEFT($B285,1)="━",0,$C285*VLOOKUP($B285,'4. CÀI ĐẶT'!$A$2:$H$32,4,FALSE)))</f>
        <v/>
      </c>
      <c r="H285" s="67">
        <f>IF($B285="",0,IF(LEFT($B285,1)="━",0,$C285*VLOOKUP($B285,'4. CÀI ĐẶT'!$A$2:$H$32,5,FALSE)))</f>
        <v/>
      </c>
      <c r="I285">
        <f>IF($B285="","",IF(LEFT($B285,1)="━","",VLOOKUP($B285,'4. CÀI ĐẶT'!$A$2:$H$32,6,FALSE)))</f>
        <v/>
      </c>
      <c r="J285" s="13">
        <f>IF($A285="","",EOMONTH($A285,0))</f>
        <v/>
      </c>
      <c r="K285" s="67">
        <f>IF($B285="",0,IF(LEFT($B285,1)="━",0,$C285*VLOOKUP($B285,'4. CÀI ĐẶT'!$A$2:$H$32,7,FALSE)))</f>
        <v/>
      </c>
    </row>
    <row r="286">
      <c r="A286" s="8" t="n"/>
      <c r="B286" s="9" t="n"/>
      <c r="C286" s="65" t="n"/>
      <c r="D286" s="9" t="n"/>
      <c r="E286" s="66">
        <f>IF($B286="","",IF(LEFT($B286,1)="━","⚠️ Chọn hạng mục cụ thể",$C286*VLOOKUP($B286,'4. CÀI ĐẶT'!$A$2:$H$32,2,FALSE)))</f>
        <v/>
      </c>
      <c r="F286" s="67">
        <f>IF($B286="",0,IF(LEFT($B286,1)="━",0,$C286*VLOOKUP($B286,'4. CÀI ĐẶT'!$A$2:$H$32,3,FALSE)))</f>
        <v/>
      </c>
      <c r="G286" s="67">
        <f>IF($B286="",0,IF(LEFT($B286,1)="━",0,$C286*VLOOKUP($B286,'4. CÀI ĐẶT'!$A$2:$H$32,4,FALSE)))</f>
        <v/>
      </c>
      <c r="H286" s="67">
        <f>IF($B286="",0,IF(LEFT($B286,1)="━",0,$C286*VLOOKUP($B286,'4. CÀI ĐẶT'!$A$2:$H$32,5,FALSE)))</f>
        <v/>
      </c>
      <c r="I286">
        <f>IF($B286="","",IF(LEFT($B286,1)="━","",VLOOKUP($B286,'4. CÀI ĐẶT'!$A$2:$H$32,6,FALSE)))</f>
        <v/>
      </c>
      <c r="J286" s="13">
        <f>IF($A286="","",EOMONTH($A286,0))</f>
        <v/>
      </c>
      <c r="K286" s="67">
        <f>IF($B286="",0,IF(LEFT($B286,1)="━",0,$C286*VLOOKUP($B286,'4. CÀI ĐẶT'!$A$2:$H$32,7,FALSE)))</f>
        <v/>
      </c>
    </row>
    <row r="287">
      <c r="A287" s="8" t="n"/>
      <c r="B287" s="9" t="n"/>
      <c r="C287" s="65" t="n"/>
      <c r="D287" s="9" t="n"/>
      <c r="E287" s="66">
        <f>IF($B287="","",IF(LEFT($B287,1)="━","⚠️ Chọn hạng mục cụ thể",$C287*VLOOKUP($B287,'4. CÀI ĐẶT'!$A$2:$H$32,2,FALSE)))</f>
        <v/>
      </c>
      <c r="F287" s="67">
        <f>IF($B287="",0,IF(LEFT($B287,1)="━",0,$C287*VLOOKUP($B287,'4. CÀI ĐẶT'!$A$2:$H$32,3,FALSE)))</f>
        <v/>
      </c>
      <c r="G287" s="67">
        <f>IF($B287="",0,IF(LEFT($B287,1)="━",0,$C287*VLOOKUP($B287,'4. CÀI ĐẶT'!$A$2:$H$32,4,FALSE)))</f>
        <v/>
      </c>
      <c r="H287" s="67">
        <f>IF($B287="",0,IF(LEFT($B287,1)="━",0,$C287*VLOOKUP($B287,'4. CÀI ĐẶT'!$A$2:$H$32,5,FALSE)))</f>
        <v/>
      </c>
      <c r="I287">
        <f>IF($B287="","",IF(LEFT($B287,1)="━","",VLOOKUP($B287,'4. CÀI ĐẶT'!$A$2:$H$32,6,FALSE)))</f>
        <v/>
      </c>
      <c r="J287" s="13">
        <f>IF($A287="","",EOMONTH($A287,0))</f>
        <v/>
      </c>
      <c r="K287" s="67">
        <f>IF($B287="",0,IF(LEFT($B287,1)="━",0,$C287*VLOOKUP($B287,'4. CÀI ĐẶT'!$A$2:$H$32,7,FALSE)))</f>
        <v/>
      </c>
    </row>
    <row r="288">
      <c r="A288" s="8" t="n"/>
      <c r="B288" s="9" t="n"/>
      <c r="C288" s="65" t="n"/>
      <c r="D288" s="9" t="n"/>
      <c r="E288" s="66">
        <f>IF($B288="","",IF(LEFT($B288,1)="━","⚠️ Chọn hạng mục cụ thể",$C288*VLOOKUP($B288,'4. CÀI ĐẶT'!$A$2:$H$32,2,FALSE)))</f>
        <v/>
      </c>
      <c r="F288" s="67">
        <f>IF($B288="",0,IF(LEFT($B288,1)="━",0,$C288*VLOOKUP($B288,'4. CÀI ĐẶT'!$A$2:$H$32,3,FALSE)))</f>
        <v/>
      </c>
      <c r="G288" s="67">
        <f>IF($B288="",0,IF(LEFT($B288,1)="━",0,$C288*VLOOKUP($B288,'4. CÀI ĐẶT'!$A$2:$H$32,4,FALSE)))</f>
        <v/>
      </c>
      <c r="H288" s="67">
        <f>IF($B288="",0,IF(LEFT($B288,1)="━",0,$C288*VLOOKUP($B288,'4. CÀI ĐẶT'!$A$2:$H$32,5,FALSE)))</f>
        <v/>
      </c>
      <c r="I288">
        <f>IF($B288="","",IF(LEFT($B288,1)="━","",VLOOKUP($B288,'4. CÀI ĐẶT'!$A$2:$H$32,6,FALSE)))</f>
        <v/>
      </c>
      <c r="J288" s="13">
        <f>IF($A288="","",EOMONTH($A288,0))</f>
        <v/>
      </c>
      <c r="K288" s="67">
        <f>IF($B288="",0,IF(LEFT($B288,1)="━",0,$C288*VLOOKUP($B288,'4. CÀI ĐẶT'!$A$2:$H$32,7,FALSE)))</f>
        <v/>
      </c>
    </row>
    <row r="289">
      <c r="A289" s="8" t="n"/>
      <c r="B289" s="9" t="n"/>
      <c r="C289" s="65" t="n"/>
      <c r="D289" s="9" t="n"/>
      <c r="E289" s="66">
        <f>IF($B289="","",IF(LEFT($B289,1)="━","⚠️ Chọn hạng mục cụ thể",$C289*VLOOKUP($B289,'4. CÀI ĐẶT'!$A$2:$H$32,2,FALSE)))</f>
        <v/>
      </c>
      <c r="F289" s="67">
        <f>IF($B289="",0,IF(LEFT($B289,1)="━",0,$C289*VLOOKUP($B289,'4. CÀI ĐẶT'!$A$2:$H$32,3,FALSE)))</f>
        <v/>
      </c>
      <c r="G289" s="67">
        <f>IF($B289="",0,IF(LEFT($B289,1)="━",0,$C289*VLOOKUP($B289,'4. CÀI ĐẶT'!$A$2:$H$32,4,FALSE)))</f>
        <v/>
      </c>
      <c r="H289" s="67">
        <f>IF($B289="",0,IF(LEFT($B289,1)="━",0,$C289*VLOOKUP($B289,'4. CÀI ĐẶT'!$A$2:$H$32,5,FALSE)))</f>
        <v/>
      </c>
      <c r="I289">
        <f>IF($B289="","",IF(LEFT($B289,1)="━","",VLOOKUP($B289,'4. CÀI ĐẶT'!$A$2:$H$32,6,FALSE)))</f>
        <v/>
      </c>
      <c r="J289" s="13">
        <f>IF($A289="","",EOMONTH($A289,0))</f>
        <v/>
      </c>
      <c r="K289" s="67">
        <f>IF($B289="",0,IF(LEFT($B289,1)="━",0,$C289*VLOOKUP($B289,'4. CÀI ĐẶT'!$A$2:$H$32,7,FALSE)))</f>
        <v/>
      </c>
    </row>
    <row r="290">
      <c r="A290" s="8" t="n"/>
      <c r="B290" s="9" t="n"/>
      <c r="C290" s="65" t="n"/>
      <c r="D290" s="9" t="n"/>
      <c r="E290" s="66">
        <f>IF($B290="","",IF(LEFT($B290,1)="━","⚠️ Chọn hạng mục cụ thể",$C290*VLOOKUP($B290,'4. CÀI ĐẶT'!$A$2:$H$32,2,FALSE)))</f>
        <v/>
      </c>
      <c r="F290" s="67">
        <f>IF($B290="",0,IF(LEFT($B290,1)="━",0,$C290*VLOOKUP($B290,'4. CÀI ĐẶT'!$A$2:$H$32,3,FALSE)))</f>
        <v/>
      </c>
      <c r="G290" s="67">
        <f>IF($B290="",0,IF(LEFT($B290,1)="━",0,$C290*VLOOKUP($B290,'4. CÀI ĐẶT'!$A$2:$H$32,4,FALSE)))</f>
        <v/>
      </c>
      <c r="H290" s="67">
        <f>IF($B290="",0,IF(LEFT($B290,1)="━",0,$C290*VLOOKUP($B290,'4. CÀI ĐẶT'!$A$2:$H$32,5,FALSE)))</f>
        <v/>
      </c>
      <c r="I290">
        <f>IF($B290="","",IF(LEFT($B290,1)="━","",VLOOKUP($B290,'4. CÀI ĐẶT'!$A$2:$H$32,6,FALSE)))</f>
        <v/>
      </c>
      <c r="J290" s="13">
        <f>IF($A290="","",EOMONTH($A290,0))</f>
        <v/>
      </c>
      <c r="K290" s="67">
        <f>IF($B290="",0,IF(LEFT($B290,1)="━",0,$C290*VLOOKUP($B290,'4. CÀI ĐẶT'!$A$2:$H$32,7,FALSE)))</f>
        <v/>
      </c>
    </row>
    <row r="291">
      <c r="A291" s="8" t="n"/>
      <c r="B291" s="9" t="n"/>
      <c r="C291" s="65" t="n"/>
      <c r="D291" s="9" t="n"/>
      <c r="E291" s="66">
        <f>IF($B291="","",IF(LEFT($B291,1)="━","⚠️ Chọn hạng mục cụ thể",$C291*VLOOKUP($B291,'4. CÀI ĐẶT'!$A$2:$H$32,2,FALSE)))</f>
        <v/>
      </c>
      <c r="F291" s="67">
        <f>IF($B291="",0,IF(LEFT($B291,1)="━",0,$C291*VLOOKUP($B291,'4. CÀI ĐẶT'!$A$2:$H$32,3,FALSE)))</f>
        <v/>
      </c>
      <c r="G291" s="67">
        <f>IF($B291="",0,IF(LEFT($B291,1)="━",0,$C291*VLOOKUP($B291,'4. CÀI ĐẶT'!$A$2:$H$32,4,FALSE)))</f>
        <v/>
      </c>
      <c r="H291" s="67">
        <f>IF($B291="",0,IF(LEFT($B291,1)="━",0,$C291*VLOOKUP($B291,'4. CÀI ĐẶT'!$A$2:$H$32,5,FALSE)))</f>
        <v/>
      </c>
      <c r="I291">
        <f>IF($B291="","",IF(LEFT($B291,1)="━","",VLOOKUP($B291,'4. CÀI ĐẶT'!$A$2:$H$32,6,FALSE)))</f>
        <v/>
      </c>
      <c r="J291" s="13">
        <f>IF($A291="","",EOMONTH($A291,0))</f>
        <v/>
      </c>
      <c r="K291" s="67">
        <f>IF($B291="",0,IF(LEFT($B291,1)="━",0,$C291*VLOOKUP($B291,'4. CÀI ĐẶT'!$A$2:$H$32,7,FALSE)))</f>
        <v/>
      </c>
    </row>
    <row r="292">
      <c r="A292" s="8" t="n"/>
      <c r="B292" s="9" t="n"/>
      <c r="C292" s="65" t="n"/>
      <c r="D292" s="9" t="n"/>
      <c r="E292" s="66">
        <f>IF($B292="","",IF(LEFT($B292,1)="━","⚠️ Chọn hạng mục cụ thể",$C292*VLOOKUP($B292,'4. CÀI ĐẶT'!$A$2:$H$32,2,FALSE)))</f>
        <v/>
      </c>
      <c r="F292" s="67">
        <f>IF($B292="",0,IF(LEFT($B292,1)="━",0,$C292*VLOOKUP($B292,'4. CÀI ĐẶT'!$A$2:$H$32,3,FALSE)))</f>
        <v/>
      </c>
      <c r="G292" s="67">
        <f>IF($B292="",0,IF(LEFT($B292,1)="━",0,$C292*VLOOKUP($B292,'4. CÀI ĐẶT'!$A$2:$H$32,4,FALSE)))</f>
        <v/>
      </c>
      <c r="H292" s="67">
        <f>IF($B292="",0,IF(LEFT($B292,1)="━",0,$C292*VLOOKUP($B292,'4. CÀI ĐẶT'!$A$2:$H$32,5,FALSE)))</f>
        <v/>
      </c>
      <c r="I292">
        <f>IF($B292="","",IF(LEFT($B292,1)="━","",VLOOKUP($B292,'4. CÀI ĐẶT'!$A$2:$H$32,6,FALSE)))</f>
        <v/>
      </c>
      <c r="J292" s="13">
        <f>IF($A292="","",EOMONTH($A292,0))</f>
        <v/>
      </c>
      <c r="K292" s="67">
        <f>IF($B292="",0,IF(LEFT($B292,1)="━",0,$C292*VLOOKUP($B292,'4. CÀI ĐẶT'!$A$2:$H$32,7,FALSE)))</f>
        <v/>
      </c>
    </row>
    <row r="293">
      <c r="A293" s="8" t="n"/>
      <c r="B293" s="9" t="n"/>
      <c r="C293" s="65" t="n"/>
      <c r="D293" s="9" t="n"/>
      <c r="E293" s="66">
        <f>IF($B293="","",IF(LEFT($B293,1)="━","⚠️ Chọn hạng mục cụ thể",$C293*VLOOKUP($B293,'4. CÀI ĐẶT'!$A$2:$H$32,2,FALSE)))</f>
        <v/>
      </c>
      <c r="F293" s="67">
        <f>IF($B293="",0,IF(LEFT($B293,1)="━",0,$C293*VLOOKUP($B293,'4. CÀI ĐẶT'!$A$2:$H$32,3,FALSE)))</f>
        <v/>
      </c>
      <c r="G293" s="67">
        <f>IF($B293="",0,IF(LEFT($B293,1)="━",0,$C293*VLOOKUP($B293,'4. CÀI ĐẶT'!$A$2:$H$32,4,FALSE)))</f>
        <v/>
      </c>
      <c r="H293" s="67">
        <f>IF($B293="",0,IF(LEFT($B293,1)="━",0,$C293*VLOOKUP($B293,'4. CÀI ĐẶT'!$A$2:$H$32,5,FALSE)))</f>
        <v/>
      </c>
      <c r="I293">
        <f>IF($B293="","",IF(LEFT($B293,1)="━","",VLOOKUP($B293,'4. CÀI ĐẶT'!$A$2:$H$32,6,FALSE)))</f>
        <v/>
      </c>
      <c r="J293" s="13">
        <f>IF($A293="","",EOMONTH($A293,0))</f>
        <v/>
      </c>
      <c r="K293" s="67">
        <f>IF($B293="",0,IF(LEFT($B293,1)="━",0,$C293*VLOOKUP($B293,'4. CÀI ĐẶT'!$A$2:$H$32,7,FALSE)))</f>
        <v/>
      </c>
    </row>
    <row r="294">
      <c r="A294" s="8" t="n"/>
      <c r="B294" s="9" t="n"/>
      <c r="C294" s="65" t="n"/>
      <c r="D294" s="9" t="n"/>
      <c r="E294" s="66">
        <f>IF($B294="","",IF(LEFT($B294,1)="━","⚠️ Chọn hạng mục cụ thể",$C294*VLOOKUP($B294,'4. CÀI ĐẶT'!$A$2:$H$32,2,FALSE)))</f>
        <v/>
      </c>
      <c r="F294" s="67">
        <f>IF($B294="",0,IF(LEFT($B294,1)="━",0,$C294*VLOOKUP($B294,'4. CÀI ĐẶT'!$A$2:$H$32,3,FALSE)))</f>
        <v/>
      </c>
      <c r="G294" s="67">
        <f>IF($B294="",0,IF(LEFT($B294,1)="━",0,$C294*VLOOKUP($B294,'4. CÀI ĐẶT'!$A$2:$H$32,4,FALSE)))</f>
        <v/>
      </c>
      <c r="H294" s="67">
        <f>IF($B294="",0,IF(LEFT($B294,1)="━",0,$C294*VLOOKUP($B294,'4. CÀI ĐẶT'!$A$2:$H$32,5,FALSE)))</f>
        <v/>
      </c>
      <c r="I294">
        <f>IF($B294="","",IF(LEFT($B294,1)="━","",VLOOKUP($B294,'4. CÀI ĐẶT'!$A$2:$H$32,6,FALSE)))</f>
        <v/>
      </c>
      <c r="J294" s="13">
        <f>IF($A294="","",EOMONTH($A294,0))</f>
        <v/>
      </c>
      <c r="K294" s="67">
        <f>IF($B294="",0,IF(LEFT($B294,1)="━",0,$C294*VLOOKUP($B294,'4. CÀI ĐẶT'!$A$2:$H$32,7,FALSE)))</f>
        <v/>
      </c>
    </row>
    <row r="295">
      <c r="A295" s="8" t="n"/>
      <c r="B295" s="9" t="n"/>
      <c r="C295" s="65" t="n"/>
      <c r="D295" s="9" t="n"/>
      <c r="E295" s="66">
        <f>IF($B295="","",IF(LEFT($B295,1)="━","⚠️ Chọn hạng mục cụ thể",$C295*VLOOKUP($B295,'4. CÀI ĐẶT'!$A$2:$H$32,2,FALSE)))</f>
        <v/>
      </c>
      <c r="F295" s="67">
        <f>IF($B295="",0,IF(LEFT($B295,1)="━",0,$C295*VLOOKUP($B295,'4. CÀI ĐẶT'!$A$2:$H$32,3,FALSE)))</f>
        <v/>
      </c>
      <c r="G295" s="67">
        <f>IF($B295="",0,IF(LEFT($B295,1)="━",0,$C295*VLOOKUP($B295,'4. CÀI ĐẶT'!$A$2:$H$32,4,FALSE)))</f>
        <v/>
      </c>
      <c r="H295" s="67">
        <f>IF($B295="",0,IF(LEFT($B295,1)="━",0,$C295*VLOOKUP($B295,'4. CÀI ĐẶT'!$A$2:$H$32,5,FALSE)))</f>
        <v/>
      </c>
      <c r="I295">
        <f>IF($B295="","",IF(LEFT($B295,1)="━","",VLOOKUP($B295,'4. CÀI ĐẶT'!$A$2:$H$32,6,FALSE)))</f>
        <v/>
      </c>
      <c r="J295" s="13">
        <f>IF($A295="","",EOMONTH($A295,0))</f>
        <v/>
      </c>
      <c r="K295" s="67">
        <f>IF($B295="",0,IF(LEFT($B295,1)="━",0,$C295*VLOOKUP($B295,'4. CÀI ĐẶT'!$A$2:$H$32,7,FALSE)))</f>
        <v/>
      </c>
    </row>
    <row r="296">
      <c r="A296" s="8" t="n"/>
      <c r="B296" s="9" t="n"/>
      <c r="C296" s="65" t="n"/>
      <c r="D296" s="9" t="n"/>
      <c r="E296" s="66">
        <f>IF($B296="","",IF(LEFT($B296,1)="━","⚠️ Chọn hạng mục cụ thể",$C296*VLOOKUP($B296,'4. CÀI ĐẶT'!$A$2:$H$32,2,FALSE)))</f>
        <v/>
      </c>
      <c r="F296" s="67">
        <f>IF($B296="",0,IF(LEFT($B296,1)="━",0,$C296*VLOOKUP($B296,'4. CÀI ĐẶT'!$A$2:$H$32,3,FALSE)))</f>
        <v/>
      </c>
      <c r="G296" s="67">
        <f>IF($B296="",0,IF(LEFT($B296,1)="━",0,$C296*VLOOKUP($B296,'4. CÀI ĐẶT'!$A$2:$H$32,4,FALSE)))</f>
        <v/>
      </c>
      <c r="H296" s="67">
        <f>IF($B296="",0,IF(LEFT($B296,1)="━",0,$C296*VLOOKUP($B296,'4. CÀI ĐẶT'!$A$2:$H$32,5,FALSE)))</f>
        <v/>
      </c>
      <c r="I296">
        <f>IF($B296="","",IF(LEFT($B296,1)="━","",VLOOKUP($B296,'4. CÀI ĐẶT'!$A$2:$H$32,6,FALSE)))</f>
        <v/>
      </c>
      <c r="J296" s="13">
        <f>IF($A296="","",EOMONTH($A296,0))</f>
        <v/>
      </c>
      <c r="K296" s="67">
        <f>IF($B296="",0,IF(LEFT($B296,1)="━",0,$C296*VLOOKUP($B296,'4. CÀI ĐẶT'!$A$2:$H$32,7,FALSE)))</f>
        <v/>
      </c>
    </row>
    <row r="297">
      <c r="A297" s="8" t="n"/>
      <c r="B297" s="9" t="n"/>
      <c r="C297" s="65" t="n"/>
      <c r="D297" s="9" t="n"/>
      <c r="E297" s="66">
        <f>IF($B297="","",IF(LEFT($B297,1)="━","⚠️ Chọn hạng mục cụ thể",$C297*VLOOKUP($B297,'4. CÀI ĐẶT'!$A$2:$H$32,2,FALSE)))</f>
        <v/>
      </c>
      <c r="F297" s="67">
        <f>IF($B297="",0,IF(LEFT($B297,1)="━",0,$C297*VLOOKUP($B297,'4. CÀI ĐẶT'!$A$2:$H$32,3,FALSE)))</f>
        <v/>
      </c>
      <c r="G297" s="67">
        <f>IF($B297="",0,IF(LEFT($B297,1)="━",0,$C297*VLOOKUP($B297,'4. CÀI ĐẶT'!$A$2:$H$32,4,FALSE)))</f>
        <v/>
      </c>
      <c r="H297" s="67">
        <f>IF($B297="",0,IF(LEFT($B297,1)="━",0,$C297*VLOOKUP($B297,'4. CÀI ĐẶT'!$A$2:$H$32,5,FALSE)))</f>
        <v/>
      </c>
      <c r="I297">
        <f>IF($B297="","",IF(LEFT($B297,1)="━","",VLOOKUP($B297,'4. CÀI ĐẶT'!$A$2:$H$32,6,FALSE)))</f>
        <v/>
      </c>
      <c r="J297" s="13">
        <f>IF($A297="","",EOMONTH($A297,0))</f>
        <v/>
      </c>
      <c r="K297" s="67">
        <f>IF($B297="",0,IF(LEFT($B297,1)="━",0,$C297*VLOOKUP($B297,'4. CÀI ĐẶT'!$A$2:$H$32,7,FALSE)))</f>
        <v/>
      </c>
    </row>
    <row r="298">
      <c r="A298" s="8" t="n"/>
      <c r="B298" s="9" t="n"/>
      <c r="C298" s="65" t="n"/>
      <c r="D298" s="9" t="n"/>
      <c r="E298" s="66">
        <f>IF($B298="","",IF(LEFT($B298,1)="━","⚠️ Chọn hạng mục cụ thể",$C298*VLOOKUP($B298,'4. CÀI ĐẶT'!$A$2:$H$32,2,FALSE)))</f>
        <v/>
      </c>
      <c r="F298" s="67">
        <f>IF($B298="",0,IF(LEFT($B298,1)="━",0,$C298*VLOOKUP($B298,'4. CÀI ĐẶT'!$A$2:$H$32,3,FALSE)))</f>
        <v/>
      </c>
      <c r="G298" s="67">
        <f>IF($B298="",0,IF(LEFT($B298,1)="━",0,$C298*VLOOKUP($B298,'4. CÀI ĐẶT'!$A$2:$H$32,4,FALSE)))</f>
        <v/>
      </c>
      <c r="H298" s="67">
        <f>IF($B298="",0,IF(LEFT($B298,1)="━",0,$C298*VLOOKUP($B298,'4. CÀI ĐẶT'!$A$2:$H$32,5,FALSE)))</f>
        <v/>
      </c>
      <c r="I298">
        <f>IF($B298="","",IF(LEFT($B298,1)="━","",VLOOKUP($B298,'4. CÀI ĐẶT'!$A$2:$H$32,6,FALSE)))</f>
        <v/>
      </c>
      <c r="J298" s="13">
        <f>IF($A298="","",EOMONTH($A298,0))</f>
        <v/>
      </c>
      <c r="K298" s="67">
        <f>IF($B298="",0,IF(LEFT($B298,1)="━",0,$C298*VLOOKUP($B298,'4. CÀI ĐẶT'!$A$2:$H$32,7,FALSE)))</f>
        <v/>
      </c>
    </row>
    <row r="299">
      <c r="A299" s="8" t="n"/>
      <c r="B299" s="9" t="n"/>
      <c r="C299" s="65" t="n"/>
      <c r="D299" s="9" t="n"/>
      <c r="E299" s="66">
        <f>IF($B299="","",IF(LEFT($B299,1)="━","⚠️ Chọn hạng mục cụ thể",$C299*VLOOKUP($B299,'4. CÀI ĐẶT'!$A$2:$H$32,2,FALSE)))</f>
        <v/>
      </c>
      <c r="F299" s="67">
        <f>IF($B299="",0,IF(LEFT($B299,1)="━",0,$C299*VLOOKUP($B299,'4. CÀI ĐẶT'!$A$2:$H$32,3,FALSE)))</f>
        <v/>
      </c>
      <c r="G299" s="67">
        <f>IF($B299="",0,IF(LEFT($B299,1)="━",0,$C299*VLOOKUP($B299,'4. CÀI ĐẶT'!$A$2:$H$32,4,FALSE)))</f>
        <v/>
      </c>
      <c r="H299" s="67">
        <f>IF($B299="",0,IF(LEFT($B299,1)="━",0,$C299*VLOOKUP($B299,'4. CÀI ĐẶT'!$A$2:$H$32,5,FALSE)))</f>
        <v/>
      </c>
      <c r="I299">
        <f>IF($B299="","",IF(LEFT($B299,1)="━","",VLOOKUP($B299,'4. CÀI ĐẶT'!$A$2:$H$32,6,FALSE)))</f>
        <v/>
      </c>
      <c r="J299" s="13">
        <f>IF($A299="","",EOMONTH($A299,0))</f>
        <v/>
      </c>
      <c r="K299" s="67">
        <f>IF($B299="",0,IF(LEFT($B299,1)="━",0,$C299*VLOOKUP($B299,'4. CÀI ĐẶT'!$A$2:$H$32,7,FALSE)))</f>
        <v/>
      </c>
    </row>
    <row r="300">
      <c r="A300" s="8" t="n"/>
      <c r="B300" s="9" t="n"/>
      <c r="C300" s="65" t="n"/>
      <c r="D300" s="9" t="n"/>
      <c r="E300" s="66">
        <f>IF($B300="","",IF(LEFT($B300,1)="━","⚠️ Chọn hạng mục cụ thể",$C300*VLOOKUP($B300,'4. CÀI ĐẶT'!$A$2:$H$32,2,FALSE)))</f>
        <v/>
      </c>
      <c r="F300" s="67">
        <f>IF($B300="",0,IF(LEFT($B300,1)="━",0,$C300*VLOOKUP($B300,'4. CÀI ĐẶT'!$A$2:$H$32,3,FALSE)))</f>
        <v/>
      </c>
      <c r="G300" s="67">
        <f>IF($B300="",0,IF(LEFT($B300,1)="━",0,$C300*VLOOKUP($B300,'4. CÀI ĐẶT'!$A$2:$H$32,4,FALSE)))</f>
        <v/>
      </c>
      <c r="H300" s="67">
        <f>IF($B300="",0,IF(LEFT($B300,1)="━",0,$C300*VLOOKUP($B300,'4. CÀI ĐẶT'!$A$2:$H$32,5,FALSE)))</f>
        <v/>
      </c>
      <c r="I300">
        <f>IF($B300="","",IF(LEFT($B300,1)="━","",VLOOKUP($B300,'4. CÀI ĐẶT'!$A$2:$H$32,6,FALSE)))</f>
        <v/>
      </c>
      <c r="J300" s="13">
        <f>IF($A300="","",EOMONTH($A300,0))</f>
        <v/>
      </c>
      <c r="K300" s="67">
        <f>IF($B300="",0,IF(LEFT($B300,1)="━",0,$C300*VLOOKUP($B300,'4. CÀI ĐẶT'!$A$2:$H$32,7,FALSE)))</f>
        <v/>
      </c>
    </row>
    <row r="301">
      <c r="A301" s="8" t="n"/>
      <c r="B301" s="9" t="n"/>
      <c r="C301" s="65" t="n"/>
      <c r="D301" s="9" t="n"/>
      <c r="E301" s="66">
        <f>IF($B301="","",IF(LEFT($B301,1)="━","⚠️ Chọn hạng mục cụ thể",$C301*VLOOKUP($B301,'4. CÀI ĐẶT'!$A$2:$H$32,2,FALSE)))</f>
        <v/>
      </c>
      <c r="F301" s="67">
        <f>IF($B301="",0,IF(LEFT($B301,1)="━",0,$C301*VLOOKUP($B301,'4. CÀI ĐẶT'!$A$2:$H$32,3,FALSE)))</f>
        <v/>
      </c>
      <c r="G301" s="67">
        <f>IF($B301="",0,IF(LEFT($B301,1)="━",0,$C301*VLOOKUP($B301,'4. CÀI ĐẶT'!$A$2:$H$32,4,FALSE)))</f>
        <v/>
      </c>
      <c r="H301" s="67">
        <f>IF($B301="",0,IF(LEFT($B301,1)="━",0,$C301*VLOOKUP($B301,'4. CÀI ĐẶT'!$A$2:$H$32,5,FALSE)))</f>
        <v/>
      </c>
      <c r="I301">
        <f>IF($B301="","",IF(LEFT($B301,1)="━","",VLOOKUP($B301,'4. CÀI ĐẶT'!$A$2:$H$32,6,FALSE)))</f>
        <v/>
      </c>
      <c r="J301" s="13">
        <f>IF($A301="","",EOMONTH($A301,0))</f>
        <v/>
      </c>
      <c r="K301" s="67">
        <f>IF($B301="",0,IF(LEFT($B301,1)="━",0,$C301*VLOOKUP($B301,'4. CÀI ĐẶT'!$A$2:$H$32,7,FALSE)))</f>
        <v/>
      </c>
    </row>
    <row r="302">
      <c r="A302" s="8" t="n"/>
      <c r="B302" s="9" t="n"/>
      <c r="C302" s="65" t="n"/>
      <c r="D302" s="9" t="n"/>
      <c r="E302" s="66">
        <f>IF($B302="","",IF(LEFT($B302,1)="━","⚠️ Chọn hạng mục cụ thể",$C302*VLOOKUP($B302,'4. CÀI ĐẶT'!$A$2:$H$32,2,FALSE)))</f>
        <v/>
      </c>
      <c r="F302" s="67">
        <f>IF($B302="",0,IF(LEFT($B302,1)="━",0,$C302*VLOOKUP($B302,'4. CÀI ĐẶT'!$A$2:$H$32,3,FALSE)))</f>
        <v/>
      </c>
      <c r="G302" s="67">
        <f>IF($B302="",0,IF(LEFT($B302,1)="━",0,$C302*VLOOKUP($B302,'4. CÀI ĐẶT'!$A$2:$H$32,4,FALSE)))</f>
        <v/>
      </c>
      <c r="H302" s="67">
        <f>IF($B302="",0,IF(LEFT($B302,1)="━",0,$C302*VLOOKUP($B302,'4. CÀI ĐẶT'!$A$2:$H$32,5,FALSE)))</f>
        <v/>
      </c>
      <c r="I302">
        <f>IF($B302="","",IF(LEFT($B302,1)="━","",VLOOKUP($B302,'4. CÀI ĐẶT'!$A$2:$H$32,6,FALSE)))</f>
        <v/>
      </c>
      <c r="J302" s="13">
        <f>IF($A302="","",EOMONTH($A302,0))</f>
        <v/>
      </c>
      <c r="K302" s="67">
        <f>IF($B302="",0,IF(LEFT($B302,1)="━",0,$C302*VLOOKUP($B302,'4. CÀI ĐẶT'!$A$2:$H$32,7,FALSE)))</f>
        <v/>
      </c>
    </row>
    <row r="303">
      <c r="A303" s="8" t="n"/>
      <c r="B303" s="9" t="n"/>
      <c r="C303" s="65" t="n"/>
      <c r="D303" s="9" t="n"/>
      <c r="E303" s="66">
        <f>IF($B303="","",IF(LEFT($B303,1)="━","⚠️ Chọn hạng mục cụ thể",$C303*VLOOKUP($B303,'4. CÀI ĐẶT'!$A$2:$H$32,2,FALSE)))</f>
        <v/>
      </c>
      <c r="F303" s="67">
        <f>IF($B303="",0,IF(LEFT($B303,1)="━",0,$C303*VLOOKUP($B303,'4. CÀI ĐẶT'!$A$2:$H$32,3,FALSE)))</f>
        <v/>
      </c>
      <c r="G303" s="67">
        <f>IF($B303="",0,IF(LEFT($B303,1)="━",0,$C303*VLOOKUP($B303,'4. CÀI ĐẶT'!$A$2:$H$32,4,FALSE)))</f>
        <v/>
      </c>
      <c r="H303" s="67">
        <f>IF($B303="",0,IF(LEFT($B303,1)="━",0,$C303*VLOOKUP($B303,'4. CÀI ĐẶT'!$A$2:$H$32,5,FALSE)))</f>
        <v/>
      </c>
      <c r="I303">
        <f>IF($B303="","",IF(LEFT($B303,1)="━","",VLOOKUP($B303,'4. CÀI ĐẶT'!$A$2:$H$32,6,FALSE)))</f>
        <v/>
      </c>
      <c r="J303" s="13">
        <f>IF($A303="","",EOMONTH($A303,0))</f>
        <v/>
      </c>
      <c r="K303" s="67">
        <f>IF($B303="",0,IF(LEFT($B303,1)="━",0,$C303*VLOOKUP($B303,'4. CÀI ĐẶT'!$A$2:$H$32,7,FALSE)))</f>
        <v/>
      </c>
    </row>
    <row r="304">
      <c r="A304" s="8" t="n"/>
      <c r="B304" s="9" t="n"/>
      <c r="C304" s="65" t="n"/>
      <c r="D304" s="9" t="n"/>
      <c r="E304" s="66">
        <f>IF($B304="","",IF(LEFT($B304,1)="━","⚠️ Chọn hạng mục cụ thể",$C304*VLOOKUP($B304,'4. CÀI ĐẶT'!$A$2:$H$32,2,FALSE)))</f>
        <v/>
      </c>
      <c r="F304" s="67">
        <f>IF($B304="",0,IF(LEFT($B304,1)="━",0,$C304*VLOOKUP($B304,'4. CÀI ĐẶT'!$A$2:$H$32,3,FALSE)))</f>
        <v/>
      </c>
      <c r="G304" s="67">
        <f>IF($B304="",0,IF(LEFT($B304,1)="━",0,$C304*VLOOKUP($B304,'4. CÀI ĐẶT'!$A$2:$H$32,4,FALSE)))</f>
        <v/>
      </c>
      <c r="H304" s="67">
        <f>IF($B304="",0,IF(LEFT($B304,1)="━",0,$C304*VLOOKUP($B304,'4. CÀI ĐẶT'!$A$2:$H$32,5,FALSE)))</f>
        <v/>
      </c>
      <c r="I304">
        <f>IF($B304="","",IF(LEFT($B304,1)="━","",VLOOKUP($B304,'4. CÀI ĐẶT'!$A$2:$H$32,6,FALSE)))</f>
        <v/>
      </c>
      <c r="J304" s="13">
        <f>IF($A304="","",EOMONTH($A304,0))</f>
        <v/>
      </c>
      <c r="K304" s="67">
        <f>IF($B304="",0,IF(LEFT($B304,1)="━",0,$C304*VLOOKUP($B304,'4. CÀI ĐẶT'!$A$2:$H$32,7,FALSE)))</f>
        <v/>
      </c>
    </row>
    <row r="305">
      <c r="A305" s="8" t="n"/>
      <c r="B305" s="9" t="n"/>
      <c r="C305" s="65" t="n"/>
      <c r="D305" s="9" t="n"/>
      <c r="E305" s="66">
        <f>IF($B305="","",IF(LEFT($B305,1)="━","⚠️ Chọn hạng mục cụ thể",$C305*VLOOKUP($B305,'4. CÀI ĐẶT'!$A$2:$H$32,2,FALSE)))</f>
        <v/>
      </c>
      <c r="F305" s="67">
        <f>IF($B305="",0,IF(LEFT($B305,1)="━",0,$C305*VLOOKUP($B305,'4. CÀI ĐẶT'!$A$2:$H$32,3,FALSE)))</f>
        <v/>
      </c>
      <c r="G305" s="67">
        <f>IF($B305="",0,IF(LEFT($B305,1)="━",0,$C305*VLOOKUP($B305,'4. CÀI ĐẶT'!$A$2:$H$32,4,FALSE)))</f>
        <v/>
      </c>
      <c r="H305" s="67">
        <f>IF($B305="",0,IF(LEFT($B305,1)="━",0,$C305*VLOOKUP($B305,'4. CÀI ĐẶT'!$A$2:$H$32,5,FALSE)))</f>
        <v/>
      </c>
      <c r="I305">
        <f>IF($B305="","",IF(LEFT($B305,1)="━","",VLOOKUP($B305,'4. CÀI ĐẶT'!$A$2:$H$32,6,FALSE)))</f>
        <v/>
      </c>
      <c r="J305" s="13">
        <f>IF($A305="","",EOMONTH($A305,0))</f>
        <v/>
      </c>
      <c r="K305" s="67">
        <f>IF($B305="",0,IF(LEFT($B305,1)="━",0,$C305*VLOOKUP($B305,'4. CÀI ĐẶT'!$A$2:$H$32,7,FALSE)))</f>
        <v/>
      </c>
    </row>
    <row r="306">
      <c r="A306" s="8" t="n"/>
      <c r="B306" s="9" t="n"/>
      <c r="C306" s="65" t="n"/>
      <c r="D306" s="9" t="n"/>
      <c r="E306" s="66">
        <f>IF($B306="","",IF(LEFT($B306,1)="━","⚠️ Chọn hạng mục cụ thể",$C306*VLOOKUP($B306,'4. CÀI ĐẶT'!$A$2:$H$32,2,FALSE)))</f>
        <v/>
      </c>
      <c r="F306" s="67">
        <f>IF($B306="",0,IF(LEFT($B306,1)="━",0,$C306*VLOOKUP($B306,'4. CÀI ĐẶT'!$A$2:$H$32,3,FALSE)))</f>
        <v/>
      </c>
      <c r="G306" s="67">
        <f>IF($B306="",0,IF(LEFT($B306,1)="━",0,$C306*VLOOKUP($B306,'4. CÀI ĐẶT'!$A$2:$H$32,4,FALSE)))</f>
        <v/>
      </c>
      <c r="H306" s="67">
        <f>IF($B306="",0,IF(LEFT($B306,1)="━",0,$C306*VLOOKUP($B306,'4. CÀI ĐẶT'!$A$2:$H$32,5,FALSE)))</f>
        <v/>
      </c>
      <c r="I306">
        <f>IF($B306="","",IF(LEFT($B306,1)="━","",VLOOKUP($B306,'4. CÀI ĐẶT'!$A$2:$H$32,6,FALSE)))</f>
        <v/>
      </c>
      <c r="J306" s="13">
        <f>IF($A306="","",EOMONTH($A306,0))</f>
        <v/>
      </c>
      <c r="K306" s="67">
        <f>IF($B306="",0,IF(LEFT($B306,1)="━",0,$C306*VLOOKUP($B306,'4. CÀI ĐẶT'!$A$2:$H$32,7,FALSE)))</f>
        <v/>
      </c>
    </row>
    <row r="307">
      <c r="A307" s="8" t="n"/>
      <c r="B307" s="9" t="n"/>
      <c r="C307" s="65" t="n"/>
      <c r="D307" s="9" t="n"/>
      <c r="E307" s="66">
        <f>IF($B307="","",IF(LEFT($B307,1)="━","⚠️ Chọn hạng mục cụ thể",$C307*VLOOKUP($B307,'4. CÀI ĐẶT'!$A$2:$H$32,2,FALSE)))</f>
        <v/>
      </c>
      <c r="F307" s="67">
        <f>IF($B307="",0,IF(LEFT($B307,1)="━",0,$C307*VLOOKUP($B307,'4. CÀI ĐẶT'!$A$2:$H$32,3,FALSE)))</f>
        <v/>
      </c>
      <c r="G307" s="67">
        <f>IF($B307="",0,IF(LEFT($B307,1)="━",0,$C307*VLOOKUP($B307,'4. CÀI ĐẶT'!$A$2:$H$32,4,FALSE)))</f>
        <v/>
      </c>
      <c r="H307" s="67">
        <f>IF($B307="",0,IF(LEFT($B307,1)="━",0,$C307*VLOOKUP($B307,'4. CÀI ĐẶT'!$A$2:$H$32,5,FALSE)))</f>
        <v/>
      </c>
      <c r="I307">
        <f>IF($B307="","",IF(LEFT($B307,1)="━","",VLOOKUP($B307,'4. CÀI ĐẶT'!$A$2:$H$32,6,FALSE)))</f>
        <v/>
      </c>
      <c r="J307" s="13">
        <f>IF($A307="","",EOMONTH($A307,0))</f>
        <v/>
      </c>
      <c r="K307" s="67">
        <f>IF($B307="",0,IF(LEFT($B307,1)="━",0,$C307*VLOOKUP($B307,'4. CÀI ĐẶT'!$A$2:$H$32,7,FALSE)))</f>
        <v/>
      </c>
    </row>
    <row r="308">
      <c r="A308" s="8" t="n"/>
      <c r="B308" s="9" t="n"/>
      <c r="C308" s="65" t="n"/>
      <c r="D308" s="9" t="n"/>
      <c r="E308" s="66">
        <f>IF($B308="","",IF(LEFT($B308,1)="━","⚠️ Chọn hạng mục cụ thể",$C308*VLOOKUP($B308,'4. CÀI ĐẶT'!$A$2:$H$32,2,FALSE)))</f>
        <v/>
      </c>
      <c r="F308" s="67">
        <f>IF($B308="",0,IF(LEFT($B308,1)="━",0,$C308*VLOOKUP($B308,'4. CÀI ĐẶT'!$A$2:$H$32,3,FALSE)))</f>
        <v/>
      </c>
      <c r="G308" s="67">
        <f>IF($B308="",0,IF(LEFT($B308,1)="━",0,$C308*VLOOKUP($B308,'4. CÀI ĐẶT'!$A$2:$H$32,4,FALSE)))</f>
        <v/>
      </c>
      <c r="H308" s="67">
        <f>IF($B308="",0,IF(LEFT($B308,1)="━",0,$C308*VLOOKUP($B308,'4. CÀI ĐẶT'!$A$2:$H$32,5,FALSE)))</f>
        <v/>
      </c>
      <c r="I308">
        <f>IF($B308="","",IF(LEFT($B308,1)="━","",VLOOKUP($B308,'4. CÀI ĐẶT'!$A$2:$H$32,6,FALSE)))</f>
        <v/>
      </c>
      <c r="J308" s="13">
        <f>IF($A308="","",EOMONTH($A308,0))</f>
        <v/>
      </c>
      <c r="K308" s="67">
        <f>IF($B308="",0,IF(LEFT($B308,1)="━",0,$C308*VLOOKUP($B308,'4. CÀI ĐẶT'!$A$2:$H$32,7,FALSE)))</f>
        <v/>
      </c>
    </row>
    <row r="309">
      <c r="A309" s="8" t="n"/>
      <c r="B309" s="9" t="n"/>
      <c r="C309" s="65" t="n"/>
      <c r="D309" s="9" t="n"/>
      <c r="E309" s="66">
        <f>IF($B309="","",IF(LEFT($B309,1)="━","⚠️ Chọn hạng mục cụ thể",$C309*VLOOKUP($B309,'4. CÀI ĐẶT'!$A$2:$H$32,2,FALSE)))</f>
        <v/>
      </c>
      <c r="F309" s="67">
        <f>IF($B309="",0,IF(LEFT($B309,1)="━",0,$C309*VLOOKUP($B309,'4. CÀI ĐẶT'!$A$2:$H$32,3,FALSE)))</f>
        <v/>
      </c>
      <c r="G309" s="67">
        <f>IF($B309="",0,IF(LEFT($B309,1)="━",0,$C309*VLOOKUP($B309,'4. CÀI ĐẶT'!$A$2:$H$32,4,FALSE)))</f>
        <v/>
      </c>
      <c r="H309" s="67">
        <f>IF($B309="",0,IF(LEFT($B309,1)="━",0,$C309*VLOOKUP($B309,'4. CÀI ĐẶT'!$A$2:$H$32,5,FALSE)))</f>
        <v/>
      </c>
      <c r="I309">
        <f>IF($B309="","",IF(LEFT($B309,1)="━","",VLOOKUP($B309,'4. CÀI ĐẶT'!$A$2:$H$32,6,FALSE)))</f>
        <v/>
      </c>
      <c r="J309" s="13">
        <f>IF($A309="","",EOMONTH($A309,0))</f>
        <v/>
      </c>
      <c r="K309" s="67">
        <f>IF($B309="",0,IF(LEFT($B309,1)="━",0,$C309*VLOOKUP($B309,'4. CÀI ĐẶT'!$A$2:$H$32,7,FALSE)))</f>
        <v/>
      </c>
    </row>
    <row r="310">
      <c r="A310" s="8" t="n"/>
      <c r="B310" s="9" t="n"/>
      <c r="C310" s="65" t="n"/>
      <c r="D310" s="9" t="n"/>
      <c r="E310" s="66">
        <f>IF($B310="","",IF(LEFT($B310,1)="━","⚠️ Chọn hạng mục cụ thể",$C310*VLOOKUP($B310,'4. CÀI ĐẶT'!$A$2:$H$32,2,FALSE)))</f>
        <v/>
      </c>
      <c r="F310" s="67">
        <f>IF($B310="",0,IF(LEFT($B310,1)="━",0,$C310*VLOOKUP($B310,'4. CÀI ĐẶT'!$A$2:$H$32,3,FALSE)))</f>
        <v/>
      </c>
      <c r="G310" s="67">
        <f>IF($B310="",0,IF(LEFT($B310,1)="━",0,$C310*VLOOKUP($B310,'4. CÀI ĐẶT'!$A$2:$H$32,4,FALSE)))</f>
        <v/>
      </c>
      <c r="H310" s="67">
        <f>IF($B310="",0,IF(LEFT($B310,1)="━",0,$C310*VLOOKUP($B310,'4. CÀI ĐẶT'!$A$2:$H$32,5,FALSE)))</f>
        <v/>
      </c>
      <c r="I310">
        <f>IF($B310="","",IF(LEFT($B310,1)="━","",VLOOKUP($B310,'4. CÀI ĐẶT'!$A$2:$H$32,6,FALSE)))</f>
        <v/>
      </c>
      <c r="J310" s="13">
        <f>IF($A310="","",EOMONTH($A310,0))</f>
        <v/>
      </c>
      <c r="K310" s="67">
        <f>IF($B310="",0,IF(LEFT($B310,1)="━",0,$C310*VLOOKUP($B310,'4. CÀI ĐẶT'!$A$2:$H$32,7,FALSE)))</f>
        <v/>
      </c>
    </row>
    <row r="311">
      <c r="A311" s="8" t="n"/>
      <c r="B311" s="9" t="n"/>
      <c r="C311" s="65" t="n"/>
      <c r="D311" s="9" t="n"/>
      <c r="E311" s="66">
        <f>IF($B311="","",IF(LEFT($B311,1)="━","⚠️ Chọn hạng mục cụ thể",$C311*VLOOKUP($B311,'4. CÀI ĐẶT'!$A$2:$H$32,2,FALSE)))</f>
        <v/>
      </c>
      <c r="F311" s="67">
        <f>IF($B311="",0,IF(LEFT($B311,1)="━",0,$C311*VLOOKUP($B311,'4. CÀI ĐẶT'!$A$2:$H$32,3,FALSE)))</f>
        <v/>
      </c>
      <c r="G311" s="67">
        <f>IF($B311="",0,IF(LEFT($B311,1)="━",0,$C311*VLOOKUP($B311,'4. CÀI ĐẶT'!$A$2:$H$32,4,FALSE)))</f>
        <v/>
      </c>
      <c r="H311" s="67">
        <f>IF($B311="",0,IF(LEFT($B311,1)="━",0,$C311*VLOOKUP($B311,'4. CÀI ĐẶT'!$A$2:$H$32,5,FALSE)))</f>
        <v/>
      </c>
      <c r="I311">
        <f>IF($B311="","",IF(LEFT($B311,1)="━","",VLOOKUP($B311,'4. CÀI ĐẶT'!$A$2:$H$32,6,FALSE)))</f>
        <v/>
      </c>
      <c r="J311" s="13">
        <f>IF($A311="","",EOMONTH($A311,0))</f>
        <v/>
      </c>
      <c r="K311" s="67">
        <f>IF($B311="",0,IF(LEFT($B311,1)="━",0,$C311*VLOOKUP($B311,'4. CÀI ĐẶT'!$A$2:$H$32,7,FALSE)))</f>
        <v/>
      </c>
    </row>
    <row r="312">
      <c r="A312" s="8" t="n"/>
      <c r="B312" s="9" t="n"/>
      <c r="C312" s="65" t="n"/>
      <c r="D312" s="9" t="n"/>
      <c r="E312" s="66">
        <f>IF($B312="","",IF(LEFT($B312,1)="━","⚠️ Chọn hạng mục cụ thể",$C312*VLOOKUP($B312,'4. CÀI ĐẶT'!$A$2:$H$32,2,FALSE)))</f>
        <v/>
      </c>
      <c r="F312" s="67">
        <f>IF($B312="",0,IF(LEFT($B312,1)="━",0,$C312*VLOOKUP($B312,'4. CÀI ĐẶT'!$A$2:$H$32,3,FALSE)))</f>
        <v/>
      </c>
      <c r="G312" s="67">
        <f>IF($B312="",0,IF(LEFT($B312,1)="━",0,$C312*VLOOKUP($B312,'4. CÀI ĐẶT'!$A$2:$H$32,4,FALSE)))</f>
        <v/>
      </c>
      <c r="H312" s="67">
        <f>IF($B312="",0,IF(LEFT($B312,1)="━",0,$C312*VLOOKUP($B312,'4. CÀI ĐẶT'!$A$2:$H$32,5,FALSE)))</f>
        <v/>
      </c>
      <c r="I312">
        <f>IF($B312="","",IF(LEFT($B312,1)="━","",VLOOKUP($B312,'4. CÀI ĐẶT'!$A$2:$H$32,6,FALSE)))</f>
        <v/>
      </c>
      <c r="J312" s="13">
        <f>IF($A312="","",EOMONTH($A312,0))</f>
        <v/>
      </c>
      <c r="K312" s="67">
        <f>IF($B312="",0,IF(LEFT($B312,1)="━",0,$C312*VLOOKUP($B312,'4. CÀI ĐẶT'!$A$2:$H$32,7,FALSE)))</f>
        <v/>
      </c>
    </row>
    <row r="313">
      <c r="A313" s="8" t="n"/>
      <c r="B313" s="9" t="n"/>
      <c r="C313" s="65" t="n"/>
      <c r="D313" s="9" t="n"/>
      <c r="E313" s="66">
        <f>IF($B313="","",IF(LEFT($B313,1)="━","⚠️ Chọn hạng mục cụ thể",$C313*VLOOKUP($B313,'4. CÀI ĐẶT'!$A$2:$H$32,2,FALSE)))</f>
        <v/>
      </c>
      <c r="F313" s="67">
        <f>IF($B313="",0,IF(LEFT($B313,1)="━",0,$C313*VLOOKUP($B313,'4. CÀI ĐẶT'!$A$2:$H$32,3,FALSE)))</f>
        <v/>
      </c>
      <c r="G313" s="67">
        <f>IF($B313="",0,IF(LEFT($B313,1)="━",0,$C313*VLOOKUP($B313,'4. CÀI ĐẶT'!$A$2:$H$32,4,FALSE)))</f>
        <v/>
      </c>
      <c r="H313" s="67">
        <f>IF($B313="",0,IF(LEFT($B313,1)="━",0,$C313*VLOOKUP($B313,'4. CÀI ĐẶT'!$A$2:$H$32,5,FALSE)))</f>
        <v/>
      </c>
      <c r="I313">
        <f>IF($B313="","",IF(LEFT($B313,1)="━","",VLOOKUP($B313,'4. CÀI ĐẶT'!$A$2:$H$32,6,FALSE)))</f>
        <v/>
      </c>
      <c r="J313" s="13">
        <f>IF($A313="","",EOMONTH($A313,0))</f>
        <v/>
      </c>
      <c r="K313" s="67">
        <f>IF($B313="",0,IF(LEFT($B313,1)="━",0,$C313*VLOOKUP($B313,'4. CÀI ĐẶT'!$A$2:$H$32,7,FALSE)))</f>
        <v/>
      </c>
    </row>
    <row r="314">
      <c r="A314" s="8" t="n"/>
      <c r="B314" s="9" t="n"/>
      <c r="C314" s="65" t="n"/>
      <c r="D314" s="9" t="n"/>
      <c r="E314" s="66">
        <f>IF($B314="","",IF(LEFT($B314,1)="━","⚠️ Chọn hạng mục cụ thể",$C314*VLOOKUP($B314,'4. CÀI ĐẶT'!$A$2:$H$32,2,FALSE)))</f>
        <v/>
      </c>
      <c r="F314" s="67">
        <f>IF($B314="",0,IF(LEFT($B314,1)="━",0,$C314*VLOOKUP($B314,'4. CÀI ĐẶT'!$A$2:$H$32,3,FALSE)))</f>
        <v/>
      </c>
      <c r="G314" s="67">
        <f>IF($B314="",0,IF(LEFT($B314,1)="━",0,$C314*VLOOKUP($B314,'4. CÀI ĐẶT'!$A$2:$H$32,4,FALSE)))</f>
        <v/>
      </c>
      <c r="H314" s="67">
        <f>IF($B314="",0,IF(LEFT($B314,1)="━",0,$C314*VLOOKUP($B314,'4. CÀI ĐẶT'!$A$2:$H$32,5,FALSE)))</f>
        <v/>
      </c>
      <c r="I314">
        <f>IF($B314="","",IF(LEFT($B314,1)="━","",VLOOKUP($B314,'4. CÀI ĐẶT'!$A$2:$H$32,6,FALSE)))</f>
        <v/>
      </c>
      <c r="J314" s="13">
        <f>IF($A314="","",EOMONTH($A314,0))</f>
        <v/>
      </c>
      <c r="K314" s="67">
        <f>IF($B314="",0,IF(LEFT($B314,1)="━",0,$C314*VLOOKUP($B314,'4. CÀI ĐẶT'!$A$2:$H$32,7,FALSE)))</f>
        <v/>
      </c>
    </row>
    <row r="315">
      <c r="A315" s="8" t="n"/>
      <c r="B315" s="9" t="n"/>
      <c r="C315" s="65" t="n"/>
      <c r="D315" s="9" t="n"/>
      <c r="E315" s="66">
        <f>IF($B315="","",IF(LEFT($B315,1)="━","⚠️ Chọn hạng mục cụ thể",$C315*VLOOKUP($B315,'4. CÀI ĐẶT'!$A$2:$H$32,2,FALSE)))</f>
        <v/>
      </c>
      <c r="F315" s="67">
        <f>IF($B315="",0,IF(LEFT($B315,1)="━",0,$C315*VLOOKUP($B315,'4. CÀI ĐẶT'!$A$2:$H$32,3,FALSE)))</f>
        <v/>
      </c>
      <c r="G315" s="67">
        <f>IF($B315="",0,IF(LEFT($B315,1)="━",0,$C315*VLOOKUP($B315,'4. CÀI ĐẶT'!$A$2:$H$32,4,FALSE)))</f>
        <v/>
      </c>
      <c r="H315" s="67">
        <f>IF($B315="",0,IF(LEFT($B315,1)="━",0,$C315*VLOOKUP($B315,'4. CÀI ĐẶT'!$A$2:$H$32,5,FALSE)))</f>
        <v/>
      </c>
      <c r="I315">
        <f>IF($B315="","",IF(LEFT($B315,1)="━","",VLOOKUP($B315,'4. CÀI ĐẶT'!$A$2:$H$32,6,FALSE)))</f>
        <v/>
      </c>
      <c r="J315" s="13">
        <f>IF($A315="","",EOMONTH($A315,0))</f>
        <v/>
      </c>
      <c r="K315" s="67">
        <f>IF($B315="",0,IF(LEFT($B315,1)="━",0,$C315*VLOOKUP($B315,'4. CÀI ĐẶT'!$A$2:$H$32,7,FALSE)))</f>
        <v/>
      </c>
    </row>
    <row r="316">
      <c r="A316" s="8" t="n"/>
      <c r="B316" s="9" t="n"/>
      <c r="C316" s="65" t="n"/>
      <c r="D316" s="9" t="n"/>
      <c r="E316" s="66">
        <f>IF($B316="","",IF(LEFT($B316,1)="━","⚠️ Chọn hạng mục cụ thể",$C316*VLOOKUP($B316,'4. CÀI ĐẶT'!$A$2:$H$32,2,FALSE)))</f>
        <v/>
      </c>
      <c r="F316" s="67">
        <f>IF($B316="",0,IF(LEFT($B316,1)="━",0,$C316*VLOOKUP($B316,'4. CÀI ĐẶT'!$A$2:$H$32,3,FALSE)))</f>
        <v/>
      </c>
      <c r="G316" s="67">
        <f>IF($B316="",0,IF(LEFT($B316,1)="━",0,$C316*VLOOKUP($B316,'4. CÀI ĐẶT'!$A$2:$H$32,4,FALSE)))</f>
        <v/>
      </c>
      <c r="H316" s="67">
        <f>IF($B316="",0,IF(LEFT($B316,1)="━",0,$C316*VLOOKUP($B316,'4. CÀI ĐẶT'!$A$2:$H$32,5,FALSE)))</f>
        <v/>
      </c>
      <c r="I316">
        <f>IF($B316="","",IF(LEFT($B316,1)="━","",VLOOKUP($B316,'4. CÀI ĐẶT'!$A$2:$H$32,6,FALSE)))</f>
        <v/>
      </c>
      <c r="J316" s="13">
        <f>IF($A316="","",EOMONTH($A316,0))</f>
        <v/>
      </c>
      <c r="K316" s="67">
        <f>IF($B316="",0,IF(LEFT($B316,1)="━",0,$C316*VLOOKUP($B316,'4. CÀI ĐẶT'!$A$2:$H$32,7,FALSE)))</f>
        <v/>
      </c>
    </row>
    <row r="317">
      <c r="A317" s="8" t="n"/>
      <c r="B317" s="9" t="n"/>
      <c r="C317" s="65" t="n"/>
      <c r="D317" s="9" t="n"/>
      <c r="E317" s="66">
        <f>IF($B317="","",IF(LEFT($B317,1)="━","⚠️ Chọn hạng mục cụ thể",$C317*VLOOKUP($B317,'4. CÀI ĐẶT'!$A$2:$H$32,2,FALSE)))</f>
        <v/>
      </c>
      <c r="F317" s="67">
        <f>IF($B317="",0,IF(LEFT($B317,1)="━",0,$C317*VLOOKUP($B317,'4. CÀI ĐẶT'!$A$2:$H$32,3,FALSE)))</f>
        <v/>
      </c>
      <c r="G317" s="67">
        <f>IF($B317="",0,IF(LEFT($B317,1)="━",0,$C317*VLOOKUP($B317,'4. CÀI ĐẶT'!$A$2:$H$32,4,FALSE)))</f>
        <v/>
      </c>
      <c r="H317" s="67">
        <f>IF($B317="",0,IF(LEFT($B317,1)="━",0,$C317*VLOOKUP($B317,'4. CÀI ĐẶT'!$A$2:$H$32,5,FALSE)))</f>
        <v/>
      </c>
      <c r="I317">
        <f>IF($B317="","",IF(LEFT($B317,1)="━","",VLOOKUP($B317,'4. CÀI ĐẶT'!$A$2:$H$32,6,FALSE)))</f>
        <v/>
      </c>
      <c r="J317" s="13">
        <f>IF($A317="","",EOMONTH($A317,0))</f>
        <v/>
      </c>
      <c r="K317" s="67">
        <f>IF($B317="",0,IF(LEFT($B317,1)="━",0,$C317*VLOOKUP($B317,'4. CÀI ĐẶT'!$A$2:$H$32,7,FALSE)))</f>
        <v/>
      </c>
    </row>
    <row r="318">
      <c r="A318" s="8" t="n"/>
      <c r="B318" s="9" t="n"/>
      <c r="C318" s="65" t="n"/>
      <c r="D318" s="9" t="n"/>
      <c r="E318" s="66">
        <f>IF($B318="","",IF(LEFT($B318,1)="━","⚠️ Chọn hạng mục cụ thể",$C318*VLOOKUP($B318,'4. CÀI ĐẶT'!$A$2:$H$32,2,FALSE)))</f>
        <v/>
      </c>
      <c r="F318" s="67">
        <f>IF($B318="",0,IF(LEFT($B318,1)="━",0,$C318*VLOOKUP($B318,'4. CÀI ĐẶT'!$A$2:$H$32,3,FALSE)))</f>
        <v/>
      </c>
      <c r="G318" s="67">
        <f>IF($B318="",0,IF(LEFT($B318,1)="━",0,$C318*VLOOKUP($B318,'4. CÀI ĐẶT'!$A$2:$H$32,4,FALSE)))</f>
        <v/>
      </c>
      <c r="H318" s="67">
        <f>IF($B318="",0,IF(LEFT($B318,1)="━",0,$C318*VLOOKUP($B318,'4. CÀI ĐẶT'!$A$2:$H$32,5,FALSE)))</f>
        <v/>
      </c>
      <c r="I318">
        <f>IF($B318="","",IF(LEFT($B318,1)="━","",VLOOKUP($B318,'4. CÀI ĐẶT'!$A$2:$H$32,6,FALSE)))</f>
        <v/>
      </c>
      <c r="J318" s="13">
        <f>IF($A318="","",EOMONTH($A318,0))</f>
        <v/>
      </c>
      <c r="K318" s="67">
        <f>IF($B318="",0,IF(LEFT($B318,1)="━",0,$C318*VLOOKUP($B318,'4. CÀI ĐẶT'!$A$2:$H$32,7,FALSE)))</f>
        <v/>
      </c>
    </row>
    <row r="319">
      <c r="A319" s="8" t="n"/>
      <c r="B319" s="9" t="n"/>
      <c r="C319" s="65" t="n"/>
      <c r="D319" s="9" t="n"/>
      <c r="E319" s="66">
        <f>IF($B319="","",IF(LEFT($B319,1)="━","⚠️ Chọn hạng mục cụ thể",$C319*VLOOKUP($B319,'4. CÀI ĐẶT'!$A$2:$H$32,2,FALSE)))</f>
        <v/>
      </c>
      <c r="F319" s="67">
        <f>IF($B319="",0,IF(LEFT($B319,1)="━",0,$C319*VLOOKUP($B319,'4. CÀI ĐẶT'!$A$2:$H$32,3,FALSE)))</f>
        <v/>
      </c>
      <c r="G319" s="67">
        <f>IF($B319="",0,IF(LEFT($B319,1)="━",0,$C319*VLOOKUP($B319,'4. CÀI ĐẶT'!$A$2:$H$32,4,FALSE)))</f>
        <v/>
      </c>
      <c r="H319" s="67">
        <f>IF($B319="",0,IF(LEFT($B319,1)="━",0,$C319*VLOOKUP($B319,'4. CÀI ĐẶT'!$A$2:$H$32,5,FALSE)))</f>
        <v/>
      </c>
      <c r="I319">
        <f>IF($B319="","",IF(LEFT($B319,1)="━","",VLOOKUP($B319,'4. CÀI ĐẶT'!$A$2:$H$32,6,FALSE)))</f>
        <v/>
      </c>
      <c r="J319" s="13">
        <f>IF($A319="","",EOMONTH($A319,0))</f>
        <v/>
      </c>
      <c r="K319" s="67">
        <f>IF($B319="",0,IF(LEFT($B319,1)="━",0,$C319*VLOOKUP($B319,'4. CÀI ĐẶT'!$A$2:$H$32,7,FALSE)))</f>
        <v/>
      </c>
    </row>
    <row r="320">
      <c r="A320" s="8" t="n"/>
      <c r="B320" s="9" t="n"/>
      <c r="C320" s="65" t="n"/>
      <c r="D320" s="9" t="n"/>
      <c r="E320" s="66">
        <f>IF($B320="","",IF(LEFT($B320,1)="━","⚠️ Chọn hạng mục cụ thể",$C320*VLOOKUP($B320,'4. CÀI ĐẶT'!$A$2:$H$32,2,FALSE)))</f>
        <v/>
      </c>
      <c r="F320" s="67">
        <f>IF($B320="",0,IF(LEFT($B320,1)="━",0,$C320*VLOOKUP($B320,'4. CÀI ĐẶT'!$A$2:$H$32,3,FALSE)))</f>
        <v/>
      </c>
      <c r="G320" s="67">
        <f>IF($B320="",0,IF(LEFT($B320,1)="━",0,$C320*VLOOKUP($B320,'4. CÀI ĐẶT'!$A$2:$H$32,4,FALSE)))</f>
        <v/>
      </c>
      <c r="H320" s="67">
        <f>IF($B320="",0,IF(LEFT($B320,1)="━",0,$C320*VLOOKUP($B320,'4. CÀI ĐẶT'!$A$2:$H$32,5,FALSE)))</f>
        <v/>
      </c>
      <c r="I320">
        <f>IF($B320="","",IF(LEFT($B320,1)="━","",VLOOKUP($B320,'4. CÀI ĐẶT'!$A$2:$H$32,6,FALSE)))</f>
        <v/>
      </c>
      <c r="J320" s="13">
        <f>IF($A320="","",EOMONTH($A320,0))</f>
        <v/>
      </c>
      <c r="K320" s="67">
        <f>IF($B320="",0,IF(LEFT($B320,1)="━",0,$C320*VLOOKUP($B320,'4. CÀI ĐẶT'!$A$2:$H$32,7,FALSE)))</f>
        <v/>
      </c>
    </row>
    <row r="321">
      <c r="A321" s="8" t="n"/>
      <c r="B321" s="9" t="n"/>
      <c r="C321" s="65" t="n"/>
      <c r="D321" s="9" t="n"/>
      <c r="E321" s="66">
        <f>IF($B321="","",IF(LEFT($B321,1)="━","⚠️ Chọn hạng mục cụ thể",$C321*VLOOKUP($B321,'4. CÀI ĐẶT'!$A$2:$H$32,2,FALSE)))</f>
        <v/>
      </c>
      <c r="F321" s="67">
        <f>IF($B321="",0,IF(LEFT($B321,1)="━",0,$C321*VLOOKUP($B321,'4. CÀI ĐẶT'!$A$2:$H$32,3,FALSE)))</f>
        <v/>
      </c>
      <c r="G321" s="67">
        <f>IF($B321="",0,IF(LEFT($B321,1)="━",0,$C321*VLOOKUP($B321,'4. CÀI ĐẶT'!$A$2:$H$32,4,FALSE)))</f>
        <v/>
      </c>
      <c r="H321" s="67">
        <f>IF($B321="",0,IF(LEFT($B321,1)="━",0,$C321*VLOOKUP($B321,'4. CÀI ĐẶT'!$A$2:$H$32,5,FALSE)))</f>
        <v/>
      </c>
      <c r="I321">
        <f>IF($B321="","",IF(LEFT($B321,1)="━","",VLOOKUP($B321,'4. CÀI ĐẶT'!$A$2:$H$32,6,FALSE)))</f>
        <v/>
      </c>
      <c r="J321" s="13">
        <f>IF($A321="","",EOMONTH($A321,0))</f>
        <v/>
      </c>
      <c r="K321" s="67">
        <f>IF($B321="",0,IF(LEFT($B321,1)="━",0,$C321*VLOOKUP($B321,'4. CÀI ĐẶT'!$A$2:$H$32,7,FALSE)))</f>
        <v/>
      </c>
    </row>
    <row r="322">
      <c r="A322" s="8" t="n"/>
      <c r="B322" s="9" t="n"/>
      <c r="C322" s="65" t="n"/>
      <c r="D322" s="9" t="n"/>
      <c r="E322" s="66">
        <f>IF($B322="","",IF(LEFT($B322,1)="━","⚠️ Chọn hạng mục cụ thể",$C322*VLOOKUP($B322,'4. CÀI ĐẶT'!$A$2:$H$32,2,FALSE)))</f>
        <v/>
      </c>
      <c r="F322" s="67">
        <f>IF($B322="",0,IF(LEFT($B322,1)="━",0,$C322*VLOOKUP($B322,'4. CÀI ĐẶT'!$A$2:$H$32,3,FALSE)))</f>
        <v/>
      </c>
      <c r="G322" s="67">
        <f>IF($B322="",0,IF(LEFT($B322,1)="━",0,$C322*VLOOKUP($B322,'4. CÀI ĐẶT'!$A$2:$H$32,4,FALSE)))</f>
        <v/>
      </c>
      <c r="H322" s="67">
        <f>IF($B322="",0,IF(LEFT($B322,1)="━",0,$C322*VLOOKUP($B322,'4. CÀI ĐẶT'!$A$2:$H$32,5,FALSE)))</f>
        <v/>
      </c>
      <c r="I322">
        <f>IF($B322="","",IF(LEFT($B322,1)="━","",VLOOKUP($B322,'4. CÀI ĐẶT'!$A$2:$H$32,6,FALSE)))</f>
        <v/>
      </c>
      <c r="J322" s="13">
        <f>IF($A322="","",EOMONTH($A322,0))</f>
        <v/>
      </c>
      <c r="K322" s="67">
        <f>IF($B322="",0,IF(LEFT($B322,1)="━",0,$C322*VLOOKUP($B322,'4. CÀI ĐẶT'!$A$2:$H$32,7,FALSE)))</f>
        <v/>
      </c>
    </row>
    <row r="323">
      <c r="A323" s="8" t="n"/>
      <c r="B323" s="9" t="n"/>
      <c r="C323" s="65" t="n"/>
      <c r="D323" s="9" t="n"/>
      <c r="E323" s="66">
        <f>IF($B323="","",IF(LEFT($B323,1)="━","⚠️ Chọn hạng mục cụ thể",$C323*VLOOKUP($B323,'4. CÀI ĐẶT'!$A$2:$H$32,2,FALSE)))</f>
        <v/>
      </c>
      <c r="F323" s="67">
        <f>IF($B323="",0,IF(LEFT($B323,1)="━",0,$C323*VLOOKUP($B323,'4. CÀI ĐẶT'!$A$2:$H$32,3,FALSE)))</f>
        <v/>
      </c>
      <c r="G323" s="67">
        <f>IF($B323="",0,IF(LEFT($B323,1)="━",0,$C323*VLOOKUP($B323,'4. CÀI ĐẶT'!$A$2:$H$32,4,FALSE)))</f>
        <v/>
      </c>
      <c r="H323" s="67">
        <f>IF($B323="",0,IF(LEFT($B323,1)="━",0,$C323*VLOOKUP($B323,'4. CÀI ĐẶT'!$A$2:$H$32,5,FALSE)))</f>
        <v/>
      </c>
      <c r="I323">
        <f>IF($B323="","",IF(LEFT($B323,1)="━","",VLOOKUP($B323,'4. CÀI ĐẶT'!$A$2:$H$32,6,FALSE)))</f>
        <v/>
      </c>
      <c r="J323" s="13">
        <f>IF($A323="","",EOMONTH($A323,0))</f>
        <v/>
      </c>
      <c r="K323" s="67">
        <f>IF($B323="",0,IF(LEFT($B323,1)="━",0,$C323*VLOOKUP($B323,'4. CÀI ĐẶT'!$A$2:$H$32,7,FALSE)))</f>
        <v/>
      </c>
    </row>
    <row r="324">
      <c r="A324" s="8" t="n"/>
      <c r="B324" s="9" t="n"/>
      <c r="C324" s="65" t="n"/>
      <c r="D324" s="9" t="n"/>
      <c r="E324" s="66">
        <f>IF($B324="","",IF(LEFT($B324,1)="━","⚠️ Chọn hạng mục cụ thể",$C324*VLOOKUP($B324,'4. CÀI ĐẶT'!$A$2:$H$32,2,FALSE)))</f>
        <v/>
      </c>
      <c r="F324" s="67">
        <f>IF($B324="",0,IF(LEFT($B324,1)="━",0,$C324*VLOOKUP($B324,'4. CÀI ĐẶT'!$A$2:$H$32,3,FALSE)))</f>
        <v/>
      </c>
      <c r="G324" s="67">
        <f>IF($B324="",0,IF(LEFT($B324,1)="━",0,$C324*VLOOKUP($B324,'4. CÀI ĐẶT'!$A$2:$H$32,4,FALSE)))</f>
        <v/>
      </c>
      <c r="H324" s="67">
        <f>IF($B324="",0,IF(LEFT($B324,1)="━",0,$C324*VLOOKUP($B324,'4. CÀI ĐẶT'!$A$2:$H$32,5,FALSE)))</f>
        <v/>
      </c>
      <c r="I324">
        <f>IF($B324="","",IF(LEFT($B324,1)="━","",VLOOKUP($B324,'4. CÀI ĐẶT'!$A$2:$H$32,6,FALSE)))</f>
        <v/>
      </c>
      <c r="J324" s="13">
        <f>IF($A324="","",EOMONTH($A324,0))</f>
        <v/>
      </c>
      <c r="K324" s="67">
        <f>IF($B324="",0,IF(LEFT($B324,1)="━",0,$C324*VLOOKUP($B324,'4. CÀI ĐẶT'!$A$2:$H$32,7,FALSE)))</f>
        <v/>
      </c>
    </row>
    <row r="325">
      <c r="A325" s="8" t="n"/>
      <c r="B325" s="9" t="n"/>
      <c r="C325" s="65" t="n"/>
      <c r="D325" s="9" t="n"/>
      <c r="E325" s="66">
        <f>IF($B325="","",IF(LEFT($B325,1)="━","⚠️ Chọn hạng mục cụ thể",$C325*VLOOKUP($B325,'4. CÀI ĐẶT'!$A$2:$H$32,2,FALSE)))</f>
        <v/>
      </c>
      <c r="F325" s="67">
        <f>IF($B325="",0,IF(LEFT($B325,1)="━",0,$C325*VLOOKUP($B325,'4. CÀI ĐẶT'!$A$2:$H$32,3,FALSE)))</f>
        <v/>
      </c>
      <c r="G325" s="67">
        <f>IF($B325="",0,IF(LEFT($B325,1)="━",0,$C325*VLOOKUP($B325,'4. CÀI ĐẶT'!$A$2:$H$32,4,FALSE)))</f>
        <v/>
      </c>
      <c r="H325" s="67">
        <f>IF($B325="",0,IF(LEFT($B325,1)="━",0,$C325*VLOOKUP($B325,'4. CÀI ĐẶT'!$A$2:$H$32,5,FALSE)))</f>
        <v/>
      </c>
      <c r="I325">
        <f>IF($B325="","",IF(LEFT($B325,1)="━","",VLOOKUP($B325,'4. CÀI ĐẶT'!$A$2:$H$32,6,FALSE)))</f>
        <v/>
      </c>
      <c r="J325" s="13">
        <f>IF($A325="","",EOMONTH($A325,0))</f>
        <v/>
      </c>
      <c r="K325" s="67">
        <f>IF($B325="",0,IF(LEFT($B325,1)="━",0,$C325*VLOOKUP($B325,'4. CÀI ĐẶT'!$A$2:$H$32,7,FALSE)))</f>
        <v/>
      </c>
    </row>
    <row r="326">
      <c r="A326" s="8" t="n"/>
      <c r="B326" s="9" t="n"/>
      <c r="C326" s="65" t="n"/>
      <c r="D326" s="9" t="n"/>
      <c r="E326" s="66">
        <f>IF($B326="","",IF(LEFT($B326,1)="━","⚠️ Chọn hạng mục cụ thể",$C326*VLOOKUP($B326,'4. CÀI ĐẶT'!$A$2:$H$32,2,FALSE)))</f>
        <v/>
      </c>
      <c r="F326" s="67">
        <f>IF($B326="",0,IF(LEFT($B326,1)="━",0,$C326*VLOOKUP($B326,'4. CÀI ĐẶT'!$A$2:$H$32,3,FALSE)))</f>
        <v/>
      </c>
      <c r="G326" s="67">
        <f>IF($B326="",0,IF(LEFT($B326,1)="━",0,$C326*VLOOKUP($B326,'4. CÀI ĐẶT'!$A$2:$H$32,4,FALSE)))</f>
        <v/>
      </c>
      <c r="H326" s="67">
        <f>IF($B326="",0,IF(LEFT($B326,1)="━",0,$C326*VLOOKUP($B326,'4. CÀI ĐẶT'!$A$2:$H$32,5,FALSE)))</f>
        <v/>
      </c>
      <c r="I326">
        <f>IF($B326="","",IF(LEFT($B326,1)="━","",VLOOKUP($B326,'4. CÀI ĐẶT'!$A$2:$H$32,6,FALSE)))</f>
        <v/>
      </c>
      <c r="J326" s="13">
        <f>IF($A326="","",EOMONTH($A326,0))</f>
        <v/>
      </c>
      <c r="K326" s="67">
        <f>IF($B326="",0,IF(LEFT($B326,1)="━",0,$C326*VLOOKUP($B326,'4. CÀI ĐẶT'!$A$2:$H$32,7,FALSE)))</f>
        <v/>
      </c>
    </row>
    <row r="327">
      <c r="A327" s="8" t="n"/>
      <c r="B327" s="9" t="n"/>
      <c r="C327" s="65" t="n"/>
      <c r="D327" s="9" t="n"/>
      <c r="E327" s="66">
        <f>IF($B327="","",IF(LEFT($B327,1)="━","⚠️ Chọn hạng mục cụ thể",$C327*VLOOKUP($B327,'4. CÀI ĐẶT'!$A$2:$H$32,2,FALSE)))</f>
        <v/>
      </c>
      <c r="F327" s="67">
        <f>IF($B327="",0,IF(LEFT($B327,1)="━",0,$C327*VLOOKUP($B327,'4. CÀI ĐẶT'!$A$2:$H$32,3,FALSE)))</f>
        <v/>
      </c>
      <c r="G327" s="67">
        <f>IF($B327="",0,IF(LEFT($B327,1)="━",0,$C327*VLOOKUP($B327,'4. CÀI ĐẶT'!$A$2:$H$32,4,FALSE)))</f>
        <v/>
      </c>
      <c r="H327" s="67">
        <f>IF($B327="",0,IF(LEFT($B327,1)="━",0,$C327*VLOOKUP($B327,'4. CÀI ĐẶT'!$A$2:$H$32,5,FALSE)))</f>
        <v/>
      </c>
      <c r="I327">
        <f>IF($B327="","",IF(LEFT($B327,1)="━","",VLOOKUP($B327,'4. CÀI ĐẶT'!$A$2:$H$32,6,FALSE)))</f>
        <v/>
      </c>
      <c r="J327" s="13">
        <f>IF($A327="","",EOMONTH($A327,0))</f>
        <v/>
      </c>
      <c r="K327" s="67">
        <f>IF($B327="",0,IF(LEFT($B327,1)="━",0,$C327*VLOOKUP($B327,'4. CÀI ĐẶT'!$A$2:$H$32,7,FALSE)))</f>
        <v/>
      </c>
    </row>
    <row r="328">
      <c r="A328" s="8" t="n"/>
      <c r="B328" s="9" t="n"/>
      <c r="C328" s="65" t="n"/>
      <c r="D328" s="9" t="n"/>
      <c r="E328" s="66">
        <f>IF($B328="","",IF(LEFT($B328,1)="━","⚠️ Chọn hạng mục cụ thể",$C328*VLOOKUP($B328,'4. CÀI ĐẶT'!$A$2:$H$32,2,FALSE)))</f>
        <v/>
      </c>
      <c r="F328" s="67">
        <f>IF($B328="",0,IF(LEFT($B328,1)="━",0,$C328*VLOOKUP($B328,'4. CÀI ĐẶT'!$A$2:$H$32,3,FALSE)))</f>
        <v/>
      </c>
      <c r="G328" s="67">
        <f>IF($B328="",0,IF(LEFT($B328,1)="━",0,$C328*VLOOKUP($B328,'4. CÀI ĐẶT'!$A$2:$H$32,4,FALSE)))</f>
        <v/>
      </c>
      <c r="H328" s="67">
        <f>IF($B328="",0,IF(LEFT($B328,1)="━",0,$C328*VLOOKUP($B328,'4. CÀI ĐẶT'!$A$2:$H$32,5,FALSE)))</f>
        <v/>
      </c>
      <c r="I328">
        <f>IF($B328="","",IF(LEFT($B328,1)="━","",VLOOKUP($B328,'4. CÀI ĐẶT'!$A$2:$H$32,6,FALSE)))</f>
        <v/>
      </c>
      <c r="J328" s="13">
        <f>IF($A328="","",EOMONTH($A328,0))</f>
        <v/>
      </c>
      <c r="K328" s="67">
        <f>IF($B328="",0,IF(LEFT($B328,1)="━",0,$C328*VLOOKUP($B328,'4. CÀI ĐẶT'!$A$2:$H$32,7,FALSE)))</f>
        <v/>
      </c>
    </row>
    <row r="329">
      <c r="A329" s="8" t="n"/>
      <c r="B329" s="9" t="n"/>
      <c r="C329" s="65" t="n"/>
      <c r="D329" s="9" t="n"/>
      <c r="E329" s="66">
        <f>IF($B329="","",IF(LEFT($B329,1)="━","⚠️ Chọn hạng mục cụ thể",$C329*VLOOKUP($B329,'4. CÀI ĐẶT'!$A$2:$H$32,2,FALSE)))</f>
        <v/>
      </c>
      <c r="F329" s="67">
        <f>IF($B329="",0,IF(LEFT($B329,1)="━",0,$C329*VLOOKUP($B329,'4. CÀI ĐẶT'!$A$2:$H$32,3,FALSE)))</f>
        <v/>
      </c>
      <c r="G329" s="67">
        <f>IF($B329="",0,IF(LEFT($B329,1)="━",0,$C329*VLOOKUP($B329,'4. CÀI ĐẶT'!$A$2:$H$32,4,FALSE)))</f>
        <v/>
      </c>
      <c r="H329" s="67">
        <f>IF($B329="",0,IF(LEFT($B329,1)="━",0,$C329*VLOOKUP($B329,'4. CÀI ĐẶT'!$A$2:$H$32,5,FALSE)))</f>
        <v/>
      </c>
      <c r="I329">
        <f>IF($B329="","",IF(LEFT($B329,1)="━","",VLOOKUP($B329,'4. CÀI ĐẶT'!$A$2:$H$32,6,FALSE)))</f>
        <v/>
      </c>
      <c r="J329" s="13">
        <f>IF($A329="","",EOMONTH($A329,0))</f>
        <v/>
      </c>
      <c r="K329" s="67">
        <f>IF($B329="",0,IF(LEFT($B329,1)="━",0,$C329*VLOOKUP($B329,'4. CÀI ĐẶT'!$A$2:$H$32,7,FALSE)))</f>
        <v/>
      </c>
    </row>
    <row r="330">
      <c r="A330" s="8" t="n"/>
      <c r="B330" s="9" t="n"/>
      <c r="C330" s="65" t="n"/>
      <c r="D330" s="9" t="n"/>
      <c r="E330" s="66">
        <f>IF($B330="","",IF(LEFT($B330,1)="━","⚠️ Chọn hạng mục cụ thể",$C330*VLOOKUP($B330,'4. CÀI ĐẶT'!$A$2:$H$32,2,FALSE)))</f>
        <v/>
      </c>
      <c r="F330" s="67">
        <f>IF($B330="",0,IF(LEFT($B330,1)="━",0,$C330*VLOOKUP($B330,'4. CÀI ĐẶT'!$A$2:$H$32,3,FALSE)))</f>
        <v/>
      </c>
      <c r="G330" s="67">
        <f>IF($B330="",0,IF(LEFT($B330,1)="━",0,$C330*VLOOKUP($B330,'4. CÀI ĐẶT'!$A$2:$H$32,4,FALSE)))</f>
        <v/>
      </c>
      <c r="H330" s="67">
        <f>IF($B330="",0,IF(LEFT($B330,1)="━",0,$C330*VLOOKUP($B330,'4. CÀI ĐẶT'!$A$2:$H$32,5,FALSE)))</f>
        <v/>
      </c>
      <c r="I330">
        <f>IF($B330="","",IF(LEFT($B330,1)="━","",VLOOKUP($B330,'4. CÀI ĐẶT'!$A$2:$H$32,6,FALSE)))</f>
        <v/>
      </c>
      <c r="J330" s="13">
        <f>IF($A330="","",EOMONTH($A330,0))</f>
        <v/>
      </c>
      <c r="K330" s="67">
        <f>IF($B330="",0,IF(LEFT($B330,1)="━",0,$C330*VLOOKUP($B330,'4. CÀI ĐẶT'!$A$2:$H$32,7,FALSE)))</f>
        <v/>
      </c>
    </row>
    <row r="331">
      <c r="A331" s="8" t="n"/>
      <c r="B331" s="9" t="n"/>
      <c r="C331" s="65" t="n"/>
      <c r="D331" s="9" t="n"/>
      <c r="E331" s="66">
        <f>IF($B331="","",IF(LEFT($B331,1)="━","⚠️ Chọn hạng mục cụ thể",$C331*VLOOKUP($B331,'4. CÀI ĐẶT'!$A$2:$H$32,2,FALSE)))</f>
        <v/>
      </c>
      <c r="F331" s="67">
        <f>IF($B331="",0,IF(LEFT($B331,1)="━",0,$C331*VLOOKUP($B331,'4. CÀI ĐẶT'!$A$2:$H$32,3,FALSE)))</f>
        <v/>
      </c>
      <c r="G331" s="67">
        <f>IF($B331="",0,IF(LEFT($B331,1)="━",0,$C331*VLOOKUP($B331,'4. CÀI ĐẶT'!$A$2:$H$32,4,FALSE)))</f>
        <v/>
      </c>
      <c r="H331" s="67">
        <f>IF($B331="",0,IF(LEFT($B331,1)="━",0,$C331*VLOOKUP($B331,'4. CÀI ĐẶT'!$A$2:$H$32,5,FALSE)))</f>
        <v/>
      </c>
      <c r="I331">
        <f>IF($B331="","",IF(LEFT($B331,1)="━","",VLOOKUP($B331,'4. CÀI ĐẶT'!$A$2:$H$32,6,FALSE)))</f>
        <v/>
      </c>
      <c r="J331" s="13">
        <f>IF($A331="","",EOMONTH($A331,0))</f>
        <v/>
      </c>
      <c r="K331" s="67">
        <f>IF($B331="",0,IF(LEFT($B331,1)="━",0,$C331*VLOOKUP($B331,'4. CÀI ĐẶT'!$A$2:$H$32,7,FALSE)))</f>
        <v/>
      </c>
    </row>
    <row r="332">
      <c r="A332" s="8" t="n"/>
      <c r="B332" s="9" t="n"/>
      <c r="C332" s="65" t="n"/>
      <c r="D332" s="9" t="n"/>
      <c r="E332" s="66">
        <f>IF($B332="","",IF(LEFT($B332,1)="━","⚠️ Chọn hạng mục cụ thể",$C332*VLOOKUP($B332,'4. CÀI ĐẶT'!$A$2:$H$32,2,FALSE)))</f>
        <v/>
      </c>
      <c r="F332" s="67">
        <f>IF($B332="",0,IF(LEFT($B332,1)="━",0,$C332*VLOOKUP($B332,'4. CÀI ĐẶT'!$A$2:$H$32,3,FALSE)))</f>
        <v/>
      </c>
      <c r="G332" s="67">
        <f>IF($B332="",0,IF(LEFT($B332,1)="━",0,$C332*VLOOKUP($B332,'4. CÀI ĐẶT'!$A$2:$H$32,4,FALSE)))</f>
        <v/>
      </c>
      <c r="H332" s="67">
        <f>IF($B332="",0,IF(LEFT($B332,1)="━",0,$C332*VLOOKUP($B332,'4. CÀI ĐẶT'!$A$2:$H$32,5,FALSE)))</f>
        <v/>
      </c>
      <c r="I332">
        <f>IF($B332="","",IF(LEFT($B332,1)="━","",VLOOKUP($B332,'4. CÀI ĐẶT'!$A$2:$H$32,6,FALSE)))</f>
        <v/>
      </c>
      <c r="J332" s="13">
        <f>IF($A332="","",EOMONTH($A332,0))</f>
        <v/>
      </c>
      <c r="K332" s="67">
        <f>IF($B332="",0,IF(LEFT($B332,1)="━",0,$C332*VLOOKUP($B332,'4. CÀI ĐẶT'!$A$2:$H$32,7,FALSE)))</f>
        <v/>
      </c>
    </row>
    <row r="333">
      <c r="A333" s="8" t="n"/>
      <c r="B333" s="9" t="n"/>
      <c r="C333" s="65" t="n"/>
      <c r="D333" s="9" t="n"/>
      <c r="E333" s="66">
        <f>IF($B333="","",IF(LEFT($B333,1)="━","⚠️ Chọn hạng mục cụ thể",$C333*VLOOKUP($B333,'4. CÀI ĐẶT'!$A$2:$H$32,2,FALSE)))</f>
        <v/>
      </c>
      <c r="F333" s="67">
        <f>IF($B333="",0,IF(LEFT($B333,1)="━",0,$C333*VLOOKUP($B333,'4. CÀI ĐẶT'!$A$2:$H$32,3,FALSE)))</f>
        <v/>
      </c>
      <c r="G333" s="67">
        <f>IF($B333="",0,IF(LEFT($B333,1)="━",0,$C333*VLOOKUP($B333,'4. CÀI ĐẶT'!$A$2:$H$32,4,FALSE)))</f>
        <v/>
      </c>
      <c r="H333" s="67">
        <f>IF($B333="",0,IF(LEFT($B333,1)="━",0,$C333*VLOOKUP($B333,'4. CÀI ĐẶT'!$A$2:$H$32,5,FALSE)))</f>
        <v/>
      </c>
      <c r="I333">
        <f>IF($B333="","",IF(LEFT($B333,1)="━","",VLOOKUP($B333,'4. CÀI ĐẶT'!$A$2:$H$32,6,FALSE)))</f>
        <v/>
      </c>
      <c r="J333" s="13">
        <f>IF($A333="","",EOMONTH($A333,0))</f>
        <v/>
      </c>
      <c r="K333" s="67">
        <f>IF($B333="",0,IF(LEFT($B333,1)="━",0,$C333*VLOOKUP($B333,'4. CÀI ĐẶT'!$A$2:$H$32,7,FALSE)))</f>
        <v/>
      </c>
    </row>
    <row r="334">
      <c r="A334" s="8" t="n"/>
      <c r="B334" s="9" t="n"/>
      <c r="C334" s="65" t="n"/>
      <c r="D334" s="9" t="n"/>
      <c r="E334" s="66">
        <f>IF($B334="","",IF(LEFT($B334,1)="━","⚠️ Chọn hạng mục cụ thể",$C334*VLOOKUP($B334,'4. CÀI ĐẶT'!$A$2:$H$32,2,FALSE)))</f>
        <v/>
      </c>
      <c r="F334" s="67">
        <f>IF($B334="",0,IF(LEFT($B334,1)="━",0,$C334*VLOOKUP($B334,'4. CÀI ĐẶT'!$A$2:$H$32,3,FALSE)))</f>
        <v/>
      </c>
      <c r="G334" s="67">
        <f>IF($B334="",0,IF(LEFT($B334,1)="━",0,$C334*VLOOKUP($B334,'4. CÀI ĐẶT'!$A$2:$H$32,4,FALSE)))</f>
        <v/>
      </c>
      <c r="H334" s="67">
        <f>IF($B334="",0,IF(LEFT($B334,1)="━",0,$C334*VLOOKUP($B334,'4. CÀI ĐẶT'!$A$2:$H$32,5,FALSE)))</f>
        <v/>
      </c>
      <c r="I334">
        <f>IF($B334="","",IF(LEFT($B334,1)="━","",VLOOKUP($B334,'4. CÀI ĐẶT'!$A$2:$H$32,6,FALSE)))</f>
        <v/>
      </c>
      <c r="J334" s="13">
        <f>IF($A334="","",EOMONTH($A334,0))</f>
        <v/>
      </c>
      <c r="K334" s="67">
        <f>IF($B334="",0,IF(LEFT($B334,1)="━",0,$C334*VLOOKUP($B334,'4. CÀI ĐẶT'!$A$2:$H$32,7,FALSE)))</f>
        <v/>
      </c>
    </row>
    <row r="335">
      <c r="A335" s="8" t="n"/>
      <c r="B335" s="9" t="n"/>
      <c r="C335" s="65" t="n"/>
      <c r="D335" s="9" t="n"/>
      <c r="E335" s="66">
        <f>IF($B335="","",IF(LEFT($B335,1)="━","⚠️ Chọn hạng mục cụ thể",$C335*VLOOKUP($B335,'4. CÀI ĐẶT'!$A$2:$H$32,2,FALSE)))</f>
        <v/>
      </c>
      <c r="F335" s="67">
        <f>IF($B335="",0,IF(LEFT($B335,1)="━",0,$C335*VLOOKUP($B335,'4. CÀI ĐẶT'!$A$2:$H$32,3,FALSE)))</f>
        <v/>
      </c>
      <c r="G335" s="67">
        <f>IF($B335="",0,IF(LEFT($B335,1)="━",0,$C335*VLOOKUP($B335,'4. CÀI ĐẶT'!$A$2:$H$32,4,FALSE)))</f>
        <v/>
      </c>
      <c r="H335" s="67">
        <f>IF($B335="",0,IF(LEFT($B335,1)="━",0,$C335*VLOOKUP($B335,'4. CÀI ĐẶT'!$A$2:$H$32,5,FALSE)))</f>
        <v/>
      </c>
      <c r="I335">
        <f>IF($B335="","",IF(LEFT($B335,1)="━","",VLOOKUP($B335,'4. CÀI ĐẶT'!$A$2:$H$32,6,FALSE)))</f>
        <v/>
      </c>
      <c r="J335" s="13">
        <f>IF($A335="","",EOMONTH($A335,0))</f>
        <v/>
      </c>
      <c r="K335" s="67">
        <f>IF($B335="",0,IF(LEFT($B335,1)="━",0,$C335*VLOOKUP($B335,'4. CÀI ĐẶT'!$A$2:$H$32,7,FALSE)))</f>
        <v/>
      </c>
    </row>
    <row r="336">
      <c r="A336" s="8" t="n"/>
      <c r="B336" s="9" t="n"/>
      <c r="C336" s="65" t="n"/>
      <c r="D336" s="9" t="n"/>
      <c r="E336" s="66">
        <f>IF($B336="","",IF(LEFT($B336,1)="━","⚠️ Chọn hạng mục cụ thể",$C336*VLOOKUP($B336,'4. CÀI ĐẶT'!$A$2:$H$32,2,FALSE)))</f>
        <v/>
      </c>
      <c r="F336" s="67">
        <f>IF($B336="",0,IF(LEFT($B336,1)="━",0,$C336*VLOOKUP($B336,'4. CÀI ĐẶT'!$A$2:$H$32,3,FALSE)))</f>
        <v/>
      </c>
      <c r="G336" s="67">
        <f>IF($B336="",0,IF(LEFT($B336,1)="━",0,$C336*VLOOKUP($B336,'4. CÀI ĐẶT'!$A$2:$H$32,4,FALSE)))</f>
        <v/>
      </c>
      <c r="H336" s="67">
        <f>IF($B336="",0,IF(LEFT($B336,1)="━",0,$C336*VLOOKUP($B336,'4. CÀI ĐẶT'!$A$2:$H$32,5,FALSE)))</f>
        <v/>
      </c>
      <c r="I336">
        <f>IF($B336="","",IF(LEFT($B336,1)="━","",VLOOKUP($B336,'4. CÀI ĐẶT'!$A$2:$H$32,6,FALSE)))</f>
        <v/>
      </c>
      <c r="J336" s="13">
        <f>IF($A336="","",EOMONTH($A336,0))</f>
        <v/>
      </c>
      <c r="K336" s="67">
        <f>IF($B336="",0,IF(LEFT($B336,1)="━",0,$C336*VLOOKUP($B336,'4. CÀI ĐẶT'!$A$2:$H$32,7,FALSE)))</f>
        <v/>
      </c>
    </row>
    <row r="337">
      <c r="A337" s="8" t="n"/>
      <c r="B337" s="9" t="n"/>
      <c r="C337" s="65" t="n"/>
      <c r="D337" s="9" t="n"/>
      <c r="E337" s="66">
        <f>IF($B337="","",IF(LEFT($B337,1)="━","⚠️ Chọn hạng mục cụ thể",$C337*VLOOKUP($B337,'4. CÀI ĐẶT'!$A$2:$H$32,2,FALSE)))</f>
        <v/>
      </c>
      <c r="F337" s="67">
        <f>IF($B337="",0,IF(LEFT($B337,1)="━",0,$C337*VLOOKUP($B337,'4. CÀI ĐẶT'!$A$2:$H$32,3,FALSE)))</f>
        <v/>
      </c>
      <c r="G337" s="67">
        <f>IF($B337="",0,IF(LEFT($B337,1)="━",0,$C337*VLOOKUP($B337,'4. CÀI ĐẶT'!$A$2:$H$32,4,FALSE)))</f>
        <v/>
      </c>
      <c r="H337" s="67">
        <f>IF($B337="",0,IF(LEFT($B337,1)="━",0,$C337*VLOOKUP($B337,'4. CÀI ĐẶT'!$A$2:$H$32,5,FALSE)))</f>
        <v/>
      </c>
      <c r="I337">
        <f>IF($B337="","",IF(LEFT($B337,1)="━","",VLOOKUP($B337,'4. CÀI ĐẶT'!$A$2:$H$32,6,FALSE)))</f>
        <v/>
      </c>
      <c r="J337" s="13">
        <f>IF($A337="","",EOMONTH($A337,0))</f>
        <v/>
      </c>
      <c r="K337" s="67">
        <f>IF($B337="",0,IF(LEFT($B337,1)="━",0,$C337*VLOOKUP($B337,'4. CÀI ĐẶT'!$A$2:$H$32,7,FALSE)))</f>
        <v/>
      </c>
    </row>
    <row r="338">
      <c r="A338" s="8" t="n"/>
      <c r="B338" s="9" t="n"/>
      <c r="C338" s="65" t="n"/>
      <c r="D338" s="9" t="n"/>
      <c r="E338" s="66">
        <f>IF($B338="","",IF(LEFT($B338,1)="━","⚠️ Chọn hạng mục cụ thể",$C338*VLOOKUP($B338,'4. CÀI ĐẶT'!$A$2:$H$32,2,FALSE)))</f>
        <v/>
      </c>
      <c r="F338" s="67">
        <f>IF($B338="",0,IF(LEFT($B338,1)="━",0,$C338*VLOOKUP($B338,'4. CÀI ĐẶT'!$A$2:$H$32,3,FALSE)))</f>
        <v/>
      </c>
      <c r="G338" s="67">
        <f>IF($B338="",0,IF(LEFT($B338,1)="━",0,$C338*VLOOKUP($B338,'4. CÀI ĐẶT'!$A$2:$H$32,4,FALSE)))</f>
        <v/>
      </c>
      <c r="H338" s="67">
        <f>IF($B338="",0,IF(LEFT($B338,1)="━",0,$C338*VLOOKUP($B338,'4. CÀI ĐẶT'!$A$2:$H$32,5,FALSE)))</f>
        <v/>
      </c>
      <c r="I338">
        <f>IF($B338="","",IF(LEFT($B338,1)="━","",VLOOKUP($B338,'4. CÀI ĐẶT'!$A$2:$H$32,6,FALSE)))</f>
        <v/>
      </c>
      <c r="J338" s="13">
        <f>IF($A338="","",EOMONTH($A338,0))</f>
        <v/>
      </c>
      <c r="K338" s="67">
        <f>IF($B338="",0,IF(LEFT($B338,1)="━",0,$C338*VLOOKUP($B338,'4. CÀI ĐẶT'!$A$2:$H$32,7,FALSE)))</f>
        <v/>
      </c>
    </row>
    <row r="339">
      <c r="A339" s="8" t="n"/>
      <c r="B339" s="9" t="n"/>
      <c r="C339" s="65" t="n"/>
      <c r="D339" s="9" t="n"/>
      <c r="E339" s="66">
        <f>IF($B339="","",IF(LEFT($B339,1)="━","⚠️ Chọn hạng mục cụ thể",$C339*VLOOKUP($B339,'4. CÀI ĐẶT'!$A$2:$H$32,2,FALSE)))</f>
        <v/>
      </c>
      <c r="F339" s="67">
        <f>IF($B339="",0,IF(LEFT($B339,1)="━",0,$C339*VLOOKUP($B339,'4. CÀI ĐẶT'!$A$2:$H$32,3,FALSE)))</f>
        <v/>
      </c>
      <c r="G339" s="67">
        <f>IF($B339="",0,IF(LEFT($B339,1)="━",0,$C339*VLOOKUP($B339,'4. CÀI ĐẶT'!$A$2:$H$32,4,FALSE)))</f>
        <v/>
      </c>
      <c r="H339" s="67">
        <f>IF($B339="",0,IF(LEFT($B339,1)="━",0,$C339*VLOOKUP($B339,'4. CÀI ĐẶT'!$A$2:$H$32,5,FALSE)))</f>
        <v/>
      </c>
      <c r="I339">
        <f>IF($B339="","",IF(LEFT($B339,1)="━","",VLOOKUP($B339,'4. CÀI ĐẶT'!$A$2:$H$32,6,FALSE)))</f>
        <v/>
      </c>
      <c r="J339" s="13">
        <f>IF($A339="","",EOMONTH($A339,0))</f>
        <v/>
      </c>
      <c r="K339" s="67">
        <f>IF($B339="",0,IF(LEFT($B339,1)="━",0,$C339*VLOOKUP($B339,'4. CÀI ĐẶT'!$A$2:$H$32,7,FALSE)))</f>
        <v/>
      </c>
    </row>
    <row r="340">
      <c r="A340" s="8" t="n"/>
      <c r="B340" s="9" t="n"/>
      <c r="C340" s="65" t="n"/>
      <c r="D340" s="9" t="n"/>
      <c r="E340" s="66">
        <f>IF($B340="","",IF(LEFT($B340,1)="━","⚠️ Chọn hạng mục cụ thể",$C340*VLOOKUP($B340,'4. CÀI ĐẶT'!$A$2:$H$32,2,FALSE)))</f>
        <v/>
      </c>
      <c r="F340" s="67">
        <f>IF($B340="",0,IF(LEFT($B340,1)="━",0,$C340*VLOOKUP($B340,'4. CÀI ĐẶT'!$A$2:$H$32,3,FALSE)))</f>
        <v/>
      </c>
      <c r="G340" s="67">
        <f>IF($B340="",0,IF(LEFT($B340,1)="━",0,$C340*VLOOKUP($B340,'4. CÀI ĐẶT'!$A$2:$H$32,4,FALSE)))</f>
        <v/>
      </c>
      <c r="H340" s="67">
        <f>IF($B340="",0,IF(LEFT($B340,1)="━",0,$C340*VLOOKUP($B340,'4. CÀI ĐẶT'!$A$2:$H$32,5,FALSE)))</f>
        <v/>
      </c>
      <c r="I340">
        <f>IF($B340="","",IF(LEFT($B340,1)="━","",VLOOKUP($B340,'4. CÀI ĐẶT'!$A$2:$H$32,6,FALSE)))</f>
        <v/>
      </c>
      <c r="J340" s="13">
        <f>IF($A340="","",EOMONTH($A340,0))</f>
        <v/>
      </c>
      <c r="K340" s="67">
        <f>IF($B340="",0,IF(LEFT($B340,1)="━",0,$C340*VLOOKUP($B340,'4. CÀI ĐẶT'!$A$2:$H$32,7,FALSE)))</f>
        <v/>
      </c>
    </row>
    <row r="341">
      <c r="A341" s="8" t="n"/>
      <c r="B341" s="9" t="n"/>
      <c r="C341" s="65" t="n"/>
      <c r="D341" s="9" t="n"/>
      <c r="E341" s="66">
        <f>IF($B341="","",IF(LEFT($B341,1)="━","⚠️ Chọn hạng mục cụ thể",$C341*VLOOKUP($B341,'4. CÀI ĐẶT'!$A$2:$H$32,2,FALSE)))</f>
        <v/>
      </c>
      <c r="F341" s="67">
        <f>IF($B341="",0,IF(LEFT($B341,1)="━",0,$C341*VLOOKUP($B341,'4. CÀI ĐẶT'!$A$2:$H$32,3,FALSE)))</f>
        <v/>
      </c>
      <c r="G341" s="67">
        <f>IF($B341="",0,IF(LEFT($B341,1)="━",0,$C341*VLOOKUP($B341,'4. CÀI ĐẶT'!$A$2:$H$32,4,FALSE)))</f>
        <v/>
      </c>
      <c r="H341" s="67">
        <f>IF($B341="",0,IF(LEFT($B341,1)="━",0,$C341*VLOOKUP($B341,'4. CÀI ĐẶT'!$A$2:$H$32,5,FALSE)))</f>
        <v/>
      </c>
      <c r="I341">
        <f>IF($B341="","",IF(LEFT($B341,1)="━","",VLOOKUP($B341,'4. CÀI ĐẶT'!$A$2:$H$32,6,FALSE)))</f>
        <v/>
      </c>
      <c r="J341" s="13">
        <f>IF($A341="","",EOMONTH($A341,0))</f>
        <v/>
      </c>
      <c r="K341" s="67">
        <f>IF($B341="",0,IF(LEFT($B341,1)="━",0,$C341*VLOOKUP($B341,'4. CÀI ĐẶT'!$A$2:$H$32,7,FALSE)))</f>
        <v/>
      </c>
    </row>
    <row r="342">
      <c r="A342" s="8" t="n"/>
      <c r="B342" s="9" t="n"/>
      <c r="C342" s="65" t="n"/>
      <c r="D342" s="9" t="n"/>
      <c r="E342" s="66">
        <f>IF($B342="","",IF(LEFT($B342,1)="━","⚠️ Chọn hạng mục cụ thể",$C342*VLOOKUP($B342,'4. CÀI ĐẶT'!$A$2:$H$32,2,FALSE)))</f>
        <v/>
      </c>
      <c r="F342" s="67">
        <f>IF($B342="",0,IF(LEFT($B342,1)="━",0,$C342*VLOOKUP($B342,'4. CÀI ĐẶT'!$A$2:$H$32,3,FALSE)))</f>
        <v/>
      </c>
      <c r="G342" s="67">
        <f>IF($B342="",0,IF(LEFT($B342,1)="━",0,$C342*VLOOKUP($B342,'4. CÀI ĐẶT'!$A$2:$H$32,4,FALSE)))</f>
        <v/>
      </c>
      <c r="H342" s="67">
        <f>IF($B342="",0,IF(LEFT($B342,1)="━",0,$C342*VLOOKUP($B342,'4. CÀI ĐẶT'!$A$2:$H$32,5,FALSE)))</f>
        <v/>
      </c>
      <c r="I342">
        <f>IF($B342="","",IF(LEFT($B342,1)="━","",VLOOKUP($B342,'4. CÀI ĐẶT'!$A$2:$H$32,6,FALSE)))</f>
        <v/>
      </c>
      <c r="J342" s="13">
        <f>IF($A342="","",EOMONTH($A342,0))</f>
        <v/>
      </c>
      <c r="K342" s="67">
        <f>IF($B342="",0,IF(LEFT($B342,1)="━",0,$C342*VLOOKUP($B342,'4. CÀI ĐẶT'!$A$2:$H$32,7,FALSE)))</f>
        <v/>
      </c>
    </row>
    <row r="343">
      <c r="A343" s="8" t="n"/>
      <c r="B343" s="9" t="n"/>
      <c r="C343" s="65" t="n"/>
      <c r="D343" s="9" t="n"/>
      <c r="E343" s="66">
        <f>IF($B343="","",IF(LEFT($B343,1)="━","⚠️ Chọn hạng mục cụ thể",$C343*VLOOKUP($B343,'4. CÀI ĐẶT'!$A$2:$H$32,2,FALSE)))</f>
        <v/>
      </c>
      <c r="F343" s="67">
        <f>IF($B343="",0,IF(LEFT($B343,1)="━",0,$C343*VLOOKUP($B343,'4. CÀI ĐẶT'!$A$2:$H$32,3,FALSE)))</f>
        <v/>
      </c>
      <c r="G343" s="67">
        <f>IF($B343="",0,IF(LEFT($B343,1)="━",0,$C343*VLOOKUP($B343,'4. CÀI ĐẶT'!$A$2:$H$32,4,FALSE)))</f>
        <v/>
      </c>
      <c r="H343" s="67">
        <f>IF($B343="",0,IF(LEFT($B343,1)="━",0,$C343*VLOOKUP($B343,'4. CÀI ĐẶT'!$A$2:$H$32,5,FALSE)))</f>
        <v/>
      </c>
      <c r="I343">
        <f>IF($B343="","",IF(LEFT($B343,1)="━","",VLOOKUP($B343,'4. CÀI ĐẶT'!$A$2:$H$32,6,FALSE)))</f>
        <v/>
      </c>
      <c r="J343" s="13">
        <f>IF($A343="","",EOMONTH($A343,0))</f>
        <v/>
      </c>
      <c r="K343" s="67">
        <f>IF($B343="",0,IF(LEFT($B343,1)="━",0,$C343*VLOOKUP($B343,'4. CÀI ĐẶT'!$A$2:$H$32,7,FALSE)))</f>
        <v/>
      </c>
    </row>
    <row r="344">
      <c r="A344" s="8" t="n"/>
      <c r="B344" s="9" t="n"/>
      <c r="C344" s="65" t="n"/>
      <c r="D344" s="9" t="n"/>
      <c r="E344" s="66">
        <f>IF($B344="","",IF(LEFT($B344,1)="━","⚠️ Chọn hạng mục cụ thể",$C344*VLOOKUP($B344,'4. CÀI ĐẶT'!$A$2:$H$32,2,FALSE)))</f>
        <v/>
      </c>
      <c r="F344" s="67">
        <f>IF($B344="",0,IF(LEFT($B344,1)="━",0,$C344*VLOOKUP($B344,'4. CÀI ĐẶT'!$A$2:$H$32,3,FALSE)))</f>
        <v/>
      </c>
      <c r="G344" s="67">
        <f>IF($B344="",0,IF(LEFT($B344,1)="━",0,$C344*VLOOKUP($B344,'4. CÀI ĐẶT'!$A$2:$H$32,4,FALSE)))</f>
        <v/>
      </c>
      <c r="H344" s="67">
        <f>IF($B344="",0,IF(LEFT($B344,1)="━",0,$C344*VLOOKUP($B344,'4. CÀI ĐẶT'!$A$2:$H$32,5,FALSE)))</f>
        <v/>
      </c>
      <c r="I344">
        <f>IF($B344="","",IF(LEFT($B344,1)="━","",VLOOKUP($B344,'4. CÀI ĐẶT'!$A$2:$H$32,6,FALSE)))</f>
        <v/>
      </c>
      <c r="J344" s="13">
        <f>IF($A344="","",EOMONTH($A344,0))</f>
        <v/>
      </c>
      <c r="K344" s="67">
        <f>IF($B344="",0,IF(LEFT($B344,1)="━",0,$C344*VLOOKUP($B344,'4. CÀI ĐẶT'!$A$2:$H$32,7,FALSE)))</f>
        <v/>
      </c>
    </row>
    <row r="345">
      <c r="A345" s="8" t="n"/>
      <c r="B345" s="9" t="n"/>
      <c r="C345" s="65" t="n"/>
      <c r="D345" s="9" t="n"/>
      <c r="E345" s="66">
        <f>IF($B345="","",IF(LEFT($B345,1)="━","⚠️ Chọn hạng mục cụ thể",$C345*VLOOKUP($B345,'4. CÀI ĐẶT'!$A$2:$H$32,2,FALSE)))</f>
        <v/>
      </c>
      <c r="F345" s="67">
        <f>IF($B345="",0,IF(LEFT($B345,1)="━",0,$C345*VLOOKUP($B345,'4. CÀI ĐẶT'!$A$2:$H$32,3,FALSE)))</f>
        <v/>
      </c>
      <c r="G345" s="67">
        <f>IF($B345="",0,IF(LEFT($B345,1)="━",0,$C345*VLOOKUP($B345,'4. CÀI ĐẶT'!$A$2:$H$32,4,FALSE)))</f>
        <v/>
      </c>
      <c r="H345" s="67">
        <f>IF($B345="",0,IF(LEFT($B345,1)="━",0,$C345*VLOOKUP($B345,'4. CÀI ĐẶT'!$A$2:$H$32,5,FALSE)))</f>
        <v/>
      </c>
      <c r="I345">
        <f>IF($B345="","",IF(LEFT($B345,1)="━","",VLOOKUP($B345,'4. CÀI ĐẶT'!$A$2:$H$32,6,FALSE)))</f>
        <v/>
      </c>
      <c r="J345" s="13">
        <f>IF($A345="","",EOMONTH($A345,0))</f>
        <v/>
      </c>
      <c r="K345" s="67">
        <f>IF($B345="",0,IF(LEFT($B345,1)="━",0,$C345*VLOOKUP($B345,'4. CÀI ĐẶT'!$A$2:$H$32,7,FALSE)))</f>
        <v/>
      </c>
    </row>
    <row r="346">
      <c r="A346" s="8" t="n"/>
      <c r="B346" s="9" t="n"/>
      <c r="C346" s="65" t="n"/>
      <c r="D346" s="9" t="n"/>
      <c r="E346" s="66">
        <f>IF($B346="","",IF(LEFT($B346,1)="━","⚠️ Chọn hạng mục cụ thể",$C346*VLOOKUP($B346,'4. CÀI ĐẶT'!$A$2:$H$32,2,FALSE)))</f>
        <v/>
      </c>
      <c r="F346" s="67">
        <f>IF($B346="",0,IF(LEFT($B346,1)="━",0,$C346*VLOOKUP($B346,'4. CÀI ĐẶT'!$A$2:$H$32,3,FALSE)))</f>
        <v/>
      </c>
      <c r="G346" s="67">
        <f>IF($B346="",0,IF(LEFT($B346,1)="━",0,$C346*VLOOKUP($B346,'4. CÀI ĐẶT'!$A$2:$H$32,4,FALSE)))</f>
        <v/>
      </c>
      <c r="H346" s="67">
        <f>IF($B346="",0,IF(LEFT($B346,1)="━",0,$C346*VLOOKUP($B346,'4. CÀI ĐẶT'!$A$2:$H$32,5,FALSE)))</f>
        <v/>
      </c>
      <c r="I346">
        <f>IF($B346="","",IF(LEFT($B346,1)="━","",VLOOKUP($B346,'4. CÀI ĐẶT'!$A$2:$H$32,6,FALSE)))</f>
        <v/>
      </c>
      <c r="J346" s="13">
        <f>IF($A346="","",EOMONTH($A346,0))</f>
        <v/>
      </c>
      <c r="K346" s="67">
        <f>IF($B346="",0,IF(LEFT($B346,1)="━",0,$C346*VLOOKUP($B346,'4. CÀI ĐẶT'!$A$2:$H$32,7,FALSE)))</f>
        <v/>
      </c>
    </row>
    <row r="347">
      <c r="A347" s="8" t="n"/>
      <c r="B347" s="9" t="n"/>
      <c r="C347" s="65" t="n"/>
      <c r="D347" s="9" t="n"/>
      <c r="E347" s="66">
        <f>IF($B347="","",IF(LEFT($B347,1)="━","⚠️ Chọn hạng mục cụ thể",$C347*VLOOKUP($B347,'4. CÀI ĐẶT'!$A$2:$H$32,2,FALSE)))</f>
        <v/>
      </c>
      <c r="F347" s="67">
        <f>IF($B347="",0,IF(LEFT($B347,1)="━",0,$C347*VLOOKUP($B347,'4. CÀI ĐẶT'!$A$2:$H$32,3,FALSE)))</f>
        <v/>
      </c>
      <c r="G347" s="67">
        <f>IF($B347="",0,IF(LEFT($B347,1)="━",0,$C347*VLOOKUP($B347,'4. CÀI ĐẶT'!$A$2:$H$32,4,FALSE)))</f>
        <v/>
      </c>
      <c r="H347" s="67">
        <f>IF($B347="",0,IF(LEFT($B347,1)="━",0,$C347*VLOOKUP($B347,'4. CÀI ĐẶT'!$A$2:$H$32,5,FALSE)))</f>
        <v/>
      </c>
      <c r="I347">
        <f>IF($B347="","",IF(LEFT($B347,1)="━","",VLOOKUP($B347,'4. CÀI ĐẶT'!$A$2:$H$32,6,FALSE)))</f>
        <v/>
      </c>
      <c r="J347" s="13">
        <f>IF($A347="","",EOMONTH($A347,0))</f>
        <v/>
      </c>
      <c r="K347" s="67">
        <f>IF($B347="",0,IF(LEFT($B347,1)="━",0,$C347*VLOOKUP($B347,'4. CÀI ĐẶT'!$A$2:$H$32,7,FALSE)))</f>
        <v/>
      </c>
    </row>
    <row r="348">
      <c r="A348" s="8" t="n"/>
      <c r="B348" s="9" t="n"/>
      <c r="C348" s="65" t="n"/>
      <c r="D348" s="9" t="n"/>
      <c r="E348" s="66">
        <f>IF($B348="","",IF(LEFT($B348,1)="━","⚠️ Chọn hạng mục cụ thể",$C348*VLOOKUP($B348,'4. CÀI ĐẶT'!$A$2:$H$32,2,FALSE)))</f>
        <v/>
      </c>
      <c r="F348" s="67">
        <f>IF($B348="",0,IF(LEFT($B348,1)="━",0,$C348*VLOOKUP($B348,'4. CÀI ĐẶT'!$A$2:$H$32,3,FALSE)))</f>
        <v/>
      </c>
      <c r="G348" s="67">
        <f>IF($B348="",0,IF(LEFT($B348,1)="━",0,$C348*VLOOKUP($B348,'4. CÀI ĐẶT'!$A$2:$H$32,4,FALSE)))</f>
        <v/>
      </c>
      <c r="H348" s="67">
        <f>IF($B348="",0,IF(LEFT($B348,1)="━",0,$C348*VLOOKUP($B348,'4. CÀI ĐẶT'!$A$2:$H$32,5,FALSE)))</f>
        <v/>
      </c>
      <c r="I348">
        <f>IF($B348="","",IF(LEFT($B348,1)="━","",VLOOKUP($B348,'4. CÀI ĐẶT'!$A$2:$H$32,6,FALSE)))</f>
        <v/>
      </c>
      <c r="J348" s="13">
        <f>IF($A348="","",EOMONTH($A348,0))</f>
        <v/>
      </c>
      <c r="K348" s="67">
        <f>IF($B348="",0,IF(LEFT($B348,1)="━",0,$C348*VLOOKUP($B348,'4. CÀI ĐẶT'!$A$2:$H$32,7,FALSE)))</f>
        <v/>
      </c>
    </row>
    <row r="349">
      <c r="A349" s="8" t="n"/>
      <c r="B349" s="9" t="n"/>
      <c r="C349" s="65" t="n"/>
      <c r="D349" s="9" t="n"/>
      <c r="E349" s="66">
        <f>IF($B349="","",IF(LEFT($B349,1)="━","⚠️ Chọn hạng mục cụ thể",$C349*VLOOKUP($B349,'4. CÀI ĐẶT'!$A$2:$H$32,2,FALSE)))</f>
        <v/>
      </c>
      <c r="F349" s="67">
        <f>IF($B349="",0,IF(LEFT($B349,1)="━",0,$C349*VLOOKUP($B349,'4. CÀI ĐẶT'!$A$2:$H$32,3,FALSE)))</f>
        <v/>
      </c>
      <c r="G349" s="67">
        <f>IF($B349="",0,IF(LEFT($B349,1)="━",0,$C349*VLOOKUP($B349,'4. CÀI ĐẶT'!$A$2:$H$32,4,FALSE)))</f>
        <v/>
      </c>
      <c r="H349" s="67">
        <f>IF($B349="",0,IF(LEFT($B349,1)="━",0,$C349*VLOOKUP($B349,'4. CÀI ĐẶT'!$A$2:$H$32,5,FALSE)))</f>
        <v/>
      </c>
      <c r="I349">
        <f>IF($B349="","",IF(LEFT($B349,1)="━","",VLOOKUP($B349,'4. CÀI ĐẶT'!$A$2:$H$32,6,FALSE)))</f>
        <v/>
      </c>
      <c r="J349" s="13">
        <f>IF($A349="","",EOMONTH($A349,0))</f>
        <v/>
      </c>
      <c r="K349" s="67">
        <f>IF($B349="",0,IF(LEFT($B349,1)="━",0,$C349*VLOOKUP($B349,'4. CÀI ĐẶT'!$A$2:$H$32,7,FALSE)))</f>
        <v/>
      </c>
    </row>
    <row r="350">
      <c r="A350" s="8" t="n"/>
      <c r="B350" s="9" t="n"/>
      <c r="C350" s="65" t="n"/>
      <c r="D350" s="9" t="n"/>
      <c r="E350" s="66">
        <f>IF($B350="","",IF(LEFT($B350,1)="━","⚠️ Chọn hạng mục cụ thể",$C350*VLOOKUP($B350,'4. CÀI ĐẶT'!$A$2:$H$32,2,FALSE)))</f>
        <v/>
      </c>
      <c r="F350" s="67">
        <f>IF($B350="",0,IF(LEFT($B350,1)="━",0,$C350*VLOOKUP($B350,'4. CÀI ĐẶT'!$A$2:$H$32,3,FALSE)))</f>
        <v/>
      </c>
      <c r="G350" s="67">
        <f>IF($B350="",0,IF(LEFT($B350,1)="━",0,$C350*VLOOKUP($B350,'4. CÀI ĐẶT'!$A$2:$H$32,4,FALSE)))</f>
        <v/>
      </c>
      <c r="H350" s="67">
        <f>IF($B350="",0,IF(LEFT($B350,1)="━",0,$C350*VLOOKUP($B350,'4. CÀI ĐẶT'!$A$2:$H$32,5,FALSE)))</f>
        <v/>
      </c>
      <c r="I350">
        <f>IF($B350="","",IF(LEFT($B350,1)="━","",VLOOKUP($B350,'4. CÀI ĐẶT'!$A$2:$H$32,6,FALSE)))</f>
        <v/>
      </c>
      <c r="J350" s="13">
        <f>IF($A350="","",EOMONTH($A350,0))</f>
        <v/>
      </c>
      <c r="K350" s="67">
        <f>IF($B350="",0,IF(LEFT($B350,1)="━",0,$C350*VLOOKUP($B350,'4. CÀI ĐẶT'!$A$2:$H$32,7,FALSE)))</f>
        <v/>
      </c>
    </row>
    <row r="351">
      <c r="A351" s="8" t="n"/>
      <c r="B351" s="9" t="n"/>
      <c r="C351" s="65" t="n"/>
      <c r="D351" s="9" t="n"/>
      <c r="E351" s="66">
        <f>IF($B351="","",IF(LEFT($B351,1)="━","⚠️ Chọn hạng mục cụ thể",$C351*VLOOKUP($B351,'4. CÀI ĐẶT'!$A$2:$H$32,2,FALSE)))</f>
        <v/>
      </c>
      <c r="F351" s="67">
        <f>IF($B351="",0,IF(LEFT($B351,1)="━",0,$C351*VLOOKUP($B351,'4. CÀI ĐẶT'!$A$2:$H$32,3,FALSE)))</f>
        <v/>
      </c>
      <c r="G351" s="67">
        <f>IF($B351="",0,IF(LEFT($B351,1)="━",0,$C351*VLOOKUP($B351,'4. CÀI ĐẶT'!$A$2:$H$32,4,FALSE)))</f>
        <v/>
      </c>
      <c r="H351" s="67">
        <f>IF($B351="",0,IF(LEFT($B351,1)="━",0,$C351*VLOOKUP($B351,'4. CÀI ĐẶT'!$A$2:$H$32,5,FALSE)))</f>
        <v/>
      </c>
      <c r="I351">
        <f>IF($B351="","",IF(LEFT($B351,1)="━","",VLOOKUP($B351,'4. CÀI ĐẶT'!$A$2:$H$32,6,FALSE)))</f>
        <v/>
      </c>
      <c r="J351" s="13">
        <f>IF($A351="","",EOMONTH($A351,0))</f>
        <v/>
      </c>
      <c r="K351" s="67">
        <f>IF($B351="",0,IF(LEFT($B351,1)="━",0,$C351*VLOOKUP($B351,'4. CÀI ĐẶT'!$A$2:$H$32,7,FALSE)))</f>
        <v/>
      </c>
    </row>
    <row r="352">
      <c r="A352" s="8" t="n"/>
      <c r="B352" s="9" t="n"/>
      <c r="C352" s="65" t="n"/>
      <c r="D352" s="9" t="n"/>
      <c r="E352" s="66">
        <f>IF($B352="","",IF(LEFT($B352,1)="━","⚠️ Chọn hạng mục cụ thể",$C352*VLOOKUP($B352,'4. CÀI ĐẶT'!$A$2:$H$32,2,FALSE)))</f>
        <v/>
      </c>
      <c r="F352" s="67">
        <f>IF($B352="",0,IF(LEFT($B352,1)="━",0,$C352*VLOOKUP($B352,'4. CÀI ĐẶT'!$A$2:$H$32,3,FALSE)))</f>
        <v/>
      </c>
      <c r="G352" s="67">
        <f>IF($B352="",0,IF(LEFT($B352,1)="━",0,$C352*VLOOKUP($B352,'4. CÀI ĐẶT'!$A$2:$H$32,4,FALSE)))</f>
        <v/>
      </c>
      <c r="H352" s="67">
        <f>IF($B352="",0,IF(LEFT($B352,1)="━",0,$C352*VLOOKUP($B352,'4. CÀI ĐẶT'!$A$2:$H$32,5,FALSE)))</f>
        <v/>
      </c>
      <c r="I352">
        <f>IF($B352="","",IF(LEFT($B352,1)="━","",VLOOKUP($B352,'4. CÀI ĐẶT'!$A$2:$H$32,6,FALSE)))</f>
        <v/>
      </c>
      <c r="J352" s="13">
        <f>IF($A352="","",EOMONTH($A352,0))</f>
        <v/>
      </c>
      <c r="K352" s="67">
        <f>IF($B352="",0,IF(LEFT($B352,1)="━",0,$C352*VLOOKUP($B352,'4. CÀI ĐẶT'!$A$2:$H$32,7,FALSE)))</f>
        <v/>
      </c>
    </row>
    <row r="353">
      <c r="A353" s="8" t="n"/>
      <c r="B353" s="9" t="n"/>
      <c r="C353" s="65" t="n"/>
      <c r="D353" s="9" t="n"/>
      <c r="E353" s="66">
        <f>IF($B353="","",IF(LEFT($B353,1)="━","⚠️ Chọn hạng mục cụ thể",$C353*VLOOKUP($B353,'4. CÀI ĐẶT'!$A$2:$H$32,2,FALSE)))</f>
        <v/>
      </c>
      <c r="F353" s="67">
        <f>IF($B353="",0,IF(LEFT($B353,1)="━",0,$C353*VLOOKUP($B353,'4. CÀI ĐẶT'!$A$2:$H$32,3,FALSE)))</f>
        <v/>
      </c>
      <c r="G353" s="67">
        <f>IF($B353="",0,IF(LEFT($B353,1)="━",0,$C353*VLOOKUP($B353,'4. CÀI ĐẶT'!$A$2:$H$32,4,FALSE)))</f>
        <v/>
      </c>
      <c r="H353" s="67">
        <f>IF($B353="",0,IF(LEFT($B353,1)="━",0,$C353*VLOOKUP($B353,'4. CÀI ĐẶT'!$A$2:$H$32,5,FALSE)))</f>
        <v/>
      </c>
      <c r="I353">
        <f>IF($B353="","",IF(LEFT($B353,1)="━","",VLOOKUP($B353,'4. CÀI ĐẶT'!$A$2:$H$32,6,FALSE)))</f>
        <v/>
      </c>
      <c r="J353" s="13">
        <f>IF($A353="","",EOMONTH($A353,0))</f>
        <v/>
      </c>
      <c r="K353" s="67">
        <f>IF($B353="",0,IF(LEFT($B353,1)="━",0,$C353*VLOOKUP($B353,'4. CÀI ĐẶT'!$A$2:$H$32,7,FALSE)))</f>
        <v/>
      </c>
    </row>
    <row r="354">
      <c r="A354" s="8" t="n"/>
      <c r="B354" s="9" t="n"/>
      <c r="C354" s="65" t="n"/>
      <c r="D354" s="9" t="n"/>
      <c r="E354" s="66">
        <f>IF($B354="","",IF(LEFT($B354,1)="━","⚠️ Chọn hạng mục cụ thể",$C354*VLOOKUP($B354,'4. CÀI ĐẶT'!$A$2:$H$32,2,FALSE)))</f>
        <v/>
      </c>
      <c r="F354" s="67">
        <f>IF($B354="",0,IF(LEFT($B354,1)="━",0,$C354*VLOOKUP($B354,'4. CÀI ĐẶT'!$A$2:$H$32,3,FALSE)))</f>
        <v/>
      </c>
      <c r="G354" s="67">
        <f>IF($B354="",0,IF(LEFT($B354,1)="━",0,$C354*VLOOKUP($B354,'4. CÀI ĐẶT'!$A$2:$H$32,4,FALSE)))</f>
        <v/>
      </c>
      <c r="H354" s="67">
        <f>IF($B354="",0,IF(LEFT($B354,1)="━",0,$C354*VLOOKUP($B354,'4. CÀI ĐẶT'!$A$2:$H$32,5,FALSE)))</f>
        <v/>
      </c>
      <c r="I354">
        <f>IF($B354="","",IF(LEFT($B354,1)="━","",VLOOKUP($B354,'4. CÀI ĐẶT'!$A$2:$H$32,6,FALSE)))</f>
        <v/>
      </c>
      <c r="J354" s="13">
        <f>IF($A354="","",EOMONTH($A354,0))</f>
        <v/>
      </c>
      <c r="K354" s="67">
        <f>IF($B354="",0,IF(LEFT($B354,1)="━",0,$C354*VLOOKUP($B354,'4. CÀI ĐẶT'!$A$2:$H$32,7,FALSE)))</f>
        <v/>
      </c>
    </row>
    <row r="355">
      <c r="A355" s="8" t="n"/>
      <c r="B355" s="9" t="n"/>
      <c r="C355" s="65" t="n"/>
      <c r="D355" s="9" t="n"/>
      <c r="E355" s="66">
        <f>IF($B355="","",IF(LEFT($B355,1)="━","⚠️ Chọn hạng mục cụ thể",$C355*VLOOKUP($B355,'4. CÀI ĐẶT'!$A$2:$H$32,2,FALSE)))</f>
        <v/>
      </c>
      <c r="F355" s="67">
        <f>IF($B355="",0,IF(LEFT($B355,1)="━",0,$C355*VLOOKUP($B355,'4. CÀI ĐẶT'!$A$2:$H$32,3,FALSE)))</f>
        <v/>
      </c>
      <c r="G355" s="67">
        <f>IF($B355="",0,IF(LEFT($B355,1)="━",0,$C355*VLOOKUP($B355,'4. CÀI ĐẶT'!$A$2:$H$32,4,FALSE)))</f>
        <v/>
      </c>
      <c r="H355" s="67">
        <f>IF($B355="",0,IF(LEFT($B355,1)="━",0,$C355*VLOOKUP($B355,'4. CÀI ĐẶT'!$A$2:$H$32,5,FALSE)))</f>
        <v/>
      </c>
      <c r="I355">
        <f>IF($B355="","",IF(LEFT($B355,1)="━","",VLOOKUP($B355,'4. CÀI ĐẶT'!$A$2:$H$32,6,FALSE)))</f>
        <v/>
      </c>
      <c r="J355" s="13">
        <f>IF($A355="","",EOMONTH($A355,0))</f>
        <v/>
      </c>
      <c r="K355" s="67">
        <f>IF($B355="",0,IF(LEFT($B355,1)="━",0,$C355*VLOOKUP($B355,'4. CÀI ĐẶT'!$A$2:$H$32,7,FALSE)))</f>
        <v/>
      </c>
    </row>
    <row r="356">
      <c r="A356" s="8" t="n"/>
      <c r="B356" s="9" t="n"/>
      <c r="C356" s="65" t="n"/>
      <c r="D356" s="9" t="n"/>
      <c r="E356" s="66">
        <f>IF($B356="","",IF(LEFT($B356,1)="━","⚠️ Chọn hạng mục cụ thể",$C356*VLOOKUP($B356,'4. CÀI ĐẶT'!$A$2:$H$32,2,FALSE)))</f>
        <v/>
      </c>
      <c r="F356" s="67">
        <f>IF($B356="",0,IF(LEFT($B356,1)="━",0,$C356*VLOOKUP($B356,'4. CÀI ĐẶT'!$A$2:$H$32,3,FALSE)))</f>
        <v/>
      </c>
      <c r="G356" s="67">
        <f>IF($B356="",0,IF(LEFT($B356,1)="━",0,$C356*VLOOKUP($B356,'4. CÀI ĐẶT'!$A$2:$H$32,4,FALSE)))</f>
        <v/>
      </c>
      <c r="H356" s="67">
        <f>IF($B356="",0,IF(LEFT($B356,1)="━",0,$C356*VLOOKUP($B356,'4. CÀI ĐẶT'!$A$2:$H$32,5,FALSE)))</f>
        <v/>
      </c>
      <c r="I356">
        <f>IF($B356="","",IF(LEFT($B356,1)="━","",VLOOKUP($B356,'4. CÀI ĐẶT'!$A$2:$H$32,6,FALSE)))</f>
        <v/>
      </c>
      <c r="J356" s="13">
        <f>IF($A356="","",EOMONTH($A356,0))</f>
        <v/>
      </c>
      <c r="K356" s="67">
        <f>IF($B356="",0,IF(LEFT($B356,1)="━",0,$C356*VLOOKUP($B356,'4. CÀI ĐẶT'!$A$2:$H$32,7,FALSE)))</f>
        <v/>
      </c>
    </row>
    <row r="357">
      <c r="A357" s="8" t="n"/>
      <c r="B357" s="9" t="n"/>
      <c r="C357" s="65" t="n"/>
      <c r="D357" s="9" t="n"/>
      <c r="E357" s="66">
        <f>IF($B357="","",IF(LEFT($B357,1)="━","⚠️ Chọn hạng mục cụ thể",$C357*VLOOKUP($B357,'4. CÀI ĐẶT'!$A$2:$H$32,2,FALSE)))</f>
        <v/>
      </c>
      <c r="F357" s="67">
        <f>IF($B357="",0,IF(LEFT($B357,1)="━",0,$C357*VLOOKUP($B357,'4. CÀI ĐẶT'!$A$2:$H$32,3,FALSE)))</f>
        <v/>
      </c>
      <c r="G357" s="67">
        <f>IF($B357="",0,IF(LEFT($B357,1)="━",0,$C357*VLOOKUP($B357,'4. CÀI ĐẶT'!$A$2:$H$32,4,FALSE)))</f>
        <v/>
      </c>
      <c r="H357" s="67">
        <f>IF($B357="",0,IF(LEFT($B357,1)="━",0,$C357*VLOOKUP($B357,'4. CÀI ĐẶT'!$A$2:$H$32,5,FALSE)))</f>
        <v/>
      </c>
      <c r="I357">
        <f>IF($B357="","",IF(LEFT($B357,1)="━","",VLOOKUP($B357,'4. CÀI ĐẶT'!$A$2:$H$32,6,FALSE)))</f>
        <v/>
      </c>
      <c r="J357" s="13">
        <f>IF($A357="","",EOMONTH($A357,0))</f>
        <v/>
      </c>
      <c r="K357" s="67">
        <f>IF($B357="",0,IF(LEFT($B357,1)="━",0,$C357*VLOOKUP($B357,'4. CÀI ĐẶT'!$A$2:$H$32,7,FALSE)))</f>
        <v/>
      </c>
    </row>
    <row r="358">
      <c r="A358" s="8" t="n"/>
      <c r="B358" s="9" t="n"/>
      <c r="C358" s="65" t="n"/>
      <c r="D358" s="9" t="n"/>
      <c r="E358" s="66">
        <f>IF($B358="","",IF(LEFT($B358,1)="━","⚠️ Chọn hạng mục cụ thể",$C358*VLOOKUP($B358,'4. CÀI ĐẶT'!$A$2:$H$32,2,FALSE)))</f>
        <v/>
      </c>
      <c r="F358" s="67">
        <f>IF($B358="",0,IF(LEFT($B358,1)="━",0,$C358*VLOOKUP($B358,'4. CÀI ĐẶT'!$A$2:$H$32,3,FALSE)))</f>
        <v/>
      </c>
      <c r="G358" s="67">
        <f>IF($B358="",0,IF(LEFT($B358,1)="━",0,$C358*VLOOKUP($B358,'4. CÀI ĐẶT'!$A$2:$H$32,4,FALSE)))</f>
        <v/>
      </c>
      <c r="H358" s="67">
        <f>IF($B358="",0,IF(LEFT($B358,1)="━",0,$C358*VLOOKUP($B358,'4. CÀI ĐẶT'!$A$2:$H$32,5,FALSE)))</f>
        <v/>
      </c>
      <c r="I358">
        <f>IF($B358="","",IF(LEFT($B358,1)="━","",VLOOKUP($B358,'4. CÀI ĐẶT'!$A$2:$H$32,6,FALSE)))</f>
        <v/>
      </c>
      <c r="J358" s="13">
        <f>IF($A358="","",EOMONTH($A358,0))</f>
        <v/>
      </c>
      <c r="K358" s="67">
        <f>IF($B358="",0,IF(LEFT($B358,1)="━",0,$C358*VLOOKUP($B358,'4. CÀI ĐẶT'!$A$2:$H$32,7,FALSE)))</f>
        <v/>
      </c>
    </row>
    <row r="359">
      <c r="A359" s="8" t="n"/>
      <c r="B359" s="9" t="n"/>
      <c r="C359" s="65" t="n"/>
      <c r="D359" s="9" t="n"/>
      <c r="E359" s="66">
        <f>IF($B359="","",IF(LEFT($B359,1)="━","⚠️ Chọn hạng mục cụ thể",$C359*VLOOKUP($B359,'4. CÀI ĐẶT'!$A$2:$H$32,2,FALSE)))</f>
        <v/>
      </c>
      <c r="F359" s="67">
        <f>IF($B359="",0,IF(LEFT($B359,1)="━",0,$C359*VLOOKUP($B359,'4. CÀI ĐẶT'!$A$2:$H$32,3,FALSE)))</f>
        <v/>
      </c>
      <c r="G359" s="67">
        <f>IF($B359="",0,IF(LEFT($B359,1)="━",0,$C359*VLOOKUP($B359,'4. CÀI ĐẶT'!$A$2:$H$32,4,FALSE)))</f>
        <v/>
      </c>
      <c r="H359" s="67">
        <f>IF($B359="",0,IF(LEFT($B359,1)="━",0,$C359*VLOOKUP($B359,'4. CÀI ĐẶT'!$A$2:$H$32,5,FALSE)))</f>
        <v/>
      </c>
      <c r="I359">
        <f>IF($B359="","",IF(LEFT($B359,1)="━","",VLOOKUP($B359,'4. CÀI ĐẶT'!$A$2:$H$32,6,FALSE)))</f>
        <v/>
      </c>
      <c r="J359" s="13">
        <f>IF($A359="","",EOMONTH($A359,0))</f>
        <v/>
      </c>
      <c r="K359" s="67">
        <f>IF($B359="",0,IF(LEFT($B359,1)="━",0,$C359*VLOOKUP($B359,'4. CÀI ĐẶT'!$A$2:$H$32,7,FALSE)))</f>
        <v/>
      </c>
    </row>
    <row r="360">
      <c r="A360" s="8" t="n"/>
      <c r="B360" s="9" t="n"/>
      <c r="C360" s="65" t="n"/>
      <c r="D360" s="9" t="n"/>
      <c r="E360" s="66">
        <f>IF($B360="","",IF(LEFT($B360,1)="━","⚠️ Chọn hạng mục cụ thể",$C360*VLOOKUP($B360,'4. CÀI ĐẶT'!$A$2:$H$32,2,FALSE)))</f>
        <v/>
      </c>
      <c r="F360" s="67">
        <f>IF($B360="",0,IF(LEFT($B360,1)="━",0,$C360*VLOOKUP($B360,'4. CÀI ĐẶT'!$A$2:$H$32,3,FALSE)))</f>
        <v/>
      </c>
      <c r="G360" s="67">
        <f>IF($B360="",0,IF(LEFT($B360,1)="━",0,$C360*VLOOKUP($B360,'4. CÀI ĐẶT'!$A$2:$H$32,4,FALSE)))</f>
        <v/>
      </c>
      <c r="H360" s="67">
        <f>IF($B360="",0,IF(LEFT($B360,1)="━",0,$C360*VLOOKUP($B360,'4. CÀI ĐẶT'!$A$2:$H$32,5,FALSE)))</f>
        <v/>
      </c>
      <c r="I360">
        <f>IF($B360="","",IF(LEFT($B360,1)="━","",VLOOKUP($B360,'4. CÀI ĐẶT'!$A$2:$H$32,6,FALSE)))</f>
        <v/>
      </c>
      <c r="J360" s="13">
        <f>IF($A360="","",EOMONTH($A360,0))</f>
        <v/>
      </c>
      <c r="K360" s="67">
        <f>IF($B360="",0,IF(LEFT($B360,1)="━",0,$C360*VLOOKUP($B360,'4. CÀI ĐẶT'!$A$2:$H$32,7,FALSE)))</f>
        <v/>
      </c>
    </row>
    <row r="361">
      <c r="A361" s="8" t="n"/>
      <c r="B361" s="9" t="n"/>
      <c r="C361" s="65" t="n"/>
      <c r="D361" s="9" t="n"/>
      <c r="E361" s="66">
        <f>IF($B361="","",IF(LEFT($B361,1)="━","⚠️ Chọn hạng mục cụ thể",$C361*VLOOKUP($B361,'4. CÀI ĐẶT'!$A$2:$H$32,2,FALSE)))</f>
        <v/>
      </c>
      <c r="F361" s="67">
        <f>IF($B361="",0,IF(LEFT($B361,1)="━",0,$C361*VLOOKUP($B361,'4. CÀI ĐẶT'!$A$2:$H$32,3,FALSE)))</f>
        <v/>
      </c>
      <c r="G361" s="67">
        <f>IF($B361="",0,IF(LEFT($B361,1)="━",0,$C361*VLOOKUP($B361,'4. CÀI ĐẶT'!$A$2:$H$32,4,FALSE)))</f>
        <v/>
      </c>
      <c r="H361" s="67">
        <f>IF($B361="",0,IF(LEFT($B361,1)="━",0,$C361*VLOOKUP($B361,'4. CÀI ĐẶT'!$A$2:$H$32,5,FALSE)))</f>
        <v/>
      </c>
      <c r="I361">
        <f>IF($B361="","",IF(LEFT($B361,1)="━","",VLOOKUP($B361,'4. CÀI ĐẶT'!$A$2:$H$32,6,FALSE)))</f>
        <v/>
      </c>
      <c r="J361" s="13">
        <f>IF($A361="","",EOMONTH($A361,0))</f>
        <v/>
      </c>
      <c r="K361" s="67">
        <f>IF($B361="",0,IF(LEFT($B361,1)="━",0,$C361*VLOOKUP($B361,'4. CÀI ĐẶT'!$A$2:$H$32,7,FALSE)))</f>
        <v/>
      </c>
    </row>
    <row r="362">
      <c r="A362" s="8" t="n"/>
      <c r="B362" s="9" t="n"/>
      <c r="C362" s="65" t="n"/>
      <c r="D362" s="9" t="n"/>
      <c r="E362" s="66">
        <f>IF($B362="","",IF(LEFT($B362,1)="━","⚠️ Chọn hạng mục cụ thể",$C362*VLOOKUP($B362,'4. CÀI ĐẶT'!$A$2:$H$32,2,FALSE)))</f>
        <v/>
      </c>
      <c r="F362" s="67">
        <f>IF($B362="",0,IF(LEFT($B362,1)="━",0,$C362*VLOOKUP($B362,'4. CÀI ĐẶT'!$A$2:$H$32,3,FALSE)))</f>
        <v/>
      </c>
      <c r="G362" s="67">
        <f>IF($B362="",0,IF(LEFT($B362,1)="━",0,$C362*VLOOKUP($B362,'4. CÀI ĐẶT'!$A$2:$H$32,4,FALSE)))</f>
        <v/>
      </c>
      <c r="H362" s="67">
        <f>IF($B362="",0,IF(LEFT($B362,1)="━",0,$C362*VLOOKUP($B362,'4. CÀI ĐẶT'!$A$2:$H$32,5,FALSE)))</f>
        <v/>
      </c>
      <c r="I362">
        <f>IF($B362="","",IF(LEFT($B362,1)="━","",VLOOKUP($B362,'4. CÀI ĐẶT'!$A$2:$H$32,6,FALSE)))</f>
        <v/>
      </c>
      <c r="J362" s="13">
        <f>IF($A362="","",EOMONTH($A362,0))</f>
        <v/>
      </c>
      <c r="K362" s="67">
        <f>IF($B362="",0,IF(LEFT($B362,1)="━",0,$C362*VLOOKUP($B362,'4. CÀI ĐẶT'!$A$2:$H$32,7,FALSE)))</f>
        <v/>
      </c>
    </row>
    <row r="363">
      <c r="A363" s="8" t="n"/>
      <c r="B363" s="9" t="n"/>
      <c r="C363" s="65" t="n"/>
      <c r="D363" s="9" t="n"/>
      <c r="E363" s="66">
        <f>IF($B363="","",IF(LEFT($B363,1)="━","⚠️ Chọn hạng mục cụ thể",$C363*VLOOKUP($B363,'4. CÀI ĐẶT'!$A$2:$H$32,2,FALSE)))</f>
        <v/>
      </c>
      <c r="F363" s="67">
        <f>IF($B363="",0,IF(LEFT($B363,1)="━",0,$C363*VLOOKUP($B363,'4. CÀI ĐẶT'!$A$2:$H$32,3,FALSE)))</f>
        <v/>
      </c>
      <c r="G363" s="67">
        <f>IF($B363="",0,IF(LEFT($B363,1)="━",0,$C363*VLOOKUP($B363,'4. CÀI ĐẶT'!$A$2:$H$32,4,FALSE)))</f>
        <v/>
      </c>
      <c r="H363" s="67">
        <f>IF($B363="",0,IF(LEFT($B363,1)="━",0,$C363*VLOOKUP($B363,'4. CÀI ĐẶT'!$A$2:$H$32,5,FALSE)))</f>
        <v/>
      </c>
      <c r="I363">
        <f>IF($B363="","",IF(LEFT($B363,1)="━","",VLOOKUP($B363,'4. CÀI ĐẶT'!$A$2:$H$32,6,FALSE)))</f>
        <v/>
      </c>
      <c r="J363" s="13">
        <f>IF($A363="","",EOMONTH($A363,0))</f>
        <v/>
      </c>
      <c r="K363" s="67">
        <f>IF($B363="",0,IF(LEFT($B363,1)="━",0,$C363*VLOOKUP($B363,'4. CÀI ĐẶT'!$A$2:$H$32,7,FALSE)))</f>
        <v/>
      </c>
    </row>
    <row r="364">
      <c r="A364" s="8" t="n"/>
      <c r="B364" s="9" t="n"/>
      <c r="C364" s="65" t="n"/>
      <c r="D364" s="9" t="n"/>
      <c r="E364" s="66">
        <f>IF($B364="","",IF(LEFT($B364,1)="━","⚠️ Chọn hạng mục cụ thể",$C364*VLOOKUP($B364,'4. CÀI ĐẶT'!$A$2:$H$32,2,FALSE)))</f>
        <v/>
      </c>
      <c r="F364" s="67">
        <f>IF($B364="",0,IF(LEFT($B364,1)="━",0,$C364*VLOOKUP($B364,'4. CÀI ĐẶT'!$A$2:$H$32,3,FALSE)))</f>
        <v/>
      </c>
      <c r="G364" s="67">
        <f>IF($B364="",0,IF(LEFT($B364,1)="━",0,$C364*VLOOKUP($B364,'4. CÀI ĐẶT'!$A$2:$H$32,4,FALSE)))</f>
        <v/>
      </c>
      <c r="H364" s="67">
        <f>IF($B364="",0,IF(LEFT($B364,1)="━",0,$C364*VLOOKUP($B364,'4. CÀI ĐẶT'!$A$2:$H$32,5,FALSE)))</f>
        <v/>
      </c>
      <c r="I364">
        <f>IF($B364="","",IF(LEFT($B364,1)="━","",VLOOKUP($B364,'4. CÀI ĐẶT'!$A$2:$H$32,6,FALSE)))</f>
        <v/>
      </c>
      <c r="J364" s="13">
        <f>IF($A364="","",EOMONTH($A364,0))</f>
        <v/>
      </c>
      <c r="K364" s="67">
        <f>IF($B364="",0,IF(LEFT($B364,1)="━",0,$C364*VLOOKUP($B364,'4. CÀI ĐẶT'!$A$2:$H$32,7,FALSE)))</f>
        <v/>
      </c>
    </row>
    <row r="365">
      <c r="A365" s="8" t="n"/>
      <c r="B365" s="9" t="n"/>
      <c r="C365" s="65" t="n"/>
      <c r="D365" s="9" t="n"/>
      <c r="E365" s="66">
        <f>IF($B365="","",IF(LEFT($B365,1)="━","⚠️ Chọn hạng mục cụ thể",$C365*VLOOKUP($B365,'4. CÀI ĐẶT'!$A$2:$H$32,2,FALSE)))</f>
        <v/>
      </c>
      <c r="F365" s="67">
        <f>IF($B365="",0,IF(LEFT($B365,1)="━",0,$C365*VLOOKUP($B365,'4. CÀI ĐẶT'!$A$2:$H$32,3,FALSE)))</f>
        <v/>
      </c>
      <c r="G365" s="67">
        <f>IF($B365="",0,IF(LEFT($B365,1)="━",0,$C365*VLOOKUP($B365,'4. CÀI ĐẶT'!$A$2:$H$32,4,FALSE)))</f>
        <v/>
      </c>
      <c r="H365" s="67">
        <f>IF($B365="",0,IF(LEFT($B365,1)="━",0,$C365*VLOOKUP($B365,'4. CÀI ĐẶT'!$A$2:$H$32,5,FALSE)))</f>
        <v/>
      </c>
      <c r="I365">
        <f>IF($B365="","",IF(LEFT($B365,1)="━","",VLOOKUP($B365,'4. CÀI ĐẶT'!$A$2:$H$32,6,FALSE)))</f>
        <v/>
      </c>
      <c r="J365" s="13">
        <f>IF($A365="","",EOMONTH($A365,0))</f>
        <v/>
      </c>
      <c r="K365" s="67">
        <f>IF($B365="",0,IF(LEFT($B365,1)="━",0,$C365*VLOOKUP($B365,'4. CÀI ĐẶT'!$A$2:$H$32,7,FALSE)))</f>
        <v/>
      </c>
    </row>
    <row r="366">
      <c r="A366" s="8" t="n"/>
      <c r="B366" s="9" t="n"/>
      <c r="C366" s="65" t="n"/>
      <c r="D366" s="9" t="n"/>
      <c r="E366" s="66">
        <f>IF($B366="","",IF(LEFT($B366,1)="━","⚠️ Chọn hạng mục cụ thể",$C366*VLOOKUP($B366,'4. CÀI ĐẶT'!$A$2:$H$32,2,FALSE)))</f>
        <v/>
      </c>
      <c r="F366" s="67">
        <f>IF($B366="",0,IF(LEFT($B366,1)="━",0,$C366*VLOOKUP($B366,'4. CÀI ĐẶT'!$A$2:$H$32,3,FALSE)))</f>
        <v/>
      </c>
      <c r="G366" s="67">
        <f>IF($B366="",0,IF(LEFT($B366,1)="━",0,$C366*VLOOKUP($B366,'4. CÀI ĐẶT'!$A$2:$H$32,4,FALSE)))</f>
        <v/>
      </c>
      <c r="H366" s="67">
        <f>IF($B366="",0,IF(LEFT($B366,1)="━",0,$C366*VLOOKUP($B366,'4. CÀI ĐẶT'!$A$2:$H$32,5,FALSE)))</f>
        <v/>
      </c>
      <c r="I366">
        <f>IF($B366="","",IF(LEFT($B366,1)="━","",VLOOKUP($B366,'4. CÀI ĐẶT'!$A$2:$H$32,6,FALSE)))</f>
        <v/>
      </c>
      <c r="J366" s="13">
        <f>IF($A366="","",EOMONTH($A366,0))</f>
        <v/>
      </c>
      <c r="K366" s="67">
        <f>IF($B366="",0,IF(LEFT($B366,1)="━",0,$C366*VLOOKUP($B366,'4. CÀI ĐẶT'!$A$2:$H$32,7,FALSE)))</f>
        <v/>
      </c>
    </row>
    <row r="367">
      <c r="A367" s="8" t="n"/>
      <c r="B367" s="9" t="n"/>
      <c r="C367" s="65" t="n"/>
      <c r="D367" s="9" t="n"/>
      <c r="E367" s="66">
        <f>IF($B367="","",IF(LEFT($B367,1)="━","⚠️ Chọn hạng mục cụ thể",$C367*VLOOKUP($B367,'4. CÀI ĐẶT'!$A$2:$H$32,2,FALSE)))</f>
        <v/>
      </c>
      <c r="F367" s="67">
        <f>IF($B367="",0,IF(LEFT($B367,1)="━",0,$C367*VLOOKUP($B367,'4. CÀI ĐẶT'!$A$2:$H$32,3,FALSE)))</f>
        <v/>
      </c>
      <c r="G367" s="67">
        <f>IF($B367="",0,IF(LEFT($B367,1)="━",0,$C367*VLOOKUP($B367,'4. CÀI ĐẶT'!$A$2:$H$32,4,FALSE)))</f>
        <v/>
      </c>
      <c r="H367" s="67">
        <f>IF($B367="",0,IF(LEFT($B367,1)="━",0,$C367*VLOOKUP($B367,'4. CÀI ĐẶT'!$A$2:$H$32,5,FALSE)))</f>
        <v/>
      </c>
      <c r="I367">
        <f>IF($B367="","",IF(LEFT($B367,1)="━","",VLOOKUP($B367,'4. CÀI ĐẶT'!$A$2:$H$32,6,FALSE)))</f>
        <v/>
      </c>
      <c r="J367" s="13">
        <f>IF($A367="","",EOMONTH($A367,0))</f>
        <v/>
      </c>
      <c r="K367" s="67">
        <f>IF($B367="",0,IF(LEFT($B367,1)="━",0,$C367*VLOOKUP($B367,'4. CÀI ĐẶT'!$A$2:$H$32,7,FALSE)))</f>
        <v/>
      </c>
    </row>
    <row r="368">
      <c r="A368" s="8" t="n"/>
      <c r="B368" s="9" t="n"/>
      <c r="C368" s="65" t="n"/>
      <c r="D368" s="9" t="n"/>
      <c r="E368" s="66">
        <f>IF($B368="","",IF(LEFT($B368,1)="━","⚠️ Chọn hạng mục cụ thể",$C368*VLOOKUP($B368,'4. CÀI ĐẶT'!$A$2:$H$32,2,FALSE)))</f>
        <v/>
      </c>
      <c r="F368" s="67">
        <f>IF($B368="",0,IF(LEFT($B368,1)="━",0,$C368*VLOOKUP($B368,'4. CÀI ĐẶT'!$A$2:$H$32,3,FALSE)))</f>
        <v/>
      </c>
      <c r="G368" s="67">
        <f>IF($B368="",0,IF(LEFT($B368,1)="━",0,$C368*VLOOKUP($B368,'4. CÀI ĐẶT'!$A$2:$H$32,4,FALSE)))</f>
        <v/>
      </c>
      <c r="H368" s="67">
        <f>IF($B368="",0,IF(LEFT($B368,1)="━",0,$C368*VLOOKUP($B368,'4. CÀI ĐẶT'!$A$2:$H$32,5,FALSE)))</f>
        <v/>
      </c>
      <c r="I368">
        <f>IF($B368="","",IF(LEFT($B368,1)="━","",VLOOKUP($B368,'4. CÀI ĐẶT'!$A$2:$H$32,6,FALSE)))</f>
        <v/>
      </c>
      <c r="J368" s="13">
        <f>IF($A368="","",EOMONTH($A368,0))</f>
        <v/>
      </c>
      <c r="K368" s="67">
        <f>IF($B368="",0,IF(LEFT($B368,1)="━",0,$C368*VLOOKUP($B368,'4. CÀI ĐẶT'!$A$2:$H$32,7,FALSE)))</f>
        <v/>
      </c>
    </row>
    <row r="369">
      <c r="A369" s="8" t="n"/>
      <c r="B369" s="9" t="n"/>
      <c r="C369" s="65" t="n"/>
      <c r="D369" s="9" t="n"/>
      <c r="E369" s="66">
        <f>IF($B369="","",IF(LEFT($B369,1)="━","⚠️ Chọn hạng mục cụ thể",$C369*VLOOKUP($B369,'4. CÀI ĐẶT'!$A$2:$H$32,2,FALSE)))</f>
        <v/>
      </c>
      <c r="F369" s="67">
        <f>IF($B369="",0,IF(LEFT($B369,1)="━",0,$C369*VLOOKUP($B369,'4. CÀI ĐẶT'!$A$2:$H$32,3,FALSE)))</f>
        <v/>
      </c>
      <c r="G369" s="67">
        <f>IF($B369="",0,IF(LEFT($B369,1)="━",0,$C369*VLOOKUP($B369,'4. CÀI ĐẶT'!$A$2:$H$32,4,FALSE)))</f>
        <v/>
      </c>
      <c r="H369" s="67">
        <f>IF($B369="",0,IF(LEFT($B369,1)="━",0,$C369*VLOOKUP($B369,'4. CÀI ĐẶT'!$A$2:$H$32,5,FALSE)))</f>
        <v/>
      </c>
      <c r="I369">
        <f>IF($B369="","",IF(LEFT($B369,1)="━","",VLOOKUP($B369,'4. CÀI ĐẶT'!$A$2:$H$32,6,FALSE)))</f>
        <v/>
      </c>
      <c r="J369" s="13">
        <f>IF($A369="","",EOMONTH($A369,0))</f>
        <v/>
      </c>
      <c r="K369" s="67">
        <f>IF($B369="",0,IF(LEFT($B369,1)="━",0,$C369*VLOOKUP($B369,'4. CÀI ĐẶT'!$A$2:$H$32,7,FALSE)))</f>
        <v/>
      </c>
    </row>
    <row r="370">
      <c r="A370" s="8" t="n"/>
      <c r="B370" s="9" t="n"/>
      <c r="C370" s="65" t="n"/>
      <c r="D370" s="9" t="n"/>
      <c r="E370" s="66">
        <f>IF($B370="","",IF(LEFT($B370,1)="━","⚠️ Chọn hạng mục cụ thể",$C370*VLOOKUP($B370,'4. CÀI ĐẶT'!$A$2:$H$32,2,FALSE)))</f>
        <v/>
      </c>
      <c r="F370" s="67">
        <f>IF($B370="",0,IF(LEFT($B370,1)="━",0,$C370*VLOOKUP($B370,'4. CÀI ĐẶT'!$A$2:$H$32,3,FALSE)))</f>
        <v/>
      </c>
      <c r="G370" s="67">
        <f>IF($B370="",0,IF(LEFT($B370,1)="━",0,$C370*VLOOKUP($B370,'4. CÀI ĐẶT'!$A$2:$H$32,4,FALSE)))</f>
        <v/>
      </c>
      <c r="H370" s="67">
        <f>IF($B370="",0,IF(LEFT($B370,1)="━",0,$C370*VLOOKUP($B370,'4. CÀI ĐẶT'!$A$2:$H$32,5,FALSE)))</f>
        <v/>
      </c>
      <c r="I370">
        <f>IF($B370="","",IF(LEFT($B370,1)="━","",VLOOKUP($B370,'4. CÀI ĐẶT'!$A$2:$H$32,6,FALSE)))</f>
        <v/>
      </c>
      <c r="J370" s="13">
        <f>IF($A370="","",EOMONTH($A370,0))</f>
        <v/>
      </c>
      <c r="K370" s="67">
        <f>IF($B370="",0,IF(LEFT($B370,1)="━",0,$C370*VLOOKUP($B370,'4. CÀI ĐẶT'!$A$2:$H$32,7,FALSE)))</f>
        <v/>
      </c>
    </row>
    <row r="371">
      <c r="A371" s="8" t="n"/>
      <c r="B371" s="9" t="n"/>
      <c r="C371" s="65" t="n"/>
      <c r="D371" s="9" t="n"/>
      <c r="E371" s="66">
        <f>IF($B371="","",IF(LEFT($B371,1)="━","⚠️ Chọn hạng mục cụ thể",$C371*VLOOKUP($B371,'4. CÀI ĐẶT'!$A$2:$H$32,2,FALSE)))</f>
        <v/>
      </c>
      <c r="F371" s="67">
        <f>IF($B371="",0,IF(LEFT($B371,1)="━",0,$C371*VLOOKUP($B371,'4. CÀI ĐẶT'!$A$2:$H$32,3,FALSE)))</f>
        <v/>
      </c>
      <c r="G371" s="67">
        <f>IF($B371="",0,IF(LEFT($B371,1)="━",0,$C371*VLOOKUP($B371,'4. CÀI ĐẶT'!$A$2:$H$32,4,FALSE)))</f>
        <v/>
      </c>
      <c r="H371" s="67">
        <f>IF($B371="",0,IF(LEFT($B371,1)="━",0,$C371*VLOOKUP($B371,'4. CÀI ĐẶT'!$A$2:$H$32,5,FALSE)))</f>
        <v/>
      </c>
      <c r="I371">
        <f>IF($B371="","",IF(LEFT($B371,1)="━","",VLOOKUP($B371,'4. CÀI ĐẶT'!$A$2:$H$32,6,FALSE)))</f>
        <v/>
      </c>
      <c r="J371" s="13">
        <f>IF($A371="","",EOMONTH($A371,0))</f>
        <v/>
      </c>
      <c r="K371" s="67">
        <f>IF($B371="",0,IF(LEFT($B371,1)="━",0,$C371*VLOOKUP($B371,'4. CÀI ĐẶT'!$A$2:$H$32,7,FALSE)))</f>
        <v/>
      </c>
    </row>
    <row r="372">
      <c r="A372" s="8" t="n"/>
      <c r="B372" s="9" t="n"/>
      <c r="C372" s="65" t="n"/>
      <c r="D372" s="9" t="n"/>
      <c r="E372" s="66">
        <f>IF($B372="","",IF(LEFT($B372,1)="━","⚠️ Chọn hạng mục cụ thể",$C372*VLOOKUP($B372,'4. CÀI ĐẶT'!$A$2:$H$32,2,FALSE)))</f>
        <v/>
      </c>
      <c r="F372" s="67">
        <f>IF($B372="",0,IF(LEFT($B372,1)="━",0,$C372*VLOOKUP($B372,'4. CÀI ĐẶT'!$A$2:$H$32,3,FALSE)))</f>
        <v/>
      </c>
      <c r="G372" s="67">
        <f>IF($B372="",0,IF(LEFT($B372,1)="━",0,$C372*VLOOKUP($B372,'4. CÀI ĐẶT'!$A$2:$H$32,4,FALSE)))</f>
        <v/>
      </c>
      <c r="H372" s="67">
        <f>IF($B372="",0,IF(LEFT($B372,1)="━",0,$C372*VLOOKUP($B372,'4. CÀI ĐẶT'!$A$2:$H$32,5,FALSE)))</f>
        <v/>
      </c>
      <c r="I372">
        <f>IF($B372="","",IF(LEFT($B372,1)="━","",VLOOKUP($B372,'4. CÀI ĐẶT'!$A$2:$H$32,6,FALSE)))</f>
        <v/>
      </c>
      <c r="J372" s="13">
        <f>IF($A372="","",EOMONTH($A372,0))</f>
        <v/>
      </c>
      <c r="K372" s="67">
        <f>IF($B372="",0,IF(LEFT($B372,1)="━",0,$C372*VLOOKUP($B372,'4. CÀI ĐẶT'!$A$2:$H$32,7,FALSE)))</f>
        <v/>
      </c>
    </row>
    <row r="373">
      <c r="A373" s="8" t="n"/>
      <c r="B373" s="9" t="n"/>
      <c r="C373" s="65" t="n"/>
      <c r="D373" s="9" t="n"/>
      <c r="E373" s="66">
        <f>IF($B373="","",IF(LEFT($B373,1)="━","⚠️ Chọn hạng mục cụ thể",$C373*VLOOKUP($B373,'4. CÀI ĐẶT'!$A$2:$H$32,2,FALSE)))</f>
        <v/>
      </c>
      <c r="F373" s="67">
        <f>IF($B373="",0,IF(LEFT($B373,1)="━",0,$C373*VLOOKUP($B373,'4. CÀI ĐẶT'!$A$2:$H$32,3,FALSE)))</f>
        <v/>
      </c>
      <c r="G373" s="67">
        <f>IF($B373="",0,IF(LEFT($B373,1)="━",0,$C373*VLOOKUP($B373,'4. CÀI ĐẶT'!$A$2:$H$32,4,FALSE)))</f>
        <v/>
      </c>
      <c r="H373" s="67">
        <f>IF($B373="",0,IF(LEFT($B373,1)="━",0,$C373*VLOOKUP($B373,'4. CÀI ĐẶT'!$A$2:$H$32,5,FALSE)))</f>
        <v/>
      </c>
      <c r="I373">
        <f>IF($B373="","",IF(LEFT($B373,1)="━","",VLOOKUP($B373,'4. CÀI ĐẶT'!$A$2:$H$32,6,FALSE)))</f>
        <v/>
      </c>
      <c r="J373" s="13">
        <f>IF($A373="","",EOMONTH($A373,0))</f>
        <v/>
      </c>
      <c r="K373" s="67">
        <f>IF($B373="",0,IF(LEFT($B373,1)="━",0,$C373*VLOOKUP($B373,'4. CÀI ĐẶT'!$A$2:$H$32,7,FALSE)))</f>
        <v/>
      </c>
    </row>
    <row r="374">
      <c r="A374" s="8" t="n"/>
      <c r="B374" s="9" t="n"/>
      <c r="C374" s="65" t="n"/>
      <c r="D374" s="9" t="n"/>
      <c r="E374" s="66">
        <f>IF($B374="","",IF(LEFT($B374,1)="━","⚠️ Chọn hạng mục cụ thể",$C374*VLOOKUP($B374,'4. CÀI ĐẶT'!$A$2:$H$32,2,FALSE)))</f>
        <v/>
      </c>
      <c r="F374" s="67">
        <f>IF($B374="",0,IF(LEFT($B374,1)="━",0,$C374*VLOOKUP($B374,'4. CÀI ĐẶT'!$A$2:$H$32,3,FALSE)))</f>
        <v/>
      </c>
      <c r="G374" s="67">
        <f>IF($B374="",0,IF(LEFT($B374,1)="━",0,$C374*VLOOKUP($B374,'4. CÀI ĐẶT'!$A$2:$H$32,4,FALSE)))</f>
        <v/>
      </c>
      <c r="H374" s="67">
        <f>IF($B374="",0,IF(LEFT($B374,1)="━",0,$C374*VLOOKUP($B374,'4. CÀI ĐẶT'!$A$2:$H$32,5,FALSE)))</f>
        <v/>
      </c>
      <c r="I374">
        <f>IF($B374="","",IF(LEFT($B374,1)="━","",VLOOKUP($B374,'4. CÀI ĐẶT'!$A$2:$H$32,6,FALSE)))</f>
        <v/>
      </c>
      <c r="J374" s="13">
        <f>IF($A374="","",EOMONTH($A374,0))</f>
        <v/>
      </c>
      <c r="K374" s="67">
        <f>IF($B374="",0,IF(LEFT($B374,1)="━",0,$C374*VLOOKUP($B374,'4. CÀI ĐẶT'!$A$2:$H$32,7,FALSE)))</f>
        <v/>
      </c>
    </row>
    <row r="375">
      <c r="A375" s="8" t="n"/>
      <c r="B375" s="9" t="n"/>
      <c r="C375" s="65" t="n"/>
      <c r="D375" s="9" t="n"/>
      <c r="E375" s="66">
        <f>IF($B375="","",IF(LEFT($B375,1)="━","⚠️ Chọn hạng mục cụ thể",$C375*VLOOKUP($B375,'4. CÀI ĐẶT'!$A$2:$H$32,2,FALSE)))</f>
        <v/>
      </c>
      <c r="F375" s="67">
        <f>IF($B375="",0,IF(LEFT($B375,1)="━",0,$C375*VLOOKUP($B375,'4. CÀI ĐẶT'!$A$2:$H$32,3,FALSE)))</f>
        <v/>
      </c>
      <c r="G375" s="67">
        <f>IF($B375="",0,IF(LEFT($B375,1)="━",0,$C375*VLOOKUP($B375,'4. CÀI ĐẶT'!$A$2:$H$32,4,FALSE)))</f>
        <v/>
      </c>
      <c r="H375" s="67">
        <f>IF($B375="",0,IF(LEFT($B375,1)="━",0,$C375*VLOOKUP($B375,'4. CÀI ĐẶT'!$A$2:$H$32,5,FALSE)))</f>
        <v/>
      </c>
      <c r="I375">
        <f>IF($B375="","",IF(LEFT($B375,1)="━","",VLOOKUP($B375,'4. CÀI ĐẶT'!$A$2:$H$32,6,FALSE)))</f>
        <v/>
      </c>
      <c r="J375" s="13">
        <f>IF($A375="","",EOMONTH($A375,0))</f>
        <v/>
      </c>
      <c r="K375" s="67">
        <f>IF($B375="",0,IF(LEFT($B375,1)="━",0,$C375*VLOOKUP($B375,'4. CÀI ĐẶT'!$A$2:$H$32,7,FALSE)))</f>
        <v/>
      </c>
    </row>
    <row r="376">
      <c r="A376" s="8" t="n"/>
      <c r="B376" s="9" t="n"/>
      <c r="C376" s="65" t="n"/>
      <c r="D376" s="9" t="n"/>
      <c r="E376" s="66">
        <f>IF($B376="","",IF(LEFT($B376,1)="━","⚠️ Chọn hạng mục cụ thể",$C376*VLOOKUP($B376,'4. CÀI ĐẶT'!$A$2:$H$32,2,FALSE)))</f>
        <v/>
      </c>
      <c r="F376" s="67">
        <f>IF($B376="",0,IF(LEFT($B376,1)="━",0,$C376*VLOOKUP($B376,'4. CÀI ĐẶT'!$A$2:$H$32,3,FALSE)))</f>
        <v/>
      </c>
      <c r="G376" s="67">
        <f>IF($B376="",0,IF(LEFT($B376,1)="━",0,$C376*VLOOKUP($B376,'4. CÀI ĐẶT'!$A$2:$H$32,4,FALSE)))</f>
        <v/>
      </c>
      <c r="H376" s="67">
        <f>IF($B376="",0,IF(LEFT($B376,1)="━",0,$C376*VLOOKUP($B376,'4. CÀI ĐẶT'!$A$2:$H$32,5,FALSE)))</f>
        <v/>
      </c>
      <c r="I376">
        <f>IF($B376="","",IF(LEFT($B376,1)="━","",VLOOKUP($B376,'4. CÀI ĐẶT'!$A$2:$H$32,6,FALSE)))</f>
        <v/>
      </c>
      <c r="J376" s="13">
        <f>IF($A376="","",EOMONTH($A376,0))</f>
        <v/>
      </c>
      <c r="K376" s="67">
        <f>IF($B376="",0,IF(LEFT($B376,1)="━",0,$C376*VLOOKUP($B376,'4. CÀI ĐẶT'!$A$2:$H$32,7,FALSE)))</f>
        <v/>
      </c>
    </row>
    <row r="377">
      <c r="A377" s="8" t="n"/>
      <c r="B377" s="9" t="n"/>
      <c r="C377" s="65" t="n"/>
      <c r="D377" s="9" t="n"/>
      <c r="E377" s="66">
        <f>IF($B377="","",IF(LEFT($B377,1)="━","⚠️ Chọn hạng mục cụ thể",$C377*VLOOKUP($B377,'4. CÀI ĐẶT'!$A$2:$H$32,2,FALSE)))</f>
        <v/>
      </c>
      <c r="F377" s="67">
        <f>IF($B377="",0,IF(LEFT($B377,1)="━",0,$C377*VLOOKUP($B377,'4. CÀI ĐẶT'!$A$2:$H$32,3,FALSE)))</f>
        <v/>
      </c>
      <c r="G377" s="67">
        <f>IF($B377="",0,IF(LEFT($B377,1)="━",0,$C377*VLOOKUP($B377,'4. CÀI ĐẶT'!$A$2:$H$32,4,FALSE)))</f>
        <v/>
      </c>
      <c r="H377" s="67">
        <f>IF($B377="",0,IF(LEFT($B377,1)="━",0,$C377*VLOOKUP($B377,'4. CÀI ĐẶT'!$A$2:$H$32,5,FALSE)))</f>
        <v/>
      </c>
      <c r="I377">
        <f>IF($B377="","",IF(LEFT($B377,1)="━","",VLOOKUP($B377,'4. CÀI ĐẶT'!$A$2:$H$32,6,FALSE)))</f>
        <v/>
      </c>
      <c r="J377" s="13">
        <f>IF($A377="","",EOMONTH($A377,0))</f>
        <v/>
      </c>
      <c r="K377" s="67">
        <f>IF($B377="",0,IF(LEFT($B377,1)="━",0,$C377*VLOOKUP($B377,'4. CÀI ĐẶT'!$A$2:$H$32,7,FALSE)))</f>
        <v/>
      </c>
    </row>
    <row r="378">
      <c r="A378" s="8" t="n"/>
      <c r="B378" s="9" t="n"/>
      <c r="C378" s="65" t="n"/>
      <c r="D378" s="9" t="n"/>
      <c r="E378" s="66">
        <f>IF($B378="","",IF(LEFT($B378,1)="━","⚠️ Chọn hạng mục cụ thể",$C378*VLOOKUP($B378,'4. CÀI ĐẶT'!$A$2:$H$32,2,FALSE)))</f>
        <v/>
      </c>
      <c r="F378" s="67">
        <f>IF($B378="",0,IF(LEFT($B378,1)="━",0,$C378*VLOOKUP($B378,'4. CÀI ĐẶT'!$A$2:$H$32,3,FALSE)))</f>
        <v/>
      </c>
      <c r="G378" s="67">
        <f>IF($B378="",0,IF(LEFT($B378,1)="━",0,$C378*VLOOKUP($B378,'4. CÀI ĐẶT'!$A$2:$H$32,4,FALSE)))</f>
        <v/>
      </c>
      <c r="H378" s="67">
        <f>IF($B378="",0,IF(LEFT($B378,1)="━",0,$C378*VLOOKUP($B378,'4. CÀI ĐẶT'!$A$2:$H$32,5,FALSE)))</f>
        <v/>
      </c>
      <c r="I378">
        <f>IF($B378="","",IF(LEFT($B378,1)="━","",VLOOKUP($B378,'4. CÀI ĐẶT'!$A$2:$H$32,6,FALSE)))</f>
        <v/>
      </c>
      <c r="J378" s="13">
        <f>IF($A378="","",EOMONTH($A378,0))</f>
        <v/>
      </c>
      <c r="K378" s="67">
        <f>IF($B378="",0,IF(LEFT($B378,1)="━",0,$C378*VLOOKUP($B378,'4. CÀI ĐẶT'!$A$2:$H$32,7,FALSE)))</f>
        <v/>
      </c>
    </row>
    <row r="379">
      <c r="A379" s="8" t="n"/>
      <c r="B379" s="9" t="n"/>
      <c r="C379" s="65" t="n"/>
      <c r="D379" s="9" t="n"/>
      <c r="E379" s="66">
        <f>IF($B379="","",IF(LEFT($B379,1)="━","⚠️ Chọn hạng mục cụ thể",$C379*VLOOKUP($B379,'4. CÀI ĐẶT'!$A$2:$H$32,2,FALSE)))</f>
        <v/>
      </c>
      <c r="F379" s="67">
        <f>IF($B379="",0,IF(LEFT($B379,1)="━",0,$C379*VLOOKUP($B379,'4. CÀI ĐẶT'!$A$2:$H$32,3,FALSE)))</f>
        <v/>
      </c>
      <c r="G379" s="67">
        <f>IF($B379="",0,IF(LEFT($B379,1)="━",0,$C379*VLOOKUP($B379,'4. CÀI ĐẶT'!$A$2:$H$32,4,FALSE)))</f>
        <v/>
      </c>
      <c r="H379" s="67">
        <f>IF($B379="",0,IF(LEFT($B379,1)="━",0,$C379*VLOOKUP($B379,'4. CÀI ĐẶT'!$A$2:$H$32,5,FALSE)))</f>
        <v/>
      </c>
      <c r="I379">
        <f>IF($B379="","",IF(LEFT($B379,1)="━","",VLOOKUP($B379,'4. CÀI ĐẶT'!$A$2:$H$32,6,FALSE)))</f>
        <v/>
      </c>
      <c r="J379" s="13">
        <f>IF($A379="","",EOMONTH($A379,0))</f>
        <v/>
      </c>
      <c r="K379" s="67">
        <f>IF($B379="",0,IF(LEFT($B379,1)="━",0,$C379*VLOOKUP($B379,'4. CÀI ĐẶT'!$A$2:$H$32,7,FALSE)))</f>
        <v/>
      </c>
    </row>
    <row r="380">
      <c r="A380" s="8" t="n"/>
      <c r="B380" s="9" t="n"/>
      <c r="C380" s="65" t="n"/>
      <c r="D380" s="9" t="n"/>
      <c r="E380" s="66">
        <f>IF($B380="","",IF(LEFT($B380,1)="━","⚠️ Chọn hạng mục cụ thể",$C380*VLOOKUP($B380,'4. CÀI ĐẶT'!$A$2:$H$32,2,FALSE)))</f>
        <v/>
      </c>
      <c r="F380" s="67">
        <f>IF($B380="",0,IF(LEFT($B380,1)="━",0,$C380*VLOOKUP($B380,'4. CÀI ĐẶT'!$A$2:$H$32,3,FALSE)))</f>
        <v/>
      </c>
      <c r="G380" s="67">
        <f>IF($B380="",0,IF(LEFT($B380,1)="━",0,$C380*VLOOKUP($B380,'4. CÀI ĐẶT'!$A$2:$H$32,4,FALSE)))</f>
        <v/>
      </c>
      <c r="H380" s="67">
        <f>IF($B380="",0,IF(LEFT($B380,1)="━",0,$C380*VLOOKUP($B380,'4. CÀI ĐẶT'!$A$2:$H$32,5,FALSE)))</f>
        <v/>
      </c>
      <c r="I380">
        <f>IF($B380="","",IF(LEFT($B380,1)="━","",VLOOKUP($B380,'4. CÀI ĐẶT'!$A$2:$H$32,6,FALSE)))</f>
        <v/>
      </c>
      <c r="J380" s="13">
        <f>IF($A380="","",EOMONTH($A380,0))</f>
        <v/>
      </c>
      <c r="K380" s="67">
        <f>IF($B380="",0,IF(LEFT($B380,1)="━",0,$C380*VLOOKUP($B380,'4. CÀI ĐẶT'!$A$2:$H$32,7,FALSE)))</f>
        <v/>
      </c>
    </row>
    <row r="381">
      <c r="A381" s="8" t="n"/>
      <c r="B381" s="9" t="n"/>
      <c r="C381" s="65" t="n"/>
      <c r="D381" s="9" t="n"/>
      <c r="E381" s="66">
        <f>IF($B381="","",IF(LEFT($B381,1)="━","⚠️ Chọn hạng mục cụ thể",$C381*VLOOKUP($B381,'4. CÀI ĐẶT'!$A$2:$H$32,2,FALSE)))</f>
        <v/>
      </c>
      <c r="F381" s="67">
        <f>IF($B381="",0,IF(LEFT($B381,1)="━",0,$C381*VLOOKUP($B381,'4. CÀI ĐẶT'!$A$2:$H$32,3,FALSE)))</f>
        <v/>
      </c>
      <c r="G381" s="67">
        <f>IF($B381="",0,IF(LEFT($B381,1)="━",0,$C381*VLOOKUP($B381,'4. CÀI ĐẶT'!$A$2:$H$32,4,FALSE)))</f>
        <v/>
      </c>
      <c r="H381" s="67">
        <f>IF($B381="",0,IF(LEFT($B381,1)="━",0,$C381*VLOOKUP($B381,'4. CÀI ĐẶT'!$A$2:$H$32,5,FALSE)))</f>
        <v/>
      </c>
      <c r="I381">
        <f>IF($B381="","",IF(LEFT($B381,1)="━","",VLOOKUP($B381,'4. CÀI ĐẶT'!$A$2:$H$32,6,FALSE)))</f>
        <v/>
      </c>
      <c r="J381" s="13">
        <f>IF($A381="","",EOMONTH($A381,0))</f>
        <v/>
      </c>
      <c r="K381" s="67">
        <f>IF($B381="",0,IF(LEFT($B381,1)="━",0,$C381*VLOOKUP($B381,'4. CÀI ĐẶT'!$A$2:$H$32,7,FALSE)))</f>
        <v/>
      </c>
    </row>
    <row r="382">
      <c r="A382" s="8" t="n"/>
      <c r="B382" s="9" t="n"/>
      <c r="C382" s="65" t="n"/>
      <c r="D382" s="9" t="n"/>
      <c r="E382" s="66">
        <f>IF($B382="","",IF(LEFT($B382,1)="━","⚠️ Chọn hạng mục cụ thể",$C382*VLOOKUP($B382,'4. CÀI ĐẶT'!$A$2:$H$32,2,FALSE)))</f>
        <v/>
      </c>
      <c r="F382" s="67">
        <f>IF($B382="",0,IF(LEFT($B382,1)="━",0,$C382*VLOOKUP($B382,'4. CÀI ĐẶT'!$A$2:$H$32,3,FALSE)))</f>
        <v/>
      </c>
      <c r="G382" s="67">
        <f>IF($B382="",0,IF(LEFT($B382,1)="━",0,$C382*VLOOKUP($B382,'4. CÀI ĐẶT'!$A$2:$H$32,4,FALSE)))</f>
        <v/>
      </c>
      <c r="H382" s="67">
        <f>IF($B382="",0,IF(LEFT($B382,1)="━",0,$C382*VLOOKUP($B382,'4. CÀI ĐẶT'!$A$2:$H$32,5,FALSE)))</f>
        <v/>
      </c>
      <c r="I382">
        <f>IF($B382="","",IF(LEFT($B382,1)="━","",VLOOKUP($B382,'4. CÀI ĐẶT'!$A$2:$H$32,6,FALSE)))</f>
        <v/>
      </c>
      <c r="J382" s="13">
        <f>IF($A382="","",EOMONTH($A382,0))</f>
        <v/>
      </c>
      <c r="K382" s="67">
        <f>IF($B382="",0,IF(LEFT($B382,1)="━",0,$C382*VLOOKUP($B382,'4. CÀI ĐẶT'!$A$2:$H$32,7,FALSE)))</f>
        <v/>
      </c>
    </row>
    <row r="383">
      <c r="A383" s="8" t="n"/>
      <c r="B383" s="9" t="n"/>
      <c r="C383" s="65" t="n"/>
      <c r="D383" s="9" t="n"/>
      <c r="E383" s="66">
        <f>IF($B383="","",IF(LEFT($B383,1)="━","⚠️ Chọn hạng mục cụ thể",$C383*VLOOKUP($B383,'4. CÀI ĐẶT'!$A$2:$H$32,2,FALSE)))</f>
        <v/>
      </c>
      <c r="F383" s="67">
        <f>IF($B383="",0,IF(LEFT($B383,1)="━",0,$C383*VLOOKUP($B383,'4. CÀI ĐẶT'!$A$2:$H$32,3,FALSE)))</f>
        <v/>
      </c>
      <c r="G383" s="67">
        <f>IF($B383="",0,IF(LEFT($B383,1)="━",0,$C383*VLOOKUP($B383,'4. CÀI ĐẶT'!$A$2:$H$32,4,FALSE)))</f>
        <v/>
      </c>
      <c r="H383" s="67">
        <f>IF($B383="",0,IF(LEFT($B383,1)="━",0,$C383*VLOOKUP($B383,'4. CÀI ĐẶT'!$A$2:$H$32,5,FALSE)))</f>
        <v/>
      </c>
      <c r="I383">
        <f>IF($B383="","",IF(LEFT($B383,1)="━","",VLOOKUP($B383,'4. CÀI ĐẶT'!$A$2:$H$32,6,FALSE)))</f>
        <v/>
      </c>
      <c r="J383" s="13">
        <f>IF($A383="","",EOMONTH($A383,0))</f>
        <v/>
      </c>
      <c r="K383" s="67">
        <f>IF($B383="",0,IF(LEFT($B383,1)="━",0,$C383*VLOOKUP($B383,'4. CÀI ĐẶT'!$A$2:$H$32,7,FALSE)))</f>
        <v/>
      </c>
    </row>
    <row r="384">
      <c r="A384" s="8" t="n"/>
      <c r="B384" s="9" t="n"/>
      <c r="C384" s="65" t="n"/>
      <c r="D384" s="9" t="n"/>
      <c r="E384" s="66">
        <f>IF($B384="","",IF(LEFT($B384,1)="━","⚠️ Chọn hạng mục cụ thể",$C384*VLOOKUP($B384,'4. CÀI ĐẶT'!$A$2:$H$32,2,FALSE)))</f>
        <v/>
      </c>
      <c r="F384" s="67">
        <f>IF($B384="",0,IF(LEFT($B384,1)="━",0,$C384*VLOOKUP($B384,'4. CÀI ĐẶT'!$A$2:$H$32,3,FALSE)))</f>
        <v/>
      </c>
      <c r="G384" s="67">
        <f>IF($B384="",0,IF(LEFT($B384,1)="━",0,$C384*VLOOKUP($B384,'4. CÀI ĐẶT'!$A$2:$H$32,4,FALSE)))</f>
        <v/>
      </c>
      <c r="H384" s="67">
        <f>IF($B384="",0,IF(LEFT($B384,1)="━",0,$C384*VLOOKUP($B384,'4. CÀI ĐẶT'!$A$2:$H$32,5,FALSE)))</f>
        <v/>
      </c>
      <c r="I384">
        <f>IF($B384="","",IF(LEFT($B384,1)="━","",VLOOKUP($B384,'4. CÀI ĐẶT'!$A$2:$H$32,6,FALSE)))</f>
        <v/>
      </c>
      <c r="J384" s="13">
        <f>IF($A384="","",EOMONTH($A384,0))</f>
        <v/>
      </c>
      <c r="K384" s="67">
        <f>IF($B384="",0,IF(LEFT($B384,1)="━",0,$C384*VLOOKUP($B384,'4. CÀI ĐẶT'!$A$2:$H$32,7,FALSE)))</f>
        <v/>
      </c>
    </row>
    <row r="385">
      <c r="A385" s="8" t="n"/>
      <c r="B385" s="9" t="n"/>
      <c r="C385" s="65" t="n"/>
      <c r="D385" s="9" t="n"/>
      <c r="E385" s="66">
        <f>IF($B385="","",IF(LEFT($B385,1)="━","⚠️ Chọn hạng mục cụ thể",$C385*VLOOKUP($B385,'4. CÀI ĐẶT'!$A$2:$H$32,2,FALSE)))</f>
        <v/>
      </c>
      <c r="F385" s="67">
        <f>IF($B385="",0,IF(LEFT($B385,1)="━",0,$C385*VLOOKUP($B385,'4. CÀI ĐẶT'!$A$2:$H$32,3,FALSE)))</f>
        <v/>
      </c>
      <c r="G385" s="67">
        <f>IF($B385="",0,IF(LEFT($B385,1)="━",0,$C385*VLOOKUP($B385,'4. CÀI ĐẶT'!$A$2:$H$32,4,FALSE)))</f>
        <v/>
      </c>
      <c r="H385" s="67">
        <f>IF($B385="",0,IF(LEFT($B385,1)="━",0,$C385*VLOOKUP($B385,'4. CÀI ĐẶT'!$A$2:$H$32,5,FALSE)))</f>
        <v/>
      </c>
      <c r="I385">
        <f>IF($B385="","",IF(LEFT($B385,1)="━","",VLOOKUP($B385,'4. CÀI ĐẶT'!$A$2:$H$32,6,FALSE)))</f>
        <v/>
      </c>
      <c r="J385" s="13">
        <f>IF($A385="","",EOMONTH($A385,0))</f>
        <v/>
      </c>
      <c r="K385" s="67">
        <f>IF($B385="",0,IF(LEFT($B385,1)="━",0,$C385*VLOOKUP($B385,'4. CÀI ĐẶT'!$A$2:$H$32,7,FALSE)))</f>
        <v/>
      </c>
    </row>
    <row r="386">
      <c r="A386" s="8" t="n"/>
      <c r="B386" s="9" t="n"/>
      <c r="C386" s="65" t="n"/>
      <c r="D386" s="9" t="n"/>
      <c r="E386" s="66">
        <f>IF($B386="","",IF(LEFT($B386,1)="━","⚠️ Chọn hạng mục cụ thể",$C386*VLOOKUP($B386,'4. CÀI ĐẶT'!$A$2:$H$32,2,FALSE)))</f>
        <v/>
      </c>
      <c r="F386" s="67">
        <f>IF($B386="",0,IF(LEFT($B386,1)="━",0,$C386*VLOOKUP($B386,'4. CÀI ĐẶT'!$A$2:$H$32,3,FALSE)))</f>
        <v/>
      </c>
      <c r="G386" s="67">
        <f>IF($B386="",0,IF(LEFT($B386,1)="━",0,$C386*VLOOKUP($B386,'4. CÀI ĐẶT'!$A$2:$H$32,4,FALSE)))</f>
        <v/>
      </c>
      <c r="H386" s="67">
        <f>IF($B386="",0,IF(LEFT($B386,1)="━",0,$C386*VLOOKUP($B386,'4. CÀI ĐẶT'!$A$2:$H$32,5,FALSE)))</f>
        <v/>
      </c>
      <c r="I386">
        <f>IF($B386="","",IF(LEFT($B386,1)="━","",VLOOKUP($B386,'4. CÀI ĐẶT'!$A$2:$H$32,6,FALSE)))</f>
        <v/>
      </c>
      <c r="J386" s="13">
        <f>IF($A386="","",EOMONTH($A386,0))</f>
        <v/>
      </c>
      <c r="K386" s="67">
        <f>IF($B386="",0,IF(LEFT($B386,1)="━",0,$C386*VLOOKUP($B386,'4. CÀI ĐẶT'!$A$2:$H$32,7,FALSE)))</f>
        <v/>
      </c>
    </row>
    <row r="387">
      <c r="A387" s="8" t="n"/>
      <c r="B387" s="9" t="n"/>
      <c r="C387" s="65" t="n"/>
      <c r="D387" s="9" t="n"/>
      <c r="E387" s="66">
        <f>IF($B387="","",IF(LEFT($B387,1)="━","⚠️ Chọn hạng mục cụ thể",$C387*VLOOKUP($B387,'4. CÀI ĐẶT'!$A$2:$H$32,2,FALSE)))</f>
        <v/>
      </c>
      <c r="F387" s="67">
        <f>IF($B387="",0,IF(LEFT($B387,1)="━",0,$C387*VLOOKUP($B387,'4. CÀI ĐẶT'!$A$2:$H$32,3,FALSE)))</f>
        <v/>
      </c>
      <c r="G387" s="67">
        <f>IF($B387="",0,IF(LEFT($B387,1)="━",0,$C387*VLOOKUP($B387,'4. CÀI ĐẶT'!$A$2:$H$32,4,FALSE)))</f>
        <v/>
      </c>
      <c r="H387" s="67">
        <f>IF($B387="",0,IF(LEFT($B387,1)="━",0,$C387*VLOOKUP($B387,'4. CÀI ĐẶT'!$A$2:$H$32,5,FALSE)))</f>
        <v/>
      </c>
      <c r="I387">
        <f>IF($B387="","",IF(LEFT($B387,1)="━","",VLOOKUP($B387,'4. CÀI ĐẶT'!$A$2:$H$32,6,FALSE)))</f>
        <v/>
      </c>
      <c r="J387" s="13">
        <f>IF($A387="","",EOMONTH($A387,0))</f>
        <v/>
      </c>
      <c r="K387" s="67">
        <f>IF($B387="",0,IF(LEFT($B387,1)="━",0,$C387*VLOOKUP($B387,'4. CÀI ĐẶT'!$A$2:$H$32,7,FALSE)))</f>
        <v/>
      </c>
    </row>
    <row r="388">
      <c r="A388" s="8" t="n"/>
      <c r="B388" s="9" t="n"/>
      <c r="C388" s="65" t="n"/>
      <c r="D388" s="9" t="n"/>
      <c r="E388" s="66">
        <f>IF($B388="","",IF(LEFT($B388,1)="━","⚠️ Chọn hạng mục cụ thể",$C388*VLOOKUP($B388,'4. CÀI ĐẶT'!$A$2:$H$32,2,FALSE)))</f>
        <v/>
      </c>
      <c r="F388" s="67">
        <f>IF($B388="",0,IF(LEFT($B388,1)="━",0,$C388*VLOOKUP($B388,'4. CÀI ĐẶT'!$A$2:$H$32,3,FALSE)))</f>
        <v/>
      </c>
      <c r="G388" s="67">
        <f>IF($B388="",0,IF(LEFT($B388,1)="━",0,$C388*VLOOKUP($B388,'4. CÀI ĐẶT'!$A$2:$H$32,4,FALSE)))</f>
        <v/>
      </c>
      <c r="H388" s="67">
        <f>IF($B388="",0,IF(LEFT($B388,1)="━",0,$C388*VLOOKUP($B388,'4. CÀI ĐẶT'!$A$2:$H$32,5,FALSE)))</f>
        <v/>
      </c>
      <c r="I388">
        <f>IF($B388="","",IF(LEFT($B388,1)="━","",VLOOKUP($B388,'4. CÀI ĐẶT'!$A$2:$H$32,6,FALSE)))</f>
        <v/>
      </c>
      <c r="J388" s="13">
        <f>IF($A388="","",EOMONTH($A388,0))</f>
        <v/>
      </c>
      <c r="K388" s="67">
        <f>IF($B388="",0,IF(LEFT($B388,1)="━",0,$C388*VLOOKUP($B388,'4. CÀI ĐẶT'!$A$2:$H$32,7,FALSE)))</f>
        <v/>
      </c>
    </row>
    <row r="389">
      <c r="A389" s="8" t="n"/>
      <c r="B389" s="9" t="n"/>
      <c r="C389" s="65" t="n"/>
      <c r="D389" s="9" t="n"/>
      <c r="E389" s="66">
        <f>IF($B389="","",IF(LEFT($B389,1)="━","⚠️ Chọn hạng mục cụ thể",$C389*VLOOKUP($B389,'4. CÀI ĐẶT'!$A$2:$H$32,2,FALSE)))</f>
        <v/>
      </c>
      <c r="F389" s="67">
        <f>IF($B389="",0,IF(LEFT($B389,1)="━",0,$C389*VLOOKUP($B389,'4. CÀI ĐẶT'!$A$2:$H$32,3,FALSE)))</f>
        <v/>
      </c>
      <c r="G389" s="67">
        <f>IF($B389="",0,IF(LEFT($B389,1)="━",0,$C389*VLOOKUP($B389,'4. CÀI ĐẶT'!$A$2:$H$32,4,FALSE)))</f>
        <v/>
      </c>
      <c r="H389" s="67">
        <f>IF($B389="",0,IF(LEFT($B389,1)="━",0,$C389*VLOOKUP($B389,'4. CÀI ĐẶT'!$A$2:$H$32,5,FALSE)))</f>
        <v/>
      </c>
      <c r="I389">
        <f>IF($B389="","",IF(LEFT($B389,1)="━","",VLOOKUP($B389,'4. CÀI ĐẶT'!$A$2:$H$32,6,FALSE)))</f>
        <v/>
      </c>
      <c r="J389" s="13">
        <f>IF($A389="","",EOMONTH($A389,0))</f>
        <v/>
      </c>
      <c r="K389" s="67">
        <f>IF($B389="",0,IF(LEFT($B389,1)="━",0,$C389*VLOOKUP($B389,'4. CÀI ĐẶT'!$A$2:$H$32,7,FALSE)))</f>
        <v/>
      </c>
    </row>
    <row r="390">
      <c r="A390" s="8" t="n"/>
      <c r="B390" s="9" t="n"/>
      <c r="C390" s="65" t="n"/>
      <c r="D390" s="9" t="n"/>
      <c r="E390" s="66">
        <f>IF($B390="","",IF(LEFT($B390,1)="━","⚠️ Chọn hạng mục cụ thể",$C390*VLOOKUP($B390,'4. CÀI ĐẶT'!$A$2:$H$32,2,FALSE)))</f>
        <v/>
      </c>
      <c r="F390" s="67">
        <f>IF($B390="",0,IF(LEFT($B390,1)="━",0,$C390*VLOOKUP($B390,'4. CÀI ĐẶT'!$A$2:$H$32,3,FALSE)))</f>
        <v/>
      </c>
      <c r="G390" s="67">
        <f>IF($B390="",0,IF(LEFT($B390,1)="━",0,$C390*VLOOKUP($B390,'4. CÀI ĐẶT'!$A$2:$H$32,4,FALSE)))</f>
        <v/>
      </c>
      <c r="H390" s="67">
        <f>IF($B390="",0,IF(LEFT($B390,1)="━",0,$C390*VLOOKUP($B390,'4. CÀI ĐẶT'!$A$2:$H$32,5,FALSE)))</f>
        <v/>
      </c>
      <c r="I390">
        <f>IF($B390="","",IF(LEFT($B390,1)="━","",VLOOKUP($B390,'4. CÀI ĐẶT'!$A$2:$H$32,6,FALSE)))</f>
        <v/>
      </c>
      <c r="J390" s="13">
        <f>IF($A390="","",EOMONTH($A390,0))</f>
        <v/>
      </c>
      <c r="K390" s="67">
        <f>IF($B390="",0,IF(LEFT($B390,1)="━",0,$C390*VLOOKUP($B390,'4. CÀI ĐẶT'!$A$2:$H$32,7,FALSE)))</f>
        <v/>
      </c>
    </row>
    <row r="391">
      <c r="A391" s="8" t="n"/>
      <c r="B391" s="9" t="n"/>
      <c r="C391" s="65" t="n"/>
      <c r="D391" s="9" t="n"/>
      <c r="E391" s="66">
        <f>IF($B391="","",IF(LEFT($B391,1)="━","⚠️ Chọn hạng mục cụ thể",$C391*VLOOKUP($B391,'4. CÀI ĐẶT'!$A$2:$H$32,2,FALSE)))</f>
        <v/>
      </c>
      <c r="F391" s="67">
        <f>IF($B391="",0,IF(LEFT($B391,1)="━",0,$C391*VLOOKUP($B391,'4. CÀI ĐẶT'!$A$2:$H$32,3,FALSE)))</f>
        <v/>
      </c>
      <c r="G391" s="67">
        <f>IF($B391="",0,IF(LEFT($B391,1)="━",0,$C391*VLOOKUP($B391,'4. CÀI ĐẶT'!$A$2:$H$32,4,FALSE)))</f>
        <v/>
      </c>
      <c r="H391" s="67">
        <f>IF($B391="",0,IF(LEFT($B391,1)="━",0,$C391*VLOOKUP($B391,'4. CÀI ĐẶT'!$A$2:$H$32,5,FALSE)))</f>
        <v/>
      </c>
      <c r="I391">
        <f>IF($B391="","",IF(LEFT($B391,1)="━","",VLOOKUP($B391,'4. CÀI ĐẶT'!$A$2:$H$32,6,FALSE)))</f>
        <v/>
      </c>
      <c r="J391" s="13">
        <f>IF($A391="","",EOMONTH($A391,0))</f>
        <v/>
      </c>
      <c r="K391" s="67">
        <f>IF($B391="",0,IF(LEFT($B391,1)="━",0,$C391*VLOOKUP($B391,'4. CÀI ĐẶT'!$A$2:$H$32,7,FALSE)))</f>
        <v/>
      </c>
    </row>
    <row r="392">
      <c r="A392" s="8" t="n"/>
      <c r="B392" s="9" t="n"/>
      <c r="C392" s="65" t="n"/>
      <c r="D392" s="9" t="n"/>
      <c r="E392" s="66">
        <f>IF($B392="","",IF(LEFT($B392,1)="━","⚠️ Chọn hạng mục cụ thể",$C392*VLOOKUP($B392,'4. CÀI ĐẶT'!$A$2:$H$32,2,FALSE)))</f>
        <v/>
      </c>
      <c r="F392" s="67">
        <f>IF($B392="",0,IF(LEFT($B392,1)="━",0,$C392*VLOOKUP($B392,'4. CÀI ĐẶT'!$A$2:$H$32,3,FALSE)))</f>
        <v/>
      </c>
      <c r="G392" s="67">
        <f>IF($B392="",0,IF(LEFT($B392,1)="━",0,$C392*VLOOKUP($B392,'4. CÀI ĐẶT'!$A$2:$H$32,4,FALSE)))</f>
        <v/>
      </c>
      <c r="H392" s="67">
        <f>IF($B392="",0,IF(LEFT($B392,1)="━",0,$C392*VLOOKUP($B392,'4. CÀI ĐẶT'!$A$2:$H$32,5,FALSE)))</f>
        <v/>
      </c>
      <c r="I392">
        <f>IF($B392="","",IF(LEFT($B392,1)="━","",VLOOKUP($B392,'4. CÀI ĐẶT'!$A$2:$H$32,6,FALSE)))</f>
        <v/>
      </c>
      <c r="J392" s="13">
        <f>IF($A392="","",EOMONTH($A392,0))</f>
        <v/>
      </c>
      <c r="K392" s="67">
        <f>IF($B392="",0,IF(LEFT($B392,1)="━",0,$C392*VLOOKUP($B392,'4. CÀI ĐẶT'!$A$2:$H$32,7,FALSE)))</f>
        <v/>
      </c>
    </row>
    <row r="393">
      <c r="A393" s="8" t="n"/>
      <c r="B393" s="9" t="n"/>
      <c r="C393" s="65" t="n"/>
      <c r="D393" s="9" t="n"/>
      <c r="E393" s="66">
        <f>IF($B393="","",IF(LEFT($B393,1)="━","⚠️ Chọn hạng mục cụ thể",$C393*VLOOKUP($B393,'4. CÀI ĐẶT'!$A$2:$H$32,2,FALSE)))</f>
        <v/>
      </c>
      <c r="F393" s="67">
        <f>IF($B393="",0,IF(LEFT($B393,1)="━",0,$C393*VLOOKUP($B393,'4. CÀI ĐẶT'!$A$2:$H$32,3,FALSE)))</f>
        <v/>
      </c>
      <c r="G393" s="67">
        <f>IF($B393="",0,IF(LEFT($B393,1)="━",0,$C393*VLOOKUP($B393,'4. CÀI ĐẶT'!$A$2:$H$32,4,FALSE)))</f>
        <v/>
      </c>
      <c r="H393" s="67">
        <f>IF($B393="",0,IF(LEFT($B393,1)="━",0,$C393*VLOOKUP($B393,'4. CÀI ĐẶT'!$A$2:$H$32,5,FALSE)))</f>
        <v/>
      </c>
      <c r="I393">
        <f>IF($B393="","",IF(LEFT($B393,1)="━","",VLOOKUP($B393,'4. CÀI ĐẶT'!$A$2:$H$32,6,FALSE)))</f>
        <v/>
      </c>
      <c r="J393" s="13">
        <f>IF($A393="","",EOMONTH($A393,0))</f>
        <v/>
      </c>
      <c r="K393" s="67">
        <f>IF($B393="",0,IF(LEFT($B393,1)="━",0,$C393*VLOOKUP($B393,'4. CÀI ĐẶT'!$A$2:$H$32,7,FALSE)))</f>
        <v/>
      </c>
    </row>
    <row r="394">
      <c r="A394" s="8" t="n"/>
      <c r="B394" s="9" t="n"/>
      <c r="C394" s="65" t="n"/>
      <c r="D394" s="9" t="n"/>
      <c r="E394" s="66">
        <f>IF($B394="","",IF(LEFT($B394,1)="━","⚠️ Chọn hạng mục cụ thể",$C394*VLOOKUP($B394,'4. CÀI ĐẶT'!$A$2:$H$32,2,FALSE)))</f>
        <v/>
      </c>
      <c r="F394" s="67">
        <f>IF($B394="",0,IF(LEFT($B394,1)="━",0,$C394*VLOOKUP($B394,'4. CÀI ĐẶT'!$A$2:$H$32,3,FALSE)))</f>
        <v/>
      </c>
      <c r="G394" s="67">
        <f>IF($B394="",0,IF(LEFT($B394,1)="━",0,$C394*VLOOKUP($B394,'4. CÀI ĐẶT'!$A$2:$H$32,4,FALSE)))</f>
        <v/>
      </c>
      <c r="H394" s="67">
        <f>IF($B394="",0,IF(LEFT($B394,1)="━",0,$C394*VLOOKUP($B394,'4. CÀI ĐẶT'!$A$2:$H$32,5,FALSE)))</f>
        <v/>
      </c>
      <c r="I394">
        <f>IF($B394="","",IF(LEFT($B394,1)="━","",VLOOKUP($B394,'4. CÀI ĐẶT'!$A$2:$H$32,6,FALSE)))</f>
        <v/>
      </c>
      <c r="J394" s="13">
        <f>IF($A394="","",EOMONTH($A394,0))</f>
        <v/>
      </c>
      <c r="K394" s="67">
        <f>IF($B394="",0,IF(LEFT($B394,1)="━",0,$C394*VLOOKUP($B394,'4. CÀI ĐẶT'!$A$2:$H$32,7,FALSE)))</f>
        <v/>
      </c>
    </row>
    <row r="395">
      <c r="A395" s="8" t="n"/>
      <c r="B395" s="9" t="n"/>
      <c r="C395" s="65" t="n"/>
      <c r="D395" s="9" t="n"/>
      <c r="E395" s="66">
        <f>IF($B395="","",IF(LEFT($B395,1)="━","⚠️ Chọn hạng mục cụ thể",$C395*VLOOKUP($B395,'4. CÀI ĐẶT'!$A$2:$H$32,2,FALSE)))</f>
        <v/>
      </c>
      <c r="F395" s="67">
        <f>IF($B395="",0,IF(LEFT($B395,1)="━",0,$C395*VLOOKUP($B395,'4. CÀI ĐẶT'!$A$2:$H$32,3,FALSE)))</f>
        <v/>
      </c>
      <c r="G395" s="67">
        <f>IF($B395="",0,IF(LEFT($B395,1)="━",0,$C395*VLOOKUP($B395,'4. CÀI ĐẶT'!$A$2:$H$32,4,FALSE)))</f>
        <v/>
      </c>
      <c r="H395" s="67">
        <f>IF($B395="",0,IF(LEFT($B395,1)="━",0,$C395*VLOOKUP($B395,'4. CÀI ĐẶT'!$A$2:$H$32,5,FALSE)))</f>
        <v/>
      </c>
      <c r="I395">
        <f>IF($B395="","",IF(LEFT($B395,1)="━","",VLOOKUP($B395,'4. CÀI ĐẶT'!$A$2:$H$32,6,FALSE)))</f>
        <v/>
      </c>
      <c r="J395" s="13">
        <f>IF($A395="","",EOMONTH($A395,0))</f>
        <v/>
      </c>
      <c r="K395" s="67">
        <f>IF($B395="",0,IF(LEFT($B395,1)="━",0,$C395*VLOOKUP($B395,'4. CÀI ĐẶT'!$A$2:$H$32,7,FALSE)))</f>
        <v/>
      </c>
    </row>
    <row r="396">
      <c r="A396" s="8" t="n"/>
      <c r="B396" s="9" t="n"/>
      <c r="C396" s="65" t="n"/>
      <c r="D396" s="9" t="n"/>
      <c r="E396" s="66">
        <f>IF($B396="","",IF(LEFT($B396,1)="━","⚠️ Chọn hạng mục cụ thể",$C396*VLOOKUP($B396,'4. CÀI ĐẶT'!$A$2:$H$32,2,FALSE)))</f>
        <v/>
      </c>
      <c r="F396" s="67">
        <f>IF($B396="",0,IF(LEFT($B396,1)="━",0,$C396*VLOOKUP($B396,'4. CÀI ĐẶT'!$A$2:$H$32,3,FALSE)))</f>
        <v/>
      </c>
      <c r="G396" s="67">
        <f>IF($B396="",0,IF(LEFT($B396,1)="━",0,$C396*VLOOKUP($B396,'4. CÀI ĐẶT'!$A$2:$H$32,4,FALSE)))</f>
        <v/>
      </c>
      <c r="H396" s="67">
        <f>IF($B396="",0,IF(LEFT($B396,1)="━",0,$C396*VLOOKUP($B396,'4. CÀI ĐẶT'!$A$2:$H$32,5,FALSE)))</f>
        <v/>
      </c>
      <c r="I396">
        <f>IF($B396="","",IF(LEFT($B396,1)="━","",VLOOKUP($B396,'4. CÀI ĐẶT'!$A$2:$H$32,6,FALSE)))</f>
        <v/>
      </c>
      <c r="J396" s="13">
        <f>IF($A396="","",EOMONTH($A396,0))</f>
        <v/>
      </c>
      <c r="K396" s="67">
        <f>IF($B396="",0,IF(LEFT($B396,1)="━",0,$C396*VLOOKUP($B396,'4. CÀI ĐẶT'!$A$2:$H$32,7,FALSE)))</f>
        <v/>
      </c>
    </row>
    <row r="397">
      <c r="A397" s="8" t="n"/>
      <c r="B397" s="9" t="n"/>
      <c r="C397" s="65" t="n"/>
      <c r="D397" s="9" t="n"/>
      <c r="E397" s="66">
        <f>IF($B397="","",IF(LEFT($B397,1)="━","⚠️ Chọn hạng mục cụ thể",$C397*VLOOKUP($B397,'4. CÀI ĐẶT'!$A$2:$H$32,2,FALSE)))</f>
        <v/>
      </c>
      <c r="F397" s="67">
        <f>IF($B397="",0,IF(LEFT($B397,1)="━",0,$C397*VLOOKUP($B397,'4. CÀI ĐẶT'!$A$2:$H$32,3,FALSE)))</f>
        <v/>
      </c>
      <c r="G397" s="67">
        <f>IF($B397="",0,IF(LEFT($B397,1)="━",0,$C397*VLOOKUP($B397,'4. CÀI ĐẶT'!$A$2:$H$32,4,FALSE)))</f>
        <v/>
      </c>
      <c r="H397" s="67">
        <f>IF($B397="",0,IF(LEFT($B397,1)="━",0,$C397*VLOOKUP($B397,'4. CÀI ĐẶT'!$A$2:$H$32,5,FALSE)))</f>
        <v/>
      </c>
      <c r="I397">
        <f>IF($B397="","",IF(LEFT($B397,1)="━","",VLOOKUP($B397,'4. CÀI ĐẶT'!$A$2:$H$32,6,FALSE)))</f>
        <v/>
      </c>
      <c r="J397" s="13">
        <f>IF($A397="","",EOMONTH($A397,0))</f>
        <v/>
      </c>
      <c r="K397" s="67">
        <f>IF($B397="",0,IF(LEFT($B397,1)="━",0,$C397*VLOOKUP($B397,'4. CÀI ĐẶT'!$A$2:$H$32,7,FALSE)))</f>
        <v/>
      </c>
    </row>
    <row r="398">
      <c r="A398" s="8" t="n"/>
      <c r="B398" s="9" t="n"/>
      <c r="C398" s="65" t="n"/>
      <c r="D398" s="9" t="n"/>
      <c r="E398" s="66">
        <f>IF($B398="","",IF(LEFT($B398,1)="━","⚠️ Chọn hạng mục cụ thể",$C398*VLOOKUP($B398,'4. CÀI ĐẶT'!$A$2:$H$32,2,FALSE)))</f>
        <v/>
      </c>
      <c r="F398" s="67">
        <f>IF($B398="",0,IF(LEFT($B398,1)="━",0,$C398*VLOOKUP($B398,'4. CÀI ĐẶT'!$A$2:$H$32,3,FALSE)))</f>
        <v/>
      </c>
      <c r="G398" s="67">
        <f>IF($B398="",0,IF(LEFT($B398,1)="━",0,$C398*VLOOKUP($B398,'4. CÀI ĐẶT'!$A$2:$H$32,4,FALSE)))</f>
        <v/>
      </c>
      <c r="H398" s="67">
        <f>IF($B398="",0,IF(LEFT($B398,1)="━",0,$C398*VLOOKUP($B398,'4. CÀI ĐẶT'!$A$2:$H$32,5,FALSE)))</f>
        <v/>
      </c>
      <c r="I398">
        <f>IF($B398="","",IF(LEFT($B398,1)="━","",VLOOKUP($B398,'4. CÀI ĐẶT'!$A$2:$H$32,6,FALSE)))</f>
        <v/>
      </c>
      <c r="J398" s="13">
        <f>IF($A398="","",EOMONTH($A398,0))</f>
        <v/>
      </c>
      <c r="K398" s="67">
        <f>IF($B398="",0,IF(LEFT($B398,1)="━",0,$C398*VLOOKUP($B398,'4. CÀI ĐẶT'!$A$2:$H$32,7,FALSE)))</f>
        <v/>
      </c>
    </row>
    <row r="399">
      <c r="A399" s="8" t="n"/>
      <c r="B399" s="9" t="n"/>
      <c r="C399" s="65" t="n"/>
      <c r="D399" s="9" t="n"/>
      <c r="E399" s="66">
        <f>IF($B399="","",IF(LEFT($B399,1)="━","⚠️ Chọn hạng mục cụ thể",$C399*VLOOKUP($B399,'4. CÀI ĐẶT'!$A$2:$H$32,2,FALSE)))</f>
        <v/>
      </c>
      <c r="F399" s="67">
        <f>IF($B399="",0,IF(LEFT($B399,1)="━",0,$C399*VLOOKUP($B399,'4. CÀI ĐẶT'!$A$2:$H$32,3,FALSE)))</f>
        <v/>
      </c>
      <c r="G399" s="67">
        <f>IF($B399="",0,IF(LEFT($B399,1)="━",0,$C399*VLOOKUP($B399,'4. CÀI ĐẶT'!$A$2:$H$32,4,FALSE)))</f>
        <v/>
      </c>
      <c r="H399" s="67">
        <f>IF($B399="",0,IF(LEFT($B399,1)="━",0,$C399*VLOOKUP($B399,'4. CÀI ĐẶT'!$A$2:$H$32,5,FALSE)))</f>
        <v/>
      </c>
      <c r="I399">
        <f>IF($B399="","",IF(LEFT($B399,1)="━","",VLOOKUP($B399,'4. CÀI ĐẶT'!$A$2:$H$32,6,FALSE)))</f>
        <v/>
      </c>
      <c r="J399" s="13">
        <f>IF($A399="","",EOMONTH($A399,0))</f>
        <v/>
      </c>
      <c r="K399" s="67">
        <f>IF($B399="",0,IF(LEFT($B399,1)="━",0,$C399*VLOOKUP($B399,'4. CÀI ĐẶT'!$A$2:$H$32,7,FALSE)))</f>
        <v/>
      </c>
    </row>
    <row r="400">
      <c r="A400" s="8" t="n"/>
      <c r="B400" s="9" t="n"/>
      <c r="C400" s="65" t="n"/>
      <c r="D400" s="9" t="n"/>
      <c r="E400" s="66">
        <f>IF($B400="","",IF(LEFT($B400,1)="━","⚠️ Chọn hạng mục cụ thể",$C400*VLOOKUP($B400,'4. CÀI ĐẶT'!$A$2:$H$32,2,FALSE)))</f>
        <v/>
      </c>
      <c r="F400" s="67">
        <f>IF($B400="",0,IF(LEFT($B400,1)="━",0,$C400*VLOOKUP($B400,'4. CÀI ĐẶT'!$A$2:$H$32,3,FALSE)))</f>
        <v/>
      </c>
      <c r="G400" s="67">
        <f>IF($B400="",0,IF(LEFT($B400,1)="━",0,$C400*VLOOKUP($B400,'4. CÀI ĐẶT'!$A$2:$H$32,4,FALSE)))</f>
        <v/>
      </c>
      <c r="H400" s="67">
        <f>IF($B400="",0,IF(LEFT($B400,1)="━",0,$C400*VLOOKUP($B400,'4. CÀI ĐẶT'!$A$2:$H$32,5,FALSE)))</f>
        <v/>
      </c>
      <c r="I400">
        <f>IF($B400="","",IF(LEFT($B400,1)="━","",VLOOKUP($B400,'4. CÀI ĐẶT'!$A$2:$H$32,6,FALSE)))</f>
        <v/>
      </c>
      <c r="J400" s="13">
        <f>IF($A400="","",EOMONTH($A400,0))</f>
        <v/>
      </c>
      <c r="K400" s="67">
        <f>IF($B400="",0,IF(LEFT($B400,1)="━",0,$C400*VLOOKUP($B400,'4. CÀI ĐẶT'!$A$2:$H$32,7,FALSE)))</f>
        <v/>
      </c>
    </row>
    <row r="401">
      <c r="A401" s="8" t="n"/>
      <c r="B401" s="9" t="n"/>
      <c r="C401" s="65" t="n"/>
      <c r="D401" s="9" t="n"/>
      <c r="E401" s="66">
        <f>IF($B401="","",IF(LEFT($B401,1)="━","⚠️ Chọn hạng mục cụ thể",$C401*VLOOKUP($B401,'4. CÀI ĐẶT'!$A$2:$H$32,2,FALSE)))</f>
        <v/>
      </c>
      <c r="F401" s="67">
        <f>IF($B401="",0,IF(LEFT($B401,1)="━",0,$C401*VLOOKUP($B401,'4. CÀI ĐẶT'!$A$2:$H$32,3,FALSE)))</f>
        <v/>
      </c>
      <c r="G401" s="67">
        <f>IF($B401="",0,IF(LEFT($B401,1)="━",0,$C401*VLOOKUP($B401,'4. CÀI ĐẶT'!$A$2:$H$32,4,FALSE)))</f>
        <v/>
      </c>
      <c r="H401" s="67">
        <f>IF($B401="",0,IF(LEFT($B401,1)="━",0,$C401*VLOOKUP($B401,'4. CÀI ĐẶT'!$A$2:$H$32,5,FALSE)))</f>
        <v/>
      </c>
      <c r="I401">
        <f>IF($B401="","",IF(LEFT($B401,1)="━","",VLOOKUP($B401,'4. CÀI ĐẶT'!$A$2:$H$32,6,FALSE)))</f>
        <v/>
      </c>
      <c r="J401" s="13">
        <f>IF($A401="","",EOMONTH($A401,0))</f>
        <v/>
      </c>
      <c r="K401" s="67">
        <f>IF($B401="",0,IF(LEFT($B401,1)="━",0,$C401*VLOOKUP($B401,'4. CÀI ĐẶT'!$A$2:$H$32,7,FALSE)))</f>
        <v/>
      </c>
    </row>
    <row r="402">
      <c r="A402" s="8" t="n"/>
      <c r="B402" s="9" t="n"/>
      <c r="C402" s="65" t="n"/>
      <c r="D402" s="9" t="n"/>
      <c r="E402" s="66">
        <f>IF($B402="","",IF(LEFT($B402,1)="━","⚠️ Chọn hạng mục cụ thể",$C402*VLOOKUP($B402,'4. CÀI ĐẶT'!$A$2:$H$32,2,FALSE)))</f>
        <v/>
      </c>
      <c r="F402" s="67">
        <f>IF($B402="",0,IF(LEFT($B402,1)="━",0,$C402*VLOOKUP($B402,'4. CÀI ĐẶT'!$A$2:$H$32,3,FALSE)))</f>
        <v/>
      </c>
      <c r="G402" s="67">
        <f>IF($B402="",0,IF(LEFT($B402,1)="━",0,$C402*VLOOKUP($B402,'4. CÀI ĐẶT'!$A$2:$H$32,4,FALSE)))</f>
        <v/>
      </c>
      <c r="H402" s="67">
        <f>IF($B402="",0,IF(LEFT($B402,1)="━",0,$C402*VLOOKUP($B402,'4. CÀI ĐẶT'!$A$2:$H$32,5,FALSE)))</f>
        <v/>
      </c>
      <c r="I402">
        <f>IF($B402="","",IF(LEFT($B402,1)="━","",VLOOKUP($B402,'4. CÀI ĐẶT'!$A$2:$H$32,6,FALSE)))</f>
        <v/>
      </c>
      <c r="J402" s="13">
        <f>IF($A402="","",EOMONTH($A402,0))</f>
        <v/>
      </c>
      <c r="K402" s="67">
        <f>IF($B402="",0,IF(LEFT($B402,1)="━",0,$C402*VLOOKUP($B402,'4. CÀI ĐẶT'!$A$2:$H$32,7,FALSE)))</f>
        <v/>
      </c>
    </row>
    <row r="403">
      <c r="A403" s="8" t="n"/>
      <c r="B403" s="9" t="n"/>
      <c r="C403" s="65" t="n"/>
      <c r="D403" s="9" t="n"/>
      <c r="E403" s="66">
        <f>IF($B403="","",IF(LEFT($B403,1)="━","⚠️ Chọn hạng mục cụ thể",$C403*VLOOKUP($B403,'4. CÀI ĐẶT'!$A$2:$H$32,2,FALSE)))</f>
        <v/>
      </c>
      <c r="F403" s="67">
        <f>IF($B403="",0,IF(LEFT($B403,1)="━",0,$C403*VLOOKUP($B403,'4. CÀI ĐẶT'!$A$2:$H$32,3,FALSE)))</f>
        <v/>
      </c>
      <c r="G403" s="67">
        <f>IF($B403="",0,IF(LEFT($B403,1)="━",0,$C403*VLOOKUP($B403,'4. CÀI ĐẶT'!$A$2:$H$32,4,FALSE)))</f>
        <v/>
      </c>
      <c r="H403" s="67">
        <f>IF($B403="",0,IF(LEFT($B403,1)="━",0,$C403*VLOOKUP($B403,'4. CÀI ĐẶT'!$A$2:$H$32,5,FALSE)))</f>
        <v/>
      </c>
      <c r="I403">
        <f>IF($B403="","",IF(LEFT($B403,1)="━","",VLOOKUP($B403,'4. CÀI ĐẶT'!$A$2:$H$32,6,FALSE)))</f>
        <v/>
      </c>
      <c r="J403" s="13">
        <f>IF($A403="","",EOMONTH($A403,0))</f>
        <v/>
      </c>
      <c r="K403" s="67">
        <f>IF($B403="",0,IF(LEFT($B403,1)="━",0,$C403*VLOOKUP($B403,'4. CÀI ĐẶT'!$A$2:$H$32,7,FALSE)))</f>
        <v/>
      </c>
    </row>
    <row r="404">
      <c r="A404" s="8" t="n"/>
      <c r="B404" s="9" t="n"/>
      <c r="C404" s="65" t="n"/>
      <c r="D404" s="9" t="n"/>
      <c r="E404" s="66">
        <f>IF($B404="","",IF(LEFT($B404,1)="━","⚠️ Chọn hạng mục cụ thể",$C404*VLOOKUP($B404,'4. CÀI ĐẶT'!$A$2:$H$32,2,FALSE)))</f>
        <v/>
      </c>
      <c r="F404" s="67">
        <f>IF($B404="",0,IF(LEFT($B404,1)="━",0,$C404*VLOOKUP($B404,'4. CÀI ĐẶT'!$A$2:$H$32,3,FALSE)))</f>
        <v/>
      </c>
      <c r="G404" s="67">
        <f>IF($B404="",0,IF(LEFT($B404,1)="━",0,$C404*VLOOKUP($B404,'4. CÀI ĐẶT'!$A$2:$H$32,4,FALSE)))</f>
        <v/>
      </c>
      <c r="H404" s="67">
        <f>IF($B404="",0,IF(LEFT($B404,1)="━",0,$C404*VLOOKUP($B404,'4. CÀI ĐẶT'!$A$2:$H$32,5,FALSE)))</f>
        <v/>
      </c>
      <c r="I404">
        <f>IF($B404="","",IF(LEFT($B404,1)="━","",VLOOKUP($B404,'4. CÀI ĐẶT'!$A$2:$H$32,6,FALSE)))</f>
        <v/>
      </c>
      <c r="J404" s="13">
        <f>IF($A404="","",EOMONTH($A404,0))</f>
        <v/>
      </c>
      <c r="K404" s="67">
        <f>IF($B404="",0,IF(LEFT($B404,1)="━",0,$C404*VLOOKUP($B404,'4. CÀI ĐẶT'!$A$2:$H$32,7,FALSE)))</f>
        <v/>
      </c>
    </row>
    <row r="405">
      <c r="A405" s="8" t="n"/>
      <c r="B405" s="9" t="n"/>
      <c r="C405" s="65" t="n"/>
      <c r="D405" s="9" t="n"/>
      <c r="E405" s="66">
        <f>IF($B405="","",IF(LEFT($B405,1)="━","⚠️ Chọn hạng mục cụ thể",$C405*VLOOKUP($B405,'4. CÀI ĐẶT'!$A$2:$H$32,2,FALSE)))</f>
        <v/>
      </c>
      <c r="F405" s="67">
        <f>IF($B405="",0,IF(LEFT($B405,1)="━",0,$C405*VLOOKUP($B405,'4. CÀI ĐẶT'!$A$2:$H$32,3,FALSE)))</f>
        <v/>
      </c>
      <c r="G405" s="67">
        <f>IF($B405="",0,IF(LEFT($B405,1)="━",0,$C405*VLOOKUP($B405,'4. CÀI ĐẶT'!$A$2:$H$32,4,FALSE)))</f>
        <v/>
      </c>
      <c r="H405" s="67">
        <f>IF($B405="",0,IF(LEFT($B405,1)="━",0,$C405*VLOOKUP($B405,'4. CÀI ĐẶT'!$A$2:$H$32,5,FALSE)))</f>
        <v/>
      </c>
      <c r="I405">
        <f>IF($B405="","",IF(LEFT($B405,1)="━","",VLOOKUP($B405,'4. CÀI ĐẶT'!$A$2:$H$32,6,FALSE)))</f>
        <v/>
      </c>
      <c r="J405" s="13">
        <f>IF($A405="","",EOMONTH($A405,0))</f>
        <v/>
      </c>
      <c r="K405" s="67">
        <f>IF($B405="",0,IF(LEFT($B405,1)="━",0,$C405*VLOOKUP($B405,'4. CÀI ĐẶT'!$A$2:$H$32,7,FALSE)))</f>
        <v/>
      </c>
    </row>
    <row r="406">
      <c r="A406" s="8" t="n"/>
      <c r="B406" s="9" t="n"/>
      <c r="C406" s="65" t="n"/>
      <c r="D406" s="9" t="n"/>
      <c r="E406" s="66">
        <f>IF($B406="","",IF(LEFT($B406,1)="━","⚠️ Chọn hạng mục cụ thể",$C406*VLOOKUP($B406,'4. CÀI ĐẶT'!$A$2:$H$32,2,FALSE)))</f>
        <v/>
      </c>
      <c r="F406" s="67">
        <f>IF($B406="",0,IF(LEFT($B406,1)="━",0,$C406*VLOOKUP($B406,'4. CÀI ĐẶT'!$A$2:$H$32,3,FALSE)))</f>
        <v/>
      </c>
      <c r="G406" s="67">
        <f>IF($B406="",0,IF(LEFT($B406,1)="━",0,$C406*VLOOKUP($B406,'4. CÀI ĐẶT'!$A$2:$H$32,4,FALSE)))</f>
        <v/>
      </c>
      <c r="H406" s="67">
        <f>IF($B406="",0,IF(LEFT($B406,1)="━",0,$C406*VLOOKUP($B406,'4. CÀI ĐẶT'!$A$2:$H$32,5,FALSE)))</f>
        <v/>
      </c>
      <c r="I406">
        <f>IF($B406="","",IF(LEFT($B406,1)="━","",VLOOKUP($B406,'4. CÀI ĐẶT'!$A$2:$H$32,6,FALSE)))</f>
        <v/>
      </c>
      <c r="J406" s="13">
        <f>IF($A406="","",EOMONTH($A406,0))</f>
        <v/>
      </c>
      <c r="K406" s="67">
        <f>IF($B406="",0,IF(LEFT($B406,1)="━",0,$C406*VLOOKUP($B406,'4. CÀI ĐẶT'!$A$2:$H$32,7,FALSE)))</f>
        <v/>
      </c>
    </row>
    <row r="407">
      <c r="A407" s="8" t="n"/>
      <c r="B407" s="9" t="n"/>
      <c r="C407" s="65" t="n"/>
      <c r="D407" s="9" t="n"/>
      <c r="E407" s="66">
        <f>IF($B407="","",IF(LEFT($B407,1)="━","⚠️ Chọn hạng mục cụ thể",$C407*VLOOKUP($B407,'4. CÀI ĐẶT'!$A$2:$H$32,2,FALSE)))</f>
        <v/>
      </c>
      <c r="F407" s="67">
        <f>IF($B407="",0,IF(LEFT($B407,1)="━",0,$C407*VLOOKUP($B407,'4. CÀI ĐẶT'!$A$2:$H$32,3,FALSE)))</f>
        <v/>
      </c>
      <c r="G407" s="67">
        <f>IF($B407="",0,IF(LEFT($B407,1)="━",0,$C407*VLOOKUP($B407,'4. CÀI ĐẶT'!$A$2:$H$32,4,FALSE)))</f>
        <v/>
      </c>
      <c r="H407" s="67">
        <f>IF($B407="",0,IF(LEFT($B407,1)="━",0,$C407*VLOOKUP($B407,'4. CÀI ĐẶT'!$A$2:$H$32,5,FALSE)))</f>
        <v/>
      </c>
      <c r="I407">
        <f>IF($B407="","",IF(LEFT($B407,1)="━","",VLOOKUP($B407,'4. CÀI ĐẶT'!$A$2:$H$32,6,FALSE)))</f>
        <v/>
      </c>
      <c r="J407" s="13">
        <f>IF($A407="","",EOMONTH($A407,0))</f>
        <v/>
      </c>
      <c r="K407" s="67">
        <f>IF($B407="",0,IF(LEFT($B407,1)="━",0,$C407*VLOOKUP($B407,'4. CÀI ĐẶT'!$A$2:$H$32,7,FALSE)))</f>
        <v/>
      </c>
    </row>
    <row r="408">
      <c r="A408" s="8" t="n"/>
      <c r="B408" s="9" t="n"/>
      <c r="C408" s="65" t="n"/>
      <c r="D408" s="9" t="n"/>
      <c r="E408" s="66">
        <f>IF($B408="","",IF(LEFT($B408,1)="━","⚠️ Chọn hạng mục cụ thể",$C408*VLOOKUP($B408,'4. CÀI ĐẶT'!$A$2:$H$32,2,FALSE)))</f>
        <v/>
      </c>
      <c r="F408" s="67">
        <f>IF($B408="",0,IF(LEFT($B408,1)="━",0,$C408*VLOOKUP($B408,'4. CÀI ĐẶT'!$A$2:$H$32,3,FALSE)))</f>
        <v/>
      </c>
      <c r="G408" s="67">
        <f>IF($B408="",0,IF(LEFT($B408,1)="━",0,$C408*VLOOKUP($B408,'4. CÀI ĐẶT'!$A$2:$H$32,4,FALSE)))</f>
        <v/>
      </c>
      <c r="H408" s="67">
        <f>IF($B408="",0,IF(LEFT($B408,1)="━",0,$C408*VLOOKUP($B408,'4. CÀI ĐẶT'!$A$2:$H$32,5,FALSE)))</f>
        <v/>
      </c>
      <c r="I408">
        <f>IF($B408="","",IF(LEFT($B408,1)="━","",VLOOKUP($B408,'4. CÀI ĐẶT'!$A$2:$H$32,6,FALSE)))</f>
        <v/>
      </c>
      <c r="J408" s="13">
        <f>IF($A408="","",EOMONTH($A408,0))</f>
        <v/>
      </c>
      <c r="K408" s="67">
        <f>IF($B408="",0,IF(LEFT($B408,1)="━",0,$C408*VLOOKUP($B408,'4. CÀI ĐẶT'!$A$2:$H$32,7,FALSE)))</f>
        <v/>
      </c>
    </row>
    <row r="409">
      <c r="A409" s="8" t="n"/>
      <c r="B409" s="9" t="n"/>
      <c r="C409" s="65" t="n"/>
      <c r="D409" s="9" t="n"/>
      <c r="E409" s="66">
        <f>IF($B409="","",IF(LEFT($B409,1)="━","⚠️ Chọn hạng mục cụ thể",$C409*VLOOKUP($B409,'4. CÀI ĐẶT'!$A$2:$H$32,2,FALSE)))</f>
        <v/>
      </c>
      <c r="F409" s="67">
        <f>IF($B409="",0,IF(LEFT($B409,1)="━",0,$C409*VLOOKUP($B409,'4. CÀI ĐẶT'!$A$2:$H$32,3,FALSE)))</f>
        <v/>
      </c>
      <c r="G409" s="67">
        <f>IF($B409="",0,IF(LEFT($B409,1)="━",0,$C409*VLOOKUP($B409,'4. CÀI ĐẶT'!$A$2:$H$32,4,FALSE)))</f>
        <v/>
      </c>
      <c r="H409" s="67">
        <f>IF($B409="",0,IF(LEFT($B409,1)="━",0,$C409*VLOOKUP($B409,'4. CÀI ĐẶT'!$A$2:$H$32,5,FALSE)))</f>
        <v/>
      </c>
      <c r="I409">
        <f>IF($B409="","",IF(LEFT($B409,1)="━","",VLOOKUP($B409,'4. CÀI ĐẶT'!$A$2:$H$32,6,FALSE)))</f>
        <v/>
      </c>
      <c r="J409" s="13">
        <f>IF($A409="","",EOMONTH($A409,0))</f>
        <v/>
      </c>
      <c r="K409" s="67">
        <f>IF($B409="",0,IF(LEFT($B409,1)="━",0,$C409*VLOOKUP($B409,'4. CÀI ĐẶT'!$A$2:$H$32,7,FALSE)))</f>
        <v/>
      </c>
    </row>
    <row r="410">
      <c r="A410" s="8" t="n"/>
      <c r="B410" s="9" t="n"/>
      <c r="C410" s="65" t="n"/>
      <c r="D410" s="9" t="n"/>
      <c r="E410" s="66">
        <f>IF($B410="","",IF(LEFT($B410,1)="━","⚠️ Chọn hạng mục cụ thể",$C410*VLOOKUP($B410,'4. CÀI ĐẶT'!$A$2:$H$32,2,FALSE)))</f>
        <v/>
      </c>
      <c r="F410" s="67">
        <f>IF($B410="",0,IF(LEFT($B410,1)="━",0,$C410*VLOOKUP($B410,'4. CÀI ĐẶT'!$A$2:$H$32,3,FALSE)))</f>
        <v/>
      </c>
      <c r="G410" s="67">
        <f>IF($B410="",0,IF(LEFT($B410,1)="━",0,$C410*VLOOKUP($B410,'4. CÀI ĐẶT'!$A$2:$H$32,4,FALSE)))</f>
        <v/>
      </c>
      <c r="H410" s="67">
        <f>IF($B410="",0,IF(LEFT($B410,1)="━",0,$C410*VLOOKUP($B410,'4. CÀI ĐẶT'!$A$2:$H$32,5,FALSE)))</f>
        <v/>
      </c>
      <c r="I410">
        <f>IF($B410="","",IF(LEFT($B410,1)="━","",VLOOKUP($B410,'4. CÀI ĐẶT'!$A$2:$H$32,6,FALSE)))</f>
        <v/>
      </c>
      <c r="J410" s="13">
        <f>IF($A410="","",EOMONTH($A410,0))</f>
        <v/>
      </c>
      <c r="K410" s="67">
        <f>IF($B410="",0,IF(LEFT($B410,1)="━",0,$C410*VLOOKUP($B410,'4. CÀI ĐẶT'!$A$2:$H$32,7,FALSE)))</f>
        <v/>
      </c>
    </row>
    <row r="411">
      <c r="A411" s="8" t="n"/>
      <c r="B411" s="9" t="n"/>
      <c r="C411" s="65" t="n"/>
      <c r="D411" s="9" t="n"/>
      <c r="E411" s="66">
        <f>IF($B411="","",IF(LEFT($B411,1)="━","⚠️ Chọn hạng mục cụ thể",$C411*VLOOKUP($B411,'4. CÀI ĐẶT'!$A$2:$H$32,2,FALSE)))</f>
        <v/>
      </c>
      <c r="F411" s="67">
        <f>IF($B411="",0,IF(LEFT($B411,1)="━",0,$C411*VLOOKUP($B411,'4. CÀI ĐẶT'!$A$2:$H$32,3,FALSE)))</f>
        <v/>
      </c>
      <c r="G411" s="67">
        <f>IF($B411="",0,IF(LEFT($B411,1)="━",0,$C411*VLOOKUP($B411,'4. CÀI ĐẶT'!$A$2:$H$32,4,FALSE)))</f>
        <v/>
      </c>
      <c r="H411" s="67">
        <f>IF($B411="",0,IF(LEFT($B411,1)="━",0,$C411*VLOOKUP($B411,'4. CÀI ĐẶT'!$A$2:$H$32,5,FALSE)))</f>
        <v/>
      </c>
      <c r="I411">
        <f>IF($B411="","",IF(LEFT($B411,1)="━","",VLOOKUP($B411,'4. CÀI ĐẶT'!$A$2:$H$32,6,FALSE)))</f>
        <v/>
      </c>
      <c r="J411" s="13">
        <f>IF($A411="","",EOMONTH($A411,0))</f>
        <v/>
      </c>
      <c r="K411" s="67">
        <f>IF($B411="",0,IF(LEFT($B411,1)="━",0,$C411*VLOOKUP($B411,'4. CÀI ĐẶT'!$A$2:$H$32,7,FALSE)))</f>
        <v/>
      </c>
    </row>
    <row r="412">
      <c r="A412" s="8" t="n"/>
      <c r="B412" s="9" t="n"/>
      <c r="C412" s="65" t="n"/>
      <c r="D412" s="9" t="n"/>
      <c r="E412" s="66">
        <f>IF($B412="","",IF(LEFT($B412,1)="━","⚠️ Chọn hạng mục cụ thể",$C412*VLOOKUP($B412,'4. CÀI ĐẶT'!$A$2:$H$32,2,FALSE)))</f>
        <v/>
      </c>
      <c r="F412" s="67">
        <f>IF($B412="",0,IF(LEFT($B412,1)="━",0,$C412*VLOOKUP($B412,'4. CÀI ĐẶT'!$A$2:$H$32,3,FALSE)))</f>
        <v/>
      </c>
      <c r="G412" s="67">
        <f>IF($B412="",0,IF(LEFT($B412,1)="━",0,$C412*VLOOKUP($B412,'4. CÀI ĐẶT'!$A$2:$H$32,4,FALSE)))</f>
        <v/>
      </c>
      <c r="H412" s="67">
        <f>IF($B412="",0,IF(LEFT($B412,1)="━",0,$C412*VLOOKUP($B412,'4. CÀI ĐẶT'!$A$2:$H$32,5,FALSE)))</f>
        <v/>
      </c>
      <c r="I412">
        <f>IF($B412="","",IF(LEFT($B412,1)="━","",VLOOKUP($B412,'4. CÀI ĐẶT'!$A$2:$H$32,6,FALSE)))</f>
        <v/>
      </c>
      <c r="J412" s="13">
        <f>IF($A412="","",EOMONTH($A412,0))</f>
        <v/>
      </c>
      <c r="K412" s="67">
        <f>IF($B412="",0,IF(LEFT($B412,1)="━",0,$C412*VLOOKUP($B412,'4. CÀI ĐẶT'!$A$2:$H$32,7,FALSE)))</f>
        <v/>
      </c>
    </row>
    <row r="413">
      <c r="A413" s="8" t="n"/>
      <c r="B413" s="9" t="n"/>
      <c r="C413" s="65" t="n"/>
      <c r="D413" s="9" t="n"/>
      <c r="E413" s="66">
        <f>IF($B413="","",IF(LEFT($B413,1)="━","⚠️ Chọn hạng mục cụ thể",$C413*VLOOKUP($B413,'4. CÀI ĐẶT'!$A$2:$H$32,2,FALSE)))</f>
        <v/>
      </c>
      <c r="F413" s="67">
        <f>IF($B413="",0,IF(LEFT($B413,1)="━",0,$C413*VLOOKUP($B413,'4. CÀI ĐẶT'!$A$2:$H$32,3,FALSE)))</f>
        <v/>
      </c>
      <c r="G413" s="67">
        <f>IF($B413="",0,IF(LEFT($B413,1)="━",0,$C413*VLOOKUP($B413,'4. CÀI ĐẶT'!$A$2:$H$32,4,FALSE)))</f>
        <v/>
      </c>
      <c r="H413" s="67">
        <f>IF($B413="",0,IF(LEFT($B413,1)="━",0,$C413*VLOOKUP($B413,'4. CÀI ĐẶT'!$A$2:$H$32,5,FALSE)))</f>
        <v/>
      </c>
      <c r="I413">
        <f>IF($B413="","",IF(LEFT($B413,1)="━","",VLOOKUP($B413,'4. CÀI ĐẶT'!$A$2:$H$32,6,FALSE)))</f>
        <v/>
      </c>
      <c r="J413" s="13">
        <f>IF($A413="","",EOMONTH($A413,0))</f>
        <v/>
      </c>
      <c r="K413" s="67">
        <f>IF($B413="",0,IF(LEFT($B413,1)="━",0,$C413*VLOOKUP($B413,'4. CÀI ĐẶT'!$A$2:$H$32,7,FALSE)))</f>
        <v/>
      </c>
    </row>
    <row r="414">
      <c r="A414" s="8" t="n"/>
      <c r="B414" s="9" t="n"/>
      <c r="C414" s="65" t="n"/>
      <c r="D414" s="9" t="n"/>
      <c r="E414" s="66">
        <f>IF($B414="","",IF(LEFT($B414,1)="━","⚠️ Chọn hạng mục cụ thể",$C414*VLOOKUP($B414,'4. CÀI ĐẶT'!$A$2:$H$32,2,FALSE)))</f>
        <v/>
      </c>
      <c r="F414" s="67">
        <f>IF($B414="",0,IF(LEFT($B414,1)="━",0,$C414*VLOOKUP($B414,'4. CÀI ĐẶT'!$A$2:$H$32,3,FALSE)))</f>
        <v/>
      </c>
      <c r="G414" s="67">
        <f>IF($B414="",0,IF(LEFT($B414,1)="━",0,$C414*VLOOKUP($B414,'4. CÀI ĐẶT'!$A$2:$H$32,4,FALSE)))</f>
        <v/>
      </c>
      <c r="H414" s="67">
        <f>IF($B414="",0,IF(LEFT($B414,1)="━",0,$C414*VLOOKUP($B414,'4. CÀI ĐẶT'!$A$2:$H$32,5,FALSE)))</f>
        <v/>
      </c>
      <c r="I414">
        <f>IF($B414="","",IF(LEFT($B414,1)="━","",VLOOKUP($B414,'4. CÀI ĐẶT'!$A$2:$H$32,6,FALSE)))</f>
        <v/>
      </c>
      <c r="J414" s="13">
        <f>IF($A414="","",EOMONTH($A414,0))</f>
        <v/>
      </c>
      <c r="K414" s="67">
        <f>IF($B414="",0,IF(LEFT($B414,1)="━",0,$C414*VLOOKUP($B414,'4. CÀI ĐẶT'!$A$2:$H$32,7,FALSE)))</f>
        <v/>
      </c>
    </row>
    <row r="415">
      <c r="A415" s="8" t="n"/>
      <c r="B415" s="9" t="n"/>
      <c r="C415" s="65" t="n"/>
      <c r="D415" s="9" t="n"/>
      <c r="E415" s="66">
        <f>IF($B415="","",IF(LEFT($B415,1)="━","⚠️ Chọn hạng mục cụ thể",$C415*VLOOKUP($B415,'4. CÀI ĐẶT'!$A$2:$H$32,2,FALSE)))</f>
        <v/>
      </c>
      <c r="F415" s="67">
        <f>IF($B415="",0,IF(LEFT($B415,1)="━",0,$C415*VLOOKUP($B415,'4. CÀI ĐẶT'!$A$2:$H$32,3,FALSE)))</f>
        <v/>
      </c>
      <c r="G415" s="67">
        <f>IF($B415="",0,IF(LEFT($B415,1)="━",0,$C415*VLOOKUP($B415,'4. CÀI ĐẶT'!$A$2:$H$32,4,FALSE)))</f>
        <v/>
      </c>
      <c r="H415" s="67">
        <f>IF($B415="",0,IF(LEFT($B415,1)="━",0,$C415*VLOOKUP($B415,'4. CÀI ĐẶT'!$A$2:$H$32,5,FALSE)))</f>
        <v/>
      </c>
      <c r="I415">
        <f>IF($B415="","",IF(LEFT($B415,1)="━","",VLOOKUP($B415,'4. CÀI ĐẶT'!$A$2:$H$32,6,FALSE)))</f>
        <v/>
      </c>
      <c r="J415" s="13">
        <f>IF($A415="","",EOMONTH($A415,0))</f>
        <v/>
      </c>
      <c r="K415" s="67">
        <f>IF($B415="",0,IF(LEFT($B415,1)="━",0,$C415*VLOOKUP($B415,'4. CÀI ĐẶT'!$A$2:$H$32,7,FALSE)))</f>
        <v/>
      </c>
    </row>
    <row r="416">
      <c r="A416" s="8" t="n"/>
      <c r="B416" s="9" t="n"/>
      <c r="C416" s="65" t="n"/>
      <c r="D416" s="9" t="n"/>
      <c r="E416" s="66">
        <f>IF($B416="","",IF(LEFT($B416,1)="━","⚠️ Chọn hạng mục cụ thể",$C416*VLOOKUP($B416,'4. CÀI ĐẶT'!$A$2:$H$32,2,FALSE)))</f>
        <v/>
      </c>
      <c r="F416" s="67">
        <f>IF($B416="",0,IF(LEFT($B416,1)="━",0,$C416*VLOOKUP($B416,'4. CÀI ĐẶT'!$A$2:$H$32,3,FALSE)))</f>
        <v/>
      </c>
      <c r="G416" s="67">
        <f>IF($B416="",0,IF(LEFT($B416,1)="━",0,$C416*VLOOKUP($B416,'4. CÀI ĐẶT'!$A$2:$H$32,4,FALSE)))</f>
        <v/>
      </c>
      <c r="H416" s="67">
        <f>IF($B416="",0,IF(LEFT($B416,1)="━",0,$C416*VLOOKUP($B416,'4. CÀI ĐẶT'!$A$2:$H$32,5,FALSE)))</f>
        <v/>
      </c>
      <c r="I416">
        <f>IF($B416="","",IF(LEFT($B416,1)="━","",VLOOKUP($B416,'4. CÀI ĐẶT'!$A$2:$H$32,6,FALSE)))</f>
        <v/>
      </c>
      <c r="J416" s="13">
        <f>IF($A416="","",EOMONTH($A416,0))</f>
        <v/>
      </c>
      <c r="K416" s="67">
        <f>IF($B416="",0,IF(LEFT($B416,1)="━",0,$C416*VLOOKUP($B416,'4. CÀI ĐẶT'!$A$2:$H$32,7,FALSE)))</f>
        <v/>
      </c>
    </row>
    <row r="417">
      <c r="A417" s="8" t="n"/>
      <c r="B417" s="9" t="n"/>
      <c r="C417" s="65" t="n"/>
      <c r="D417" s="9" t="n"/>
      <c r="E417" s="66">
        <f>IF($B417="","",IF(LEFT($B417,1)="━","⚠️ Chọn hạng mục cụ thể",$C417*VLOOKUP($B417,'4. CÀI ĐẶT'!$A$2:$H$32,2,FALSE)))</f>
        <v/>
      </c>
      <c r="F417" s="67">
        <f>IF($B417="",0,IF(LEFT($B417,1)="━",0,$C417*VLOOKUP($B417,'4. CÀI ĐẶT'!$A$2:$H$32,3,FALSE)))</f>
        <v/>
      </c>
      <c r="G417" s="67">
        <f>IF($B417="",0,IF(LEFT($B417,1)="━",0,$C417*VLOOKUP($B417,'4. CÀI ĐẶT'!$A$2:$H$32,4,FALSE)))</f>
        <v/>
      </c>
      <c r="H417" s="67">
        <f>IF($B417="",0,IF(LEFT($B417,1)="━",0,$C417*VLOOKUP($B417,'4. CÀI ĐẶT'!$A$2:$H$32,5,FALSE)))</f>
        <v/>
      </c>
      <c r="I417">
        <f>IF($B417="","",IF(LEFT($B417,1)="━","",VLOOKUP($B417,'4. CÀI ĐẶT'!$A$2:$H$32,6,FALSE)))</f>
        <v/>
      </c>
      <c r="J417" s="13">
        <f>IF($A417="","",EOMONTH($A417,0))</f>
        <v/>
      </c>
      <c r="K417" s="67">
        <f>IF($B417="",0,IF(LEFT($B417,1)="━",0,$C417*VLOOKUP($B417,'4. CÀI ĐẶT'!$A$2:$H$32,7,FALSE)))</f>
        <v/>
      </c>
    </row>
    <row r="418">
      <c r="A418" s="8" t="n"/>
      <c r="B418" s="9" t="n"/>
      <c r="C418" s="65" t="n"/>
      <c r="D418" s="9" t="n"/>
      <c r="E418" s="66">
        <f>IF($B418="","",IF(LEFT($B418,1)="━","⚠️ Chọn hạng mục cụ thể",$C418*VLOOKUP($B418,'4. CÀI ĐẶT'!$A$2:$H$32,2,FALSE)))</f>
        <v/>
      </c>
      <c r="F418" s="67">
        <f>IF($B418="",0,IF(LEFT($B418,1)="━",0,$C418*VLOOKUP($B418,'4. CÀI ĐẶT'!$A$2:$H$32,3,FALSE)))</f>
        <v/>
      </c>
      <c r="G418" s="67">
        <f>IF($B418="",0,IF(LEFT($B418,1)="━",0,$C418*VLOOKUP($B418,'4. CÀI ĐẶT'!$A$2:$H$32,4,FALSE)))</f>
        <v/>
      </c>
      <c r="H418" s="67">
        <f>IF($B418="",0,IF(LEFT($B418,1)="━",0,$C418*VLOOKUP($B418,'4. CÀI ĐẶT'!$A$2:$H$32,5,FALSE)))</f>
        <v/>
      </c>
      <c r="I418">
        <f>IF($B418="","",IF(LEFT($B418,1)="━","",VLOOKUP($B418,'4. CÀI ĐẶT'!$A$2:$H$32,6,FALSE)))</f>
        <v/>
      </c>
      <c r="J418" s="13">
        <f>IF($A418="","",EOMONTH($A418,0))</f>
        <v/>
      </c>
      <c r="K418" s="67">
        <f>IF($B418="",0,IF(LEFT($B418,1)="━",0,$C418*VLOOKUP($B418,'4. CÀI ĐẶT'!$A$2:$H$32,7,FALSE)))</f>
        <v/>
      </c>
    </row>
    <row r="419">
      <c r="A419" s="8" t="n"/>
      <c r="B419" s="9" t="n"/>
      <c r="C419" s="65" t="n"/>
      <c r="D419" s="9" t="n"/>
      <c r="E419" s="66">
        <f>IF($B419="","",IF(LEFT($B419,1)="━","⚠️ Chọn hạng mục cụ thể",$C419*VLOOKUP($B419,'4. CÀI ĐẶT'!$A$2:$H$32,2,FALSE)))</f>
        <v/>
      </c>
      <c r="F419" s="67">
        <f>IF($B419="",0,IF(LEFT($B419,1)="━",0,$C419*VLOOKUP($B419,'4. CÀI ĐẶT'!$A$2:$H$32,3,FALSE)))</f>
        <v/>
      </c>
      <c r="G419" s="67">
        <f>IF($B419="",0,IF(LEFT($B419,1)="━",0,$C419*VLOOKUP($B419,'4. CÀI ĐẶT'!$A$2:$H$32,4,FALSE)))</f>
        <v/>
      </c>
      <c r="H419" s="67">
        <f>IF($B419="",0,IF(LEFT($B419,1)="━",0,$C419*VLOOKUP($B419,'4. CÀI ĐẶT'!$A$2:$H$32,5,FALSE)))</f>
        <v/>
      </c>
      <c r="I419">
        <f>IF($B419="","",IF(LEFT($B419,1)="━","",VLOOKUP($B419,'4. CÀI ĐẶT'!$A$2:$H$32,6,FALSE)))</f>
        <v/>
      </c>
      <c r="J419" s="13">
        <f>IF($A419="","",EOMONTH($A419,0))</f>
        <v/>
      </c>
      <c r="K419" s="67">
        <f>IF($B419="",0,IF(LEFT($B419,1)="━",0,$C419*VLOOKUP($B419,'4. CÀI ĐẶT'!$A$2:$H$32,7,FALSE)))</f>
        <v/>
      </c>
    </row>
    <row r="420">
      <c r="A420" s="8" t="n"/>
      <c r="B420" s="9" t="n"/>
      <c r="C420" s="65" t="n"/>
      <c r="D420" s="9" t="n"/>
      <c r="E420" s="66">
        <f>IF($B420="","",IF(LEFT($B420,1)="━","⚠️ Chọn hạng mục cụ thể",$C420*VLOOKUP($B420,'4. CÀI ĐẶT'!$A$2:$H$32,2,FALSE)))</f>
        <v/>
      </c>
      <c r="F420" s="67">
        <f>IF($B420="",0,IF(LEFT($B420,1)="━",0,$C420*VLOOKUP($B420,'4. CÀI ĐẶT'!$A$2:$H$32,3,FALSE)))</f>
        <v/>
      </c>
      <c r="G420" s="67">
        <f>IF($B420="",0,IF(LEFT($B420,1)="━",0,$C420*VLOOKUP($B420,'4. CÀI ĐẶT'!$A$2:$H$32,4,FALSE)))</f>
        <v/>
      </c>
      <c r="H420" s="67">
        <f>IF($B420="",0,IF(LEFT($B420,1)="━",0,$C420*VLOOKUP($B420,'4. CÀI ĐẶT'!$A$2:$H$32,5,FALSE)))</f>
        <v/>
      </c>
      <c r="I420">
        <f>IF($B420="","",IF(LEFT($B420,1)="━","",VLOOKUP($B420,'4. CÀI ĐẶT'!$A$2:$H$32,6,FALSE)))</f>
        <v/>
      </c>
      <c r="J420" s="13">
        <f>IF($A420="","",EOMONTH($A420,0))</f>
        <v/>
      </c>
      <c r="K420" s="67">
        <f>IF($B420="",0,IF(LEFT($B420,1)="━",0,$C420*VLOOKUP($B420,'4. CÀI ĐẶT'!$A$2:$H$32,7,FALSE)))</f>
        <v/>
      </c>
    </row>
    <row r="421">
      <c r="A421" s="8" t="n"/>
      <c r="B421" s="9" t="n"/>
      <c r="C421" s="65" t="n"/>
      <c r="D421" s="9" t="n"/>
      <c r="E421" s="66">
        <f>IF($B421="","",IF(LEFT($B421,1)="━","⚠️ Chọn hạng mục cụ thể",$C421*VLOOKUP($B421,'4. CÀI ĐẶT'!$A$2:$H$32,2,FALSE)))</f>
        <v/>
      </c>
      <c r="F421" s="67">
        <f>IF($B421="",0,IF(LEFT($B421,1)="━",0,$C421*VLOOKUP($B421,'4. CÀI ĐẶT'!$A$2:$H$32,3,FALSE)))</f>
        <v/>
      </c>
      <c r="G421" s="67">
        <f>IF($B421="",0,IF(LEFT($B421,1)="━",0,$C421*VLOOKUP($B421,'4. CÀI ĐẶT'!$A$2:$H$32,4,FALSE)))</f>
        <v/>
      </c>
      <c r="H421" s="67">
        <f>IF($B421="",0,IF(LEFT($B421,1)="━",0,$C421*VLOOKUP($B421,'4. CÀI ĐẶT'!$A$2:$H$32,5,FALSE)))</f>
        <v/>
      </c>
      <c r="I421">
        <f>IF($B421="","",IF(LEFT($B421,1)="━","",VLOOKUP($B421,'4. CÀI ĐẶT'!$A$2:$H$32,6,FALSE)))</f>
        <v/>
      </c>
      <c r="J421" s="13">
        <f>IF($A421="","",EOMONTH($A421,0))</f>
        <v/>
      </c>
      <c r="K421" s="67">
        <f>IF($B421="",0,IF(LEFT($B421,1)="━",0,$C421*VLOOKUP($B421,'4. CÀI ĐẶT'!$A$2:$H$32,7,FALSE)))</f>
        <v/>
      </c>
    </row>
    <row r="422">
      <c r="A422" s="8" t="n"/>
      <c r="B422" s="9" t="n"/>
      <c r="C422" s="65" t="n"/>
      <c r="D422" s="9" t="n"/>
      <c r="E422" s="66">
        <f>IF($B422="","",IF(LEFT($B422,1)="━","⚠️ Chọn hạng mục cụ thể",$C422*VLOOKUP($B422,'4. CÀI ĐẶT'!$A$2:$H$32,2,FALSE)))</f>
        <v/>
      </c>
      <c r="F422" s="67">
        <f>IF($B422="",0,IF(LEFT($B422,1)="━",0,$C422*VLOOKUP($B422,'4. CÀI ĐẶT'!$A$2:$H$32,3,FALSE)))</f>
        <v/>
      </c>
      <c r="G422" s="67">
        <f>IF($B422="",0,IF(LEFT($B422,1)="━",0,$C422*VLOOKUP($B422,'4. CÀI ĐẶT'!$A$2:$H$32,4,FALSE)))</f>
        <v/>
      </c>
      <c r="H422" s="67">
        <f>IF($B422="",0,IF(LEFT($B422,1)="━",0,$C422*VLOOKUP($B422,'4. CÀI ĐẶT'!$A$2:$H$32,5,FALSE)))</f>
        <v/>
      </c>
      <c r="I422">
        <f>IF($B422="","",IF(LEFT($B422,1)="━","",VLOOKUP($B422,'4. CÀI ĐẶT'!$A$2:$H$32,6,FALSE)))</f>
        <v/>
      </c>
      <c r="J422" s="13">
        <f>IF($A422="","",EOMONTH($A422,0))</f>
        <v/>
      </c>
      <c r="K422" s="67">
        <f>IF($B422="",0,IF(LEFT($B422,1)="━",0,$C422*VLOOKUP($B422,'4. CÀI ĐẶT'!$A$2:$H$32,7,FALSE)))</f>
        <v/>
      </c>
    </row>
    <row r="423">
      <c r="A423" s="8" t="n"/>
      <c r="B423" s="9" t="n"/>
      <c r="C423" s="65" t="n"/>
      <c r="D423" s="9" t="n"/>
      <c r="E423" s="66">
        <f>IF($B423="","",IF(LEFT($B423,1)="━","⚠️ Chọn hạng mục cụ thể",$C423*VLOOKUP($B423,'4. CÀI ĐẶT'!$A$2:$H$32,2,FALSE)))</f>
        <v/>
      </c>
      <c r="F423" s="67">
        <f>IF($B423="",0,IF(LEFT($B423,1)="━",0,$C423*VLOOKUP($B423,'4. CÀI ĐẶT'!$A$2:$H$32,3,FALSE)))</f>
        <v/>
      </c>
      <c r="G423" s="67">
        <f>IF($B423="",0,IF(LEFT($B423,1)="━",0,$C423*VLOOKUP($B423,'4. CÀI ĐẶT'!$A$2:$H$32,4,FALSE)))</f>
        <v/>
      </c>
      <c r="H423" s="67">
        <f>IF($B423="",0,IF(LEFT($B423,1)="━",0,$C423*VLOOKUP($B423,'4. CÀI ĐẶT'!$A$2:$H$32,5,FALSE)))</f>
        <v/>
      </c>
      <c r="I423">
        <f>IF($B423="","",IF(LEFT($B423,1)="━","",VLOOKUP($B423,'4. CÀI ĐẶT'!$A$2:$H$32,6,FALSE)))</f>
        <v/>
      </c>
      <c r="J423" s="13">
        <f>IF($A423="","",EOMONTH($A423,0))</f>
        <v/>
      </c>
      <c r="K423" s="67">
        <f>IF($B423="",0,IF(LEFT($B423,1)="━",0,$C423*VLOOKUP($B423,'4. CÀI ĐẶT'!$A$2:$H$32,7,FALSE)))</f>
        <v/>
      </c>
    </row>
    <row r="424">
      <c r="A424" s="8" t="n"/>
      <c r="B424" s="9" t="n"/>
      <c r="C424" s="65" t="n"/>
      <c r="D424" s="9" t="n"/>
      <c r="E424" s="66">
        <f>IF($B424="","",IF(LEFT($B424,1)="━","⚠️ Chọn hạng mục cụ thể",$C424*VLOOKUP($B424,'4. CÀI ĐẶT'!$A$2:$H$32,2,FALSE)))</f>
        <v/>
      </c>
      <c r="F424" s="67">
        <f>IF($B424="",0,IF(LEFT($B424,1)="━",0,$C424*VLOOKUP($B424,'4. CÀI ĐẶT'!$A$2:$H$32,3,FALSE)))</f>
        <v/>
      </c>
      <c r="G424" s="67">
        <f>IF($B424="",0,IF(LEFT($B424,1)="━",0,$C424*VLOOKUP($B424,'4. CÀI ĐẶT'!$A$2:$H$32,4,FALSE)))</f>
        <v/>
      </c>
      <c r="H424" s="67">
        <f>IF($B424="",0,IF(LEFT($B424,1)="━",0,$C424*VLOOKUP($B424,'4. CÀI ĐẶT'!$A$2:$H$32,5,FALSE)))</f>
        <v/>
      </c>
      <c r="I424">
        <f>IF($B424="","",IF(LEFT($B424,1)="━","",VLOOKUP($B424,'4. CÀI ĐẶT'!$A$2:$H$32,6,FALSE)))</f>
        <v/>
      </c>
      <c r="J424" s="13">
        <f>IF($A424="","",EOMONTH($A424,0))</f>
        <v/>
      </c>
      <c r="K424" s="67">
        <f>IF($B424="",0,IF(LEFT($B424,1)="━",0,$C424*VLOOKUP($B424,'4. CÀI ĐẶT'!$A$2:$H$32,7,FALSE)))</f>
        <v/>
      </c>
    </row>
    <row r="425">
      <c r="A425" s="8" t="n"/>
      <c r="B425" s="9" t="n"/>
      <c r="C425" s="65" t="n"/>
      <c r="D425" s="9" t="n"/>
      <c r="E425" s="66">
        <f>IF($B425="","",IF(LEFT($B425,1)="━","⚠️ Chọn hạng mục cụ thể",$C425*VLOOKUP($B425,'4. CÀI ĐẶT'!$A$2:$H$32,2,FALSE)))</f>
        <v/>
      </c>
      <c r="F425" s="67">
        <f>IF($B425="",0,IF(LEFT($B425,1)="━",0,$C425*VLOOKUP($B425,'4. CÀI ĐẶT'!$A$2:$H$32,3,FALSE)))</f>
        <v/>
      </c>
      <c r="G425" s="67">
        <f>IF($B425="",0,IF(LEFT($B425,1)="━",0,$C425*VLOOKUP($B425,'4. CÀI ĐẶT'!$A$2:$H$32,4,FALSE)))</f>
        <v/>
      </c>
      <c r="H425" s="67">
        <f>IF($B425="",0,IF(LEFT($B425,1)="━",0,$C425*VLOOKUP($B425,'4. CÀI ĐẶT'!$A$2:$H$32,5,FALSE)))</f>
        <v/>
      </c>
      <c r="I425">
        <f>IF($B425="","",IF(LEFT($B425,1)="━","",VLOOKUP($B425,'4. CÀI ĐẶT'!$A$2:$H$32,6,FALSE)))</f>
        <v/>
      </c>
      <c r="J425" s="13">
        <f>IF($A425="","",EOMONTH($A425,0))</f>
        <v/>
      </c>
      <c r="K425" s="67">
        <f>IF($B425="",0,IF(LEFT($B425,1)="━",0,$C425*VLOOKUP($B425,'4. CÀI ĐẶT'!$A$2:$H$32,7,FALSE)))</f>
        <v/>
      </c>
    </row>
    <row r="426">
      <c r="A426" s="8" t="n"/>
      <c r="B426" s="9" t="n"/>
      <c r="C426" s="65" t="n"/>
      <c r="D426" s="9" t="n"/>
      <c r="E426" s="66">
        <f>IF($B426="","",IF(LEFT($B426,1)="━","⚠️ Chọn hạng mục cụ thể",$C426*VLOOKUP($B426,'4. CÀI ĐẶT'!$A$2:$H$32,2,FALSE)))</f>
        <v/>
      </c>
      <c r="F426" s="67">
        <f>IF($B426="",0,IF(LEFT($B426,1)="━",0,$C426*VLOOKUP($B426,'4. CÀI ĐẶT'!$A$2:$H$32,3,FALSE)))</f>
        <v/>
      </c>
      <c r="G426" s="67">
        <f>IF($B426="",0,IF(LEFT($B426,1)="━",0,$C426*VLOOKUP($B426,'4. CÀI ĐẶT'!$A$2:$H$32,4,FALSE)))</f>
        <v/>
      </c>
      <c r="H426" s="67">
        <f>IF($B426="",0,IF(LEFT($B426,1)="━",0,$C426*VLOOKUP($B426,'4. CÀI ĐẶT'!$A$2:$H$32,5,FALSE)))</f>
        <v/>
      </c>
      <c r="I426">
        <f>IF($B426="","",IF(LEFT($B426,1)="━","",VLOOKUP($B426,'4. CÀI ĐẶT'!$A$2:$H$32,6,FALSE)))</f>
        <v/>
      </c>
      <c r="J426" s="13">
        <f>IF($A426="","",EOMONTH($A426,0))</f>
        <v/>
      </c>
      <c r="K426" s="67">
        <f>IF($B426="",0,IF(LEFT($B426,1)="━",0,$C426*VLOOKUP($B426,'4. CÀI ĐẶT'!$A$2:$H$32,7,FALSE)))</f>
        <v/>
      </c>
    </row>
    <row r="427">
      <c r="A427" s="8" t="n"/>
      <c r="B427" s="9" t="n"/>
      <c r="C427" s="65" t="n"/>
      <c r="D427" s="9" t="n"/>
      <c r="E427" s="66">
        <f>IF($B427="","",IF(LEFT($B427,1)="━","⚠️ Chọn hạng mục cụ thể",$C427*VLOOKUP($B427,'4. CÀI ĐẶT'!$A$2:$H$32,2,FALSE)))</f>
        <v/>
      </c>
      <c r="F427" s="67">
        <f>IF($B427="",0,IF(LEFT($B427,1)="━",0,$C427*VLOOKUP($B427,'4. CÀI ĐẶT'!$A$2:$H$32,3,FALSE)))</f>
        <v/>
      </c>
      <c r="G427" s="67">
        <f>IF($B427="",0,IF(LEFT($B427,1)="━",0,$C427*VLOOKUP($B427,'4. CÀI ĐẶT'!$A$2:$H$32,4,FALSE)))</f>
        <v/>
      </c>
      <c r="H427" s="67">
        <f>IF($B427="",0,IF(LEFT($B427,1)="━",0,$C427*VLOOKUP($B427,'4. CÀI ĐẶT'!$A$2:$H$32,5,FALSE)))</f>
        <v/>
      </c>
      <c r="I427">
        <f>IF($B427="","",IF(LEFT($B427,1)="━","",VLOOKUP($B427,'4. CÀI ĐẶT'!$A$2:$H$32,6,FALSE)))</f>
        <v/>
      </c>
      <c r="J427" s="13">
        <f>IF($A427="","",EOMONTH($A427,0))</f>
        <v/>
      </c>
      <c r="K427" s="67">
        <f>IF($B427="",0,IF(LEFT($B427,1)="━",0,$C427*VLOOKUP($B427,'4. CÀI ĐẶT'!$A$2:$H$32,7,FALSE)))</f>
        <v/>
      </c>
    </row>
    <row r="428">
      <c r="A428" s="8" t="n"/>
      <c r="B428" s="9" t="n"/>
      <c r="C428" s="65" t="n"/>
      <c r="D428" s="9" t="n"/>
      <c r="E428" s="66">
        <f>IF($B428="","",IF(LEFT($B428,1)="━","⚠️ Chọn hạng mục cụ thể",$C428*VLOOKUP($B428,'4. CÀI ĐẶT'!$A$2:$H$32,2,FALSE)))</f>
        <v/>
      </c>
      <c r="F428" s="67">
        <f>IF($B428="",0,IF(LEFT($B428,1)="━",0,$C428*VLOOKUP($B428,'4. CÀI ĐẶT'!$A$2:$H$32,3,FALSE)))</f>
        <v/>
      </c>
      <c r="G428" s="67">
        <f>IF($B428="",0,IF(LEFT($B428,1)="━",0,$C428*VLOOKUP($B428,'4. CÀI ĐẶT'!$A$2:$H$32,4,FALSE)))</f>
        <v/>
      </c>
      <c r="H428" s="67">
        <f>IF($B428="",0,IF(LEFT($B428,1)="━",0,$C428*VLOOKUP($B428,'4. CÀI ĐẶT'!$A$2:$H$32,5,FALSE)))</f>
        <v/>
      </c>
      <c r="I428">
        <f>IF($B428="","",IF(LEFT($B428,1)="━","",VLOOKUP($B428,'4. CÀI ĐẶT'!$A$2:$H$32,6,FALSE)))</f>
        <v/>
      </c>
      <c r="J428" s="13">
        <f>IF($A428="","",EOMONTH($A428,0))</f>
        <v/>
      </c>
      <c r="K428" s="67">
        <f>IF($B428="",0,IF(LEFT($B428,1)="━",0,$C428*VLOOKUP($B428,'4. CÀI ĐẶT'!$A$2:$H$32,7,FALSE)))</f>
        <v/>
      </c>
    </row>
    <row r="429">
      <c r="A429" s="8" t="n"/>
      <c r="B429" s="9" t="n"/>
      <c r="C429" s="65" t="n"/>
      <c r="D429" s="9" t="n"/>
      <c r="E429" s="66">
        <f>IF($B429="","",IF(LEFT($B429,1)="━","⚠️ Chọn hạng mục cụ thể",$C429*VLOOKUP($B429,'4. CÀI ĐẶT'!$A$2:$H$32,2,FALSE)))</f>
        <v/>
      </c>
      <c r="F429" s="67">
        <f>IF($B429="",0,IF(LEFT($B429,1)="━",0,$C429*VLOOKUP($B429,'4. CÀI ĐẶT'!$A$2:$H$32,3,FALSE)))</f>
        <v/>
      </c>
      <c r="G429" s="67">
        <f>IF($B429="",0,IF(LEFT($B429,1)="━",0,$C429*VLOOKUP($B429,'4. CÀI ĐẶT'!$A$2:$H$32,4,FALSE)))</f>
        <v/>
      </c>
      <c r="H429" s="67">
        <f>IF($B429="",0,IF(LEFT($B429,1)="━",0,$C429*VLOOKUP($B429,'4. CÀI ĐẶT'!$A$2:$H$32,5,FALSE)))</f>
        <v/>
      </c>
      <c r="I429">
        <f>IF($B429="","",IF(LEFT($B429,1)="━","",VLOOKUP($B429,'4. CÀI ĐẶT'!$A$2:$H$32,6,FALSE)))</f>
        <v/>
      </c>
      <c r="J429" s="13">
        <f>IF($A429="","",EOMONTH($A429,0))</f>
        <v/>
      </c>
      <c r="K429" s="67">
        <f>IF($B429="",0,IF(LEFT($B429,1)="━",0,$C429*VLOOKUP($B429,'4. CÀI ĐẶT'!$A$2:$H$32,7,FALSE)))</f>
        <v/>
      </c>
    </row>
    <row r="430">
      <c r="A430" s="8" t="n"/>
      <c r="B430" s="9" t="n"/>
      <c r="C430" s="65" t="n"/>
      <c r="D430" s="9" t="n"/>
      <c r="E430" s="66">
        <f>IF($B430="","",IF(LEFT($B430,1)="━","⚠️ Chọn hạng mục cụ thể",$C430*VLOOKUP($B430,'4. CÀI ĐẶT'!$A$2:$H$32,2,FALSE)))</f>
        <v/>
      </c>
      <c r="F430" s="67">
        <f>IF($B430="",0,IF(LEFT($B430,1)="━",0,$C430*VLOOKUP($B430,'4. CÀI ĐẶT'!$A$2:$H$32,3,FALSE)))</f>
        <v/>
      </c>
      <c r="G430" s="67">
        <f>IF($B430="",0,IF(LEFT($B430,1)="━",0,$C430*VLOOKUP($B430,'4. CÀI ĐẶT'!$A$2:$H$32,4,FALSE)))</f>
        <v/>
      </c>
      <c r="H430" s="67">
        <f>IF($B430="",0,IF(LEFT($B430,1)="━",0,$C430*VLOOKUP($B430,'4. CÀI ĐẶT'!$A$2:$H$32,5,FALSE)))</f>
        <v/>
      </c>
      <c r="I430">
        <f>IF($B430="","",IF(LEFT($B430,1)="━","",VLOOKUP($B430,'4. CÀI ĐẶT'!$A$2:$H$32,6,FALSE)))</f>
        <v/>
      </c>
      <c r="J430" s="13">
        <f>IF($A430="","",EOMONTH($A430,0))</f>
        <v/>
      </c>
      <c r="K430" s="67">
        <f>IF($B430="",0,IF(LEFT($B430,1)="━",0,$C430*VLOOKUP($B430,'4. CÀI ĐẶT'!$A$2:$H$32,7,FALSE)))</f>
        <v/>
      </c>
    </row>
    <row r="431">
      <c r="A431" s="8" t="n"/>
      <c r="B431" s="9" t="n"/>
      <c r="C431" s="65" t="n"/>
      <c r="D431" s="9" t="n"/>
      <c r="E431" s="66">
        <f>IF($B431="","",IF(LEFT($B431,1)="━","⚠️ Chọn hạng mục cụ thể",$C431*VLOOKUP($B431,'4. CÀI ĐẶT'!$A$2:$H$32,2,FALSE)))</f>
        <v/>
      </c>
      <c r="F431" s="67">
        <f>IF($B431="",0,IF(LEFT($B431,1)="━",0,$C431*VLOOKUP($B431,'4. CÀI ĐẶT'!$A$2:$H$32,3,FALSE)))</f>
        <v/>
      </c>
      <c r="G431" s="67">
        <f>IF($B431="",0,IF(LEFT($B431,1)="━",0,$C431*VLOOKUP($B431,'4. CÀI ĐẶT'!$A$2:$H$32,4,FALSE)))</f>
        <v/>
      </c>
      <c r="H431" s="67">
        <f>IF($B431="",0,IF(LEFT($B431,1)="━",0,$C431*VLOOKUP($B431,'4. CÀI ĐẶT'!$A$2:$H$32,5,FALSE)))</f>
        <v/>
      </c>
      <c r="I431">
        <f>IF($B431="","",IF(LEFT($B431,1)="━","",VLOOKUP($B431,'4. CÀI ĐẶT'!$A$2:$H$32,6,FALSE)))</f>
        <v/>
      </c>
      <c r="J431" s="13">
        <f>IF($A431="","",EOMONTH($A431,0))</f>
        <v/>
      </c>
      <c r="K431" s="67">
        <f>IF($B431="",0,IF(LEFT($B431,1)="━",0,$C431*VLOOKUP($B431,'4. CÀI ĐẶT'!$A$2:$H$32,7,FALSE)))</f>
        <v/>
      </c>
    </row>
    <row r="432">
      <c r="A432" s="8" t="n"/>
      <c r="B432" s="9" t="n"/>
      <c r="C432" s="65" t="n"/>
      <c r="D432" s="9" t="n"/>
      <c r="E432" s="66">
        <f>IF($B432="","",IF(LEFT($B432,1)="━","⚠️ Chọn hạng mục cụ thể",$C432*VLOOKUP($B432,'4. CÀI ĐẶT'!$A$2:$H$32,2,FALSE)))</f>
        <v/>
      </c>
      <c r="F432" s="67">
        <f>IF($B432="",0,IF(LEFT($B432,1)="━",0,$C432*VLOOKUP($B432,'4. CÀI ĐẶT'!$A$2:$H$32,3,FALSE)))</f>
        <v/>
      </c>
      <c r="G432" s="67">
        <f>IF($B432="",0,IF(LEFT($B432,1)="━",0,$C432*VLOOKUP($B432,'4. CÀI ĐẶT'!$A$2:$H$32,4,FALSE)))</f>
        <v/>
      </c>
      <c r="H432" s="67">
        <f>IF($B432="",0,IF(LEFT($B432,1)="━",0,$C432*VLOOKUP($B432,'4. CÀI ĐẶT'!$A$2:$H$32,5,FALSE)))</f>
        <v/>
      </c>
      <c r="I432">
        <f>IF($B432="","",IF(LEFT($B432,1)="━","",VLOOKUP($B432,'4. CÀI ĐẶT'!$A$2:$H$32,6,FALSE)))</f>
        <v/>
      </c>
      <c r="J432" s="13">
        <f>IF($A432="","",EOMONTH($A432,0))</f>
        <v/>
      </c>
      <c r="K432" s="67">
        <f>IF($B432="",0,IF(LEFT($B432,1)="━",0,$C432*VLOOKUP($B432,'4. CÀI ĐẶT'!$A$2:$H$32,7,FALSE)))</f>
        <v/>
      </c>
    </row>
    <row r="433">
      <c r="A433" s="8" t="n"/>
      <c r="B433" s="9" t="n"/>
      <c r="C433" s="65" t="n"/>
      <c r="D433" s="9" t="n"/>
      <c r="E433" s="66">
        <f>IF($B433="","",IF(LEFT($B433,1)="━","⚠️ Chọn hạng mục cụ thể",$C433*VLOOKUP($B433,'4. CÀI ĐẶT'!$A$2:$H$32,2,FALSE)))</f>
        <v/>
      </c>
      <c r="F433" s="67">
        <f>IF($B433="",0,IF(LEFT($B433,1)="━",0,$C433*VLOOKUP($B433,'4. CÀI ĐẶT'!$A$2:$H$32,3,FALSE)))</f>
        <v/>
      </c>
      <c r="G433" s="67">
        <f>IF($B433="",0,IF(LEFT($B433,1)="━",0,$C433*VLOOKUP($B433,'4. CÀI ĐẶT'!$A$2:$H$32,4,FALSE)))</f>
        <v/>
      </c>
      <c r="H433" s="67">
        <f>IF($B433="",0,IF(LEFT($B433,1)="━",0,$C433*VLOOKUP($B433,'4. CÀI ĐẶT'!$A$2:$H$32,5,FALSE)))</f>
        <v/>
      </c>
      <c r="I433">
        <f>IF($B433="","",IF(LEFT($B433,1)="━","",VLOOKUP($B433,'4. CÀI ĐẶT'!$A$2:$H$32,6,FALSE)))</f>
        <v/>
      </c>
      <c r="J433" s="13">
        <f>IF($A433="","",EOMONTH($A433,0))</f>
        <v/>
      </c>
      <c r="K433" s="67">
        <f>IF($B433="",0,IF(LEFT($B433,1)="━",0,$C433*VLOOKUP($B433,'4. CÀI ĐẶT'!$A$2:$H$32,7,FALSE)))</f>
        <v/>
      </c>
    </row>
    <row r="434">
      <c r="A434" s="8" t="n"/>
      <c r="B434" s="9" t="n"/>
      <c r="C434" s="65" t="n"/>
      <c r="D434" s="9" t="n"/>
      <c r="E434" s="66">
        <f>IF($B434="","",IF(LEFT($B434,1)="━","⚠️ Chọn hạng mục cụ thể",$C434*VLOOKUP($B434,'4. CÀI ĐẶT'!$A$2:$H$32,2,FALSE)))</f>
        <v/>
      </c>
      <c r="F434" s="67">
        <f>IF($B434="",0,IF(LEFT($B434,1)="━",0,$C434*VLOOKUP($B434,'4. CÀI ĐẶT'!$A$2:$H$32,3,FALSE)))</f>
        <v/>
      </c>
      <c r="G434" s="67">
        <f>IF($B434="",0,IF(LEFT($B434,1)="━",0,$C434*VLOOKUP($B434,'4. CÀI ĐẶT'!$A$2:$H$32,4,FALSE)))</f>
        <v/>
      </c>
      <c r="H434" s="67">
        <f>IF($B434="",0,IF(LEFT($B434,1)="━",0,$C434*VLOOKUP($B434,'4. CÀI ĐẶT'!$A$2:$H$32,5,FALSE)))</f>
        <v/>
      </c>
      <c r="I434">
        <f>IF($B434="","",IF(LEFT($B434,1)="━","",VLOOKUP($B434,'4. CÀI ĐẶT'!$A$2:$H$32,6,FALSE)))</f>
        <v/>
      </c>
      <c r="J434" s="13">
        <f>IF($A434="","",EOMONTH($A434,0))</f>
        <v/>
      </c>
      <c r="K434" s="67">
        <f>IF($B434="",0,IF(LEFT($B434,1)="━",0,$C434*VLOOKUP($B434,'4. CÀI ĐẶT'!$A$2:$H$32,7,FALSE)))</f>
        <v/>
      </c>
    </row>
    <row r="435">
      <c r="A435" s="8" t="n"/>
      <c r="B435" s="9" t="n"/>
      <c r="C435" s="65" t="n"/>
      <c r="D435" s="9" t="n"/>
      <c r="E435" s="66">
        <f>IF($B435="","",IF(LEFT($B435,1)="━","⚠️ Chọn hạng mục cụ thể",$C435*VLOOKUP($B435,'4. CÀI ĐẶT'!$A$2:$H$32,2,FALSE)))</f>
        <v/>
      </c>
      <c r="F435" s="67">
        <f>IF($B435="",0,IF(LEFT($B435,1)="━",0,$C435*VLOOKUP($B435,'4. CÀI ĐẶT'!$A$2:$H$32,3,FALSE)))</f>
        <v/>
      </c>
      <c r="G435" s="67">
        <f>IF($B435="",0,IF(LEFT($B435,1)="━",0,$C435*VLOOKUP($B435,'4. CÀI ĐẶT'!$A$2:$H$32,4,FALSE)))</f>
        <v/>
      </c>
      <c r="H435" s="67">
        <f>IF($B435="",0,IF(LEFT($B435,1)="━",0,$C435*VLOOKUP($B435,'4. CÀI ĐẶT'!$A$2:$H$32,5,FALSE)))</f>
        <v/>
      </c>
      <c r="I435">
        <f>IF($B435="","",IF(LEFT($B435,1)="━","",VLOOKUP($B435,'4. CÀI ĐẶT'!$A$2:$H$32,6,FALSE)))</f>
        <v/>
      </c>
      <c r="J435" s="13">
        <f>IF($A435="","",EOMONTH($A435,0))</f>
        <v/>
      </c>
      <c r="K435" s="67">
        <f>IF($B435="",0,IF(LEFT($B435,1)="━",0,$C435*VLOOKUP($B435,'4. CÀI ĐẶT'!$A$2:$H$32,7,FALSE)))</f>
        <v/>
      </c>
    </row>
    <row r="436">
      <c r="A436" s="8" t="n"/>
      <c r="B436" s="9" t="n"/>
      <c r="C436" s="65" t="n"/>
      <c r="D436" s="9" t="n"/>
      <c r="E436" s="66">
        <f>IF($B436="","",IF(LEFT($B436,1)="━","⚠️ Chọn hạng mục cụ thể",$C436*VLOOKUP($B436,'4. CÀI ĐẶT'!$A$2:$H$32,2,FALSE)))</f>
        <v/>
      </c>
      <c r="F436" s="67">
        <f>IF($B436="",0,IF(LEFT($B436,1)="━",0,$C436*VLOOKUP($B436,'4. CÀI ĐẶT'!$A$2:$H$32,3,FALSE)))</f>
        <v/>
      </c>
      <c r="G436" s="67">
        <f>IF($B436="",0,IF(LEFT($B436,1)="━",0,$C436*VLOOKUP($B436,'4. CÀI ĐẶT'!$A$2:$H$32,4,FALSE)))</f>
        <v/>
      </c>
      <c r="H436" s="67">
        <f>IF($B436="",0,IF(LEFT($B436,1)="━",0,$C436*VLOOKUP($B436,'4. CÀI ĐẶT'!$A$2:$H$32,5,FALSE)))</f>
        <v/>
      </c>
      <c r="I436">
        <f>IF($B436="","",IF(LEFT($B436,1)="━","",VLOOKUP($B436,'4. CÀI ĐẶT'!$A$2:$H$32,6,FALSE)))</f>
        <v/>
      </c>
      <c r="J436" s="13">
        <f>IF($A436="","",EOMONTH($A436,0))</f>
        <v/>
      </c>
      <c r="K436" s="67">
        <f>IF($B436="",0,IF(LEFT($B436,1)="━",0,$C436*VLOOKUP($B436,'4. CÀI ĐẶT'!$A$2:$H$32,7,FALSE)))</f>
        <v/>
      </c>
    </row>
    <row r="437">
      <c r="A437" s="8" t="n"/>
      <c r="B437" s="9" t="n"/>
      <c r="C437" s="65" t="n"/>
      <c r="D437" s="9" t="n"/>
      <c r="E437" s="66">
        <f>IF($B437="","",IF(LEFT($B437,1)="━","⚠️ Chọn hạng mục cụ thể",$C437*VLOOKUP($B437,'4. CÀI ĐẶT'!$A$2:$H$32,2,FALSE)))</f>
        <v/>
      </c>
      <c r="F437" s="67">
        <f>IF($B437="",0,IF(LEFT($B437,1)="━",0,$C437*VLOOKUP($B437,'4. CÀI ĐẶT'!$A$2:$H$32,3,FALSE)))</f>
        <v/>
      </c>
      <c r="G437" s="67">
        <f>IF($B437="",0,IF(LEFT($B437,1)="━",0,$C437*VLOOKUP($B437,'4. CÀI ĐẶT'!$A$2:$H$32,4,FALSE)))</f>
        <v/>
      </c>
      <c r="H437" s="67">
        <f>IF($B437="",0,IF(LEFT($B437,1)="━",0,$C437*VLOOKUP($B437,'4. CÀI ĐẶT'!$A$2:$H$32,5,FALSE)))</f>
        <v/>
      </c>
      <c r="I437">
        <f>IF($B437="","",IF(LEFT($B437,1)="━","",VLOOKUP($B437,'4. CÀI ĐẶT'!$A$2:$H$32,6,FALSE)))</f>
        <v/>
      </c>
      <c r="J437" s="13">
        <f>IF($A437="","",EOMONTH($A437,0))</f>
        <v/>
      </c>
      <c r="K437" s="67">
        <f>IF($B437="",0,IF(LEFT($B437,1)="━",0,$C437*VLOOKUP($B437,'4. CÀI ĐẶT'!$A$2:$H$32,7,FALSE)))</f>
        <v/>
      </c>
    </row>
    <row r="438">
      <c r="A438" s="8" t="n"/>
      <c r="B438" s="9" t="n"/>
      <c r="C438" s="65" t="n"/>
      <c r="D438" s="9" t="n"/>
      <c r="E438" s="66">
        <f>IF($B438="","",IF(LEFT($B438,1)="━","⚠️ Chọn hạng mục cụ thể",$C438*VLOOKUP($B438,'4. CÀI ĐẶT'!$A$2:$H$32,2,FALSE)))</f>
        <v/>
      </c>
      <c r="F438" s="67">
        <f>IF($B438="",0,IF(LEFT($B438,1)="━",0,$C438*VLOOKUP($B438,'4. CÀI ĐẶT'!$A$2:$H$32,3,FALSE)))</f>
        <v/>
      </c>
      <c r="G438" s="67">
        <f>IF($B438="",0,IF(LEFT($B438,1)="━",0,$C438*VLOOKUP($B438,'4. CÀI ĐẶT'!$A$2:$H$32,4,FALSE)))</f>
        <v/>
      </c>
      <c r="H438" s="67">
        <f>IF($B438="",0,IF(LEFT($B438,1)="━",0,$C438*VLOOKUP($B438,'4. CÀI ĐẶT'!$A$2:$H$32,5,FALSE)))</f>
        <v/>
      </c>
      <c r="I438">
        <f>IF($B438="","",IF(LEFT($B438,1)="━","",VLOOKUP($B438,'4. CÀI ĐẶT'!$A$2:$H$32,6,FALSE)))</f>
        <v/>
      </c>
      <c r="J438" s="13">
        <f>IF($A438="","",EOMONTH($A438,0))</f>
        <v/>
      </c>
      <c r="K438" s="67">
        <f>IF($B438="",0,IF(LEFT($B438,1)="━",0,$C438*VLOOKUP($B438,'4. CÀI ĐẶT'!$A$2:$H$32,7,FALSE)))</f>
        <v/>
      </c>
    </row>
    <row r="439">
      <c r="A439" s="8" t="n"/>
      <c r="B439" s="9" t="n"/>
      <c r="C439" s="65" t="n"/>
      <c r="D439" s="9" t="n"/>
      <c r="E439" s="66">
        <f>IF($B439="","",IF(LEFT($B439,1)="━","⚠️ Chọn hạng mục cụ thể",$C439*VLOOKUP($B439,'4. CÀI ĐẶT'!$A$2:$H$32,2,FALSE)))</f>
        <v/>
      </c>
      <c r="F439" s="67">
        <f>IF($B439="",0,IF(LEFT($B439,1)="━",0,$C439*VLOOKUP($B439,'4. CÀI ĐẶT'!$A$2:$H$32,3,FALSE)))</f>
        <v/>
      </c>
      <c r="G439" s="67">
        <f>IF($B439="",0,IF(LEFT($B439,1)="━",0,$C439*VLOOKUP($B439,'4. CÀI ĐẶT'!$A$2:$H$32,4,FALSE)))</f>
        <v/>
      </c>
      <c r="H439" s="67">
        <f>IF($B439="",0,IF(LEFT($B439,1)="━",0,$C439*VLOOKUP($B439,'4. CÀI ĐẶT'!$A$2:$H$32,5,FALSE)))</f>
        <v/>
      </c>
      <c r="I439">
        <f>IF($B439="","",IF(LEFT($B439,1)="━","",VLOOKUP($B439,'4. CÀI ĐẶT'!$A$2:$H$32,6,FALSE)))</f>
        <v/>
      </c>
      <c r="J439" s="13">
        <f>IF($A439="","",EOMONTH($A439,0))</f>
        <v/>
      </c>
      <c r="K439" s="67">
        <f>IF($B439="",0,IF(LEFT($B439,1)="━",0,$C439*VLOOKUP($B439,'4. CÀI ĐẶT'!$A$2:$H$32,7,FALSE)))</f>
        <v/>
      </c>
    </row>
    <row r="440">
      <c r="A440" s="8" t="n"/>
      <c r="B440" s="9" t="n"/>
      <c r="C440" s="65" t="n"/>
      <c r="D440" s="9" t="n"/>
      <c r="E440" s="66">
        <f>IF($B440="","",IF(LEFT($B440,1)="━","⚠️ Chọn hạng mục cụ thể",$C440*VLOOKUP($B440,'4. CÀI ĐẶT'!$A$2:$H$32,2,FALSE)))</f>
        <v/>
      </c>
      <c r="F440" s="67">
        <f>IF($B440="",0,IF(LEFT($B440,1)="━",0,$C440*VLOOKUP($B440,'4. CÀI ĐẶT'!$A$2:$H$32,3,FALSE)))</f>
        <v/>
      </c>
      <c r="G440" s="67">
        <f>IF($B440="",0,IF(LEFT($B440,1)="━",0,$C440*VLOOKUP($B440,'4. CÀI ĐẶT'!$A$2:$H$32,4,FALSE)))</f>
        <v/>
      </c>
      <c r="H440" s="67">
        <f>IF($B440="",0,IF(LEFT($B440,1)="━",0,$C440*VLOOKUP($B440,'4. CÀI ĐẶT'!$A$2:$H$32,5,FALSE)))</f>
        <v/>
      </c>
      <c r="I440">
        <f>IF($B440="","",IF(LEFT($B440,1)="━","",VLOOKUP($B440,'4. CÀI ĐẶT'!$A$2:$H$32,6,FALSE)))</f>
        <v/>
      </c>
      <c r="J440" s="13">
        <f>IF($A440="","",EOMONTH($A440,0))</f>
        <v/>
      </c>
      <c r="K440" s="67">
        <f>IF($B440="",0,IF(LEFT($B440,1)="━",0,$C440*VLOOKUP($B440,'4. CÀI ĐẶT'!$A$2:$H$32,7,FALSE)))</f>
        <v/>
      </c>
    </row>
    <row r="441">
      <c r="A441" s="8" t="n"/>
      <c r="B441" s="9" t="n"/>
      <c r="C441" s="65" t="n"/>
      <c r="D441" s="9" t="n"/>
      <c r="E441" s="66">
        <f>IF($B441="","",IF(LEFT($B441,1)="━","⚠️ Chọn hạng mục cụ thể",$C441*VLOOKUP($B441,'4. CÀI ĐẶT'!$A$2:$H$32,2,FALSE)))</f>
        <v/>
      </c>
      <c r="F441" s="67">
        <f>IF($B441="",0,IF(LEFT($B441,1)="━",0,$C441*VLOOKUP($B441,'4. CÀI ĐẶT'!$A$2:$H$32,3,FALSE)))</f>
        <v/>
      </c>
      <c r="G441" s="67">
        <f>IF($B441="",0,IF(LEFT($B441,1)="━",0,$C441*VLOOKUP($B441,'4. CÀI ĐẶT'!$A$2:$H$32,4,FALSE)))</f>
        <v/>
      </c>
      <c r="H441" s="67">
        <f>IF($B441="",0,IF(LEFT($B441,1)="━",0,$C441*VLOOKUP($B441,'4. CÀI ĐẶT'!$A$2:$H$32,5,FALSE)))</f>
        <v/>
      </c>
      <c r="I441">
        <f>IF($B441="","",IF(LEFT($B441,1)="━","",VLOOKUP($B441,'4. CÀI ĐẶT'!$A$2:$H$32,6,FALSE)))</f>
        <v/>
      </c>
      <c r="J441" s="13">
        <f>IF($A441="","",EOMONTH($A441,0))</f>
        <v/>
      </c>
      <c r="K441" s="67">
        <f>IF($B441="",0,IF(LEFT($B441,1)="━",0,$C441*VLOOKUP($B441,'4. CÀI ĐẶT'!$A$2:$H$32,7,FALSE)))</f>
        <v/>
      </c>
    </row>
    <row r="442">
      <c r="A442" s="8" t="n"/>
      <c r="B442" s="9" t="n"/>
      <c r="C442" s="65" t="n"/>
      <c r="D442" s="9" t="n"/>
      <c r="E442" s="66">
        <f>IF($B442="","",IF(LEFT($B442,1)="━","⚠️ Chọn hạng mục cụ thể",$C442*VLOOKUP($B442,'4. CÀI ĐẶT'!$A$2:$H$32,2,FALSE)))</f>
        <v/>
      </c>
      <c r="F442" s="67">
        <f>IF($B442="",0,IF(LEFT($B442,1)="━",0,$C442*VLOOKUP($B442,'4. CÀI ĐẶT'!$A$2:$H$32,3,FALSE)))</f>
        <v/>
      </c>
      <c r="G442" s="67">
        <f>IF($B442="",0,IF(LEFT($B442,1)="━",0,$C442*VLOOKUP($B442,'4. CÀI ĐẶT'!$A$2:$H$32,4,FALSE)))</f>
        <v/>
      </c>
      <c r="H442" s="67">
        <f>IF($B442="",0,IF(LEFT($B442,1)="━",0,$C442*VLOOKUP($B442,'4. CÀI ĐẶT'!$A$2:$H$32,5,FALSE)))</f>
        <v/>
      </c>
      <c r="I442">
        <f>IF($B442="","",IF(LEFT($B442,1)="━","",VLOOKUP($B442,'4. CÀI ĐẶT'!$A$2:$H$32,6,FALSE)))</f>
        <v/>
      </c>
      <c r="J442" s="13">
        <f>IF($A442="","",EOMONTH($A442,0))</f>
        <v/>
      </c>
      <c r="K442" s="67">
        <f>IF($B442="",0,IF(LEFT($B442,1)="━",0,$C442*VLOOKUP($B442,'4. CÀI ĐẶT'!$A$2:$H$32,7,FALSE)))</f>
        <v/>
      </c>
    </row>
    <row r="443">
      <c r="A443" s="8" t="n"/>
      <c r="B443" s="9" t="n"/>
      <c r="C443" s="65" t="n"/>
      <c r="D443" s="9" t="n"/>
      <c r="E443" s="66">
        <f>IF($B443="","",IF(LEFT($B443,1)="━","⚠️ Chọn hạng mục cụ thể",$C443*VLOOKUP($B443,'4. CÀI ĐẶT'!$A$2:$H$32,2,FALSE)))</f>
        <v/>
      </c>
      <c r="F443" s="67">
        <f>IF($B443="",0,IF(LEFT($B443,1)="━",0,$C443*VLOOKUP($B443,'4. CÀI ĐẶT'!$A$2:$H$32,3,FALSE)))</f>
        <v/>
      </c>
      <c r="G443" s="67">
        <f>IF($B443="",0,IF(LEFT($B443,1)="━",0,$C443*VLOOKUP($B443,'4. CÀI ĐẶT'!$A$2:$H$32,4,FALSE)))</f>
        <v/>
      </c>
      <c r="H443" s="67">
        <f>IF($B443="",0,IF(LEFT($B443,1)="━",0,$C443*VLOOKUP($B443,'4. CÀI ĐẶT'!$A$2:$H$32,5,FALSE)))</f>
        <v/>
      </c>
      <c r="I443">
        <f>IF($B443="","",IF(LEFT($B443,1)="━","",VLOOKUP($B443,'4. CÀI ĐẶT'!$A$2:$H$32,6,FALSE)))</f>
        <v/>
      </c>
      <c r="J443" s="13">
        <f>IF($A443="","",EOMONTH($A443,0))</f>
        <v/>
      </c>
      <c r="K443" s="67">
        <f>IF($B443="",0,IF(LEFT($B443,1)="━",0,$C443*VLOOKUP($B443,'4. CÀI ĐẶT'!$A$2:$H$32,7,FALSE)))</f>
        <v/>
      </c>
    </row>
    <row r="444">
      <c r="A444" s="8" t="n"/>
      <c r="B444" s="9" t="n"/>
      <c r="C444" s="65" t="n"/>
      <c r="D444" s="9" t="n"/>
      <c r="E444" s="66">
        <f>IF($B444="","",IF(LEFT($B444,1)="━","⚠️ Chọn hạng mục cụ thể",$C444*VLOOKUP($B444,'4. CÀI ĐẶT'!$A$2:$H$32,2,FALSE)))</f>
        <v/>
      </c>
      <c r="F444" s="67">
        <f>IF($B444="",0,IF(LEFT($B444,1)="━",0,$C444*VLOOKUP($B444,'4. CÀI ĐẶT'!$A$2:$H$32,3,FALSE)))</f>
        <v/>
      </c>
      <c r="G444" s="67">
        <f>IF($B444="",0,IF(LEFT($B444,1)="━",0,$C444*VLOOKUP($B444,'4. CÀI ĐẶT'!$A$2:$H$32,4,FALSE)))</f>
        <v/>
      </c>
      <c r="H444" s="67">
        <f>IF($B444="",0,IF(LEFT($B444,1)="━",0,$C444*VLOOKUP($B444,'4. CÀI ĐẶT'!$A$2:$H$32,5,FALSE)))</f>
        <v/>
      </c>
      <c r="I444">
        <f>IF($B444="","",IF(LEFT($B444,1)="━","",VLOOKUP($B444,'4. CÀI ĐẶT'!$A$2:$H$32,6,FALSE)))</f>
        <v/>
      </c>
      <c r="J444" s="13">
        <f>IF($A444="","",EOMONTH($A444,0))</f>
        <v/>
      </c>
      <c r="K444" s="67">
        <f>IF($B444="",0,IF(LEFT($B444,1)="━",0,$C444*VLOOKUP($B444,'4. CÀI ĐẶT'!$A$2:$H$32,7,FALSE)))</f>
        <v/>
      </c>
    </row>
    <row r="445">
      <c r="A445" s="8" t="n"/>
      <c r="B445" s="9" t="n"/>
      <c r="C445" s="65" t="n"/>
      <c r="D445" s="9" t="n"/>
      <c r="E445" s="66">
        <f>IF($B445="","",IF(LEFT($B445,1)="━","⚠️ Chọn hạng mục cụ thể",$C445*VLOOKUP($B445,'4. CÀI ĐẶT'!$A$2:$H$32,2,FALSE)))</f>
        <v/>
      </c>
      <c r="F445" s="67">
        <f>IF($B445="",0,IF(LEFT($B445,1)="━",0,$C445*VLOOKUP($B445,'4. CÀI ĐẶT'!$A$2:$H$32,3,FALSE)))</f>
        <v/>
      </c>
      <c r="G445" s="67">
        <f>IF($B445="",0,IF(LEFT($B445,1)="━",0,$C445*VLOOKUP($B445,'4. CÀI ĐẶT'!$A$2:$H$32,4,FALSE)))</f>
        <v/>
      </c>
      <c r="H445" s="67">
        <f>IF($B445="",0,IF(LEFT($B445,1)="━",0,$C445*VLOOKUP($B445,'4. CÀI ĐẶT'!$A$2:$H$32,5,FALSE)))</f>
        <v/>
      </c>
      <c r="I445">
        <f>IF($B445="","",IF(LEFT($B445,1)="━","",VLOOKUP($B445,'4. CÀI ĐẶT'!$A$2:$H$32,6,FALSE)))</f>
        <v/>
      </c>
      <c r="J445" s="13">
        <f>IF($A445="","",EOMONTH($A445,0))</f>
        <v/>
      </c>
      <c r="K445" s="67">
        <f>IF($B445="",0,IF(LEFT($B445,1)="━",0,$C445*VLOOKUP($B445,'4. CÀI ĐẶT'!$A$2:$H$32,7,FALSE)))</f>
        <v/>
      </c>
    </row>
    <row r="446">
      <c r="A446" s="8" t="n"/>
      <c r="B446" s="9" t="n"/>
      <c r="C446" s="65" t="n"/>
      <c r="D446" s="9" t="n"/>
      <c r="E446" s="66">
        <f>IF($B446="","",IF(LEFT($B446,1)="━","⚠️ Chọn hạng mục cụ thể",$C446*VLOOKUP($B446,'4. CÀI ĐẶT'!$A$2:$H$32,2,FALSE)))</f>
        <v/>
      </c>
      <c r="F446" s="67">
        <f>IF($B446="",0,IF(LEFT($B446,1)="━",0,$C446*VLOOKUP($B446,'4. CÀI ĐẶT'!$A$2:$H$32,3,FALSE)))</f>
        <v/>
      </c>
      <c r="G446" s="67">
        <f>IF($B446="",0,IF(LEFT($B446,1)="━",0,$C446*VLOOKUP($B446,'4. CÀI ĐẶT'!$A$2:$H$32,4,FALSE)))</f>
        <v/>
      </c>
      <c r="H446" s="67">
        <f>IF($B446="",0,IF(LEFT($B446,1)="━",0,$C446*VLOOKUP($B446,'4. CÀI ĐẶT'!$A$2:$H$32,5,FALSE)))</f>
        <v/>
      </c>
      <c r="I446">
        <f>IF($B446="","",IF(LEFT($B446,1)="━","",VLOOKUP($B446,'4. CÀI ĐẶT'!$A$2:$H$32,6,FALSE)))</f>
        <v/>
      </c>
      <c r="J446" s="13">
        <f>IF($A446="","",EOMONTH($A446,0))</f>
        <v/>
      </c>
      <c r="K446" s="67">
        <f>IF($B446="",0,IF(LEFT($B446,1)="━",0,$C446*VLOOKUP($B446,'4. CÀI ĐẶT'!$A$2:$H$32,7,FALSE)))</f>
        <v/>
      </c>
    </row>
    <row r="447">
      <c r="A447" s="8" t="n"/>
      <c r="B447" s="9" t="n"/>
      <c r="C447" s="65" t="n"/>
      <c r="D447" s="9" t="n"/>
      <c r="E447" s="66">
        <f>IF($B447="","",IF(LEFT($B447,1)="━","⚠️ Chọn hạng mục cụ thể",$C447*VLOOKUP($B447,'4. CÀI ĐẶT'!$A$2:$H$32,2,FALSE)))</f>
        <v/>
      </c>
      <c r="F447" s="67">
        <f>IF($B447="",0,IF(LEFT($B447,1)="━",0,$C447*VLOOKUP($B447,'4. CÀI ĐẶT'!$A$2:$H$32,3,FALSE)))</f>
        <v/>
      </c>
      <c r="G447" s="67">
        <f>IF($B447="",0,IF(LEFT($B447,1)="━",0,$C447*VLOOKUP($B447,'4. CÀI ĐẶT'!$A$2:$H$32,4,FALSE)))</f>
        <v/>
      </c>
      <c r="H447" s="67">
        <f>IF($B447="",0,IF(LEFT($B447,1)="━",0,$C447*VLOOKUP($B447,'4. CÀI ĐẶT'!$A$2:$H$32,5,FALSE)))</f>
        <v/>
      </c>
      <c r="I447">
        <f>IF($B447="","",IF(LEFT($B447,1)="━","",VLOOKUP($B447,'4. CÀI ĐẶT'!$A$2:$H$32,6,FALSE)))</f>
        <v/>
      </c>
      <c r="J447" s="13">
        <f>IF($A447="","",EOMONTH($A447,0))</f>
        <v/>
      </c>
      <c r="K447" s="67">
        <f>IF($B447="",0,IF(LEFT($B447,1)="━",0,$C447*VLOOKUP($B447,'4. CÀI ĐẶT'!$A$2:$H$32,7,FALSE)))</f>
        <v/>
      </c>
    </row>
    <row r="448">
      <c r="A448" s="8" t="n"/>
      <c r="B448" s="9" t="n"/>
      <c r="C448" s="65" t="n"/>
      <c r="D448" s="9" t="n"/>
      <c r="E448" s="66">
        <f>IF($B448="","",IF(LEFT($B448,1)="━","⚠️ Chọn hạng mục cụ thể",$C448*VLOOKUP($B448,'4. CÀI ĐẶT'!$A$2:$H$32,2,FALSE)))</f>
        <v/>
      </c>
      <c r="F448" s="67">
        <f>IF($B448="",0,IF(LEFT($B448,1)="━",0,$C448*VLOOKUP($B448,'4. CÀI ĐẶT'!$A$2:$H$32,3,FALSE)))</f>
        <v/>
      </c>
      <c r="G448" s="67">
        <f>IF($B448="",0,IF(LEFT($B448,1)="━",0,$C448*VLOOKUP($B448,'4. CÀI ĐẶT'!$A$2:$H$32,4,FALSE)))</f>
        <v/>
      </c>
      <c r="H448" s="67">
        <f>IF($B448="",0,IF(LEFT($B448,1)="━",0,$C448*VLOOKUP($B448,'4. CÀI ĐẶT'!$A$2:$H$32,5,FALSE)))</f>
        <v/>
      </c>
      <c r="I448">
        <f>IF($B448="","",IF(LEFT($B448,1)="━","",VLOOKUP($B448,'4. CÀI ĐẶT'!$A$2:$H$32,6,FALSE)))</f>
        <v/>
      </c>
      <c r="J448" s="13">
        <f>IF($A448="","",EOMONTH($A448,0))</f>
        <v/>
      </c>
      <c r="K448" s="67">
        <f>IF($B448="",0,IF(LEFT($B448,1)="━",0,$C448*VLOOKUP($B448,'4. CÀI ĐẶT'!$A$2:$H$32,7,FALSE)))</f>
        <v/>
      </c>
    </row>
    <row r="449">
      <c r="A449" s="8" t="n"/>
      <c r="B449" s="9" t="n"/>
      <c r="C449" s="65" t="n"/>
      <c r="D449" s="9" t="n"/>
      <c r="E449" s="66">
        <f>IF($B449="","",IF(LEFT($B449,1)="━","⚠️ Chọn hạng mục cụ thể",$C449*VLOOKUP($B449,'4. CÀI ĐẶT'!$A$2:$H$32,2,FALSE)))</f>
        <v/>
      </c>
      <c r="F449" s="67">
        <f>IF($B449="",0,IF(LEFT($B449,1)="━",0,$C449*VLOOKUP($B449,'4. CÀI ĐẶT'!$A$2:$H$32,3,FALSE)))</f>
        <v/>
      </c>
      <c r="G449" s="67">
        <f>IF($B449="",0,IF(LEFT($B449,1)="━",0,$C449*VLOOKUP($B449,'4. CÀI ĐẶT'!$A$2:$H$32,4,FALSE)))</f>
        <v/>
      </c>
      <c r="H449" s="67">
        <f>IF($B449="",0,IF(LEFT($B449,1)="━",0,$C449*VLOOKUP($B449,'4. CÀI ĐẶT'!$A$2:$H$32,5,FALSE)))</f>
        <v/>
      </c>
      <c r="I449">
        <f>IF($B449="","",IF(LEFT($B449,1)="━","",VLOOKUP($B449,'4. CÀI ĐẶT'!$A$2:$H$32,6,FALSE)))</f>
        <v/>
      </c>
      <c r="J449" s="13">
        <f>IF($A449="","",EOMONTH($A449,0))</f>
        <v/>
      </c>
      <c r="K449" s="67">
        <f>IF($B449="",0,IF(LEFT($B449,1)="━",0,$C449*VLOOKUP($B449,'4. CÀI ĐẶT'!$A$2:$H$32,7,FALSE)))</f>
        <v/>
      </c>
    </row>
    <row r="450">
      <c r="A450" s="8" t="n"/>
      <c r="B450" s="9" t="n"/>
      <c r="C450" s="65" t="n"/>
      <c r="D450" s="9" t="n"/>
      <c r="E450" s="66">
        <f>IF($B450="","",IF(LEFT($B450,1)="━","⚠️ Chọn hạng mục cụ thể",$C450*VLOOKUP($B450,'4. CÀI ĐẶT'!$A$2:$H$32,2,FALSE)))</f>
        <v/>
      </c>
      <c r="F450" s="67">
        <f>IF($B450="",0,IF(LEFT($B450,1)="━",0,$C450*VLOOKUP($B450,'4. CÀI ĐẶT'!$A$2:$H$32,3,FALSE)))</f>
        <v/>
      </c>
      <c r="G450" s="67">
        <f>IF($B450="",0,IF(LEFT($B450,1)="━",0,$C450*VLOOKUP($B450,'4. CÀI ĐẶT'!$A$2:$H$32,4,FALSE)))</f>
        <v/>
      </c>
      <c r="H450" s="67">
        <f>IF($B450="",0,IF(LEFT($B450,1)="━",0,$C450*VLOOKUP($B450,'4. CÀI ĐẶT'!$A$2:$H$32,5,FALSE)))</f>
        <v/>
      </c>
      <c r="I450">
        <f>IF($B450="","",IF(LEFT($B450,1)="━","",VLOOKUP($B450,'4. CÀI ĐẶT'!$A$2:$H$32,6,FALSE)))</f>
        <v/>
      </c>
      <c r="J450" s="13">
        <f>IF($A450="","",EOMONTH($A450,0))</f>
        <v/>
      </c>
      <c r="K450" s="67">
        <f>IF($B450="",0,IF(LEFT($B450,1)="━",0,$C450*VLOOKUP($B450,'4. CÀI ĐẶT'!$A$2:$H$32,7,FALSE)))</f>
        <v/>
      </c>
    </row>
    <row r="451">
      <c r="A451" s="8" t="n"/>
      <c r="B451" s="9" t="n"/>
      <c r="C451" s="65" t="n"/>
      <c r="D451" s="9" t="n"/>
      <c r="E451" s="66">
        <f>IF($B451="","",IF(LEFT($B451,1)="━","⚠️ Chọn hạng mục cụ thể",$C451*VLOOKUP($B451,'4. CÀI ĐẶT'!$A$2:$H$32,2,FALSE)))</f>
        <v/>
      </c>
      <c r="F451" s="67">
        <f>IF($B451="",0,IF(LEFT($B451,1)="━",0,$C451*VLOOKUP($B451,'4. CÀI ĐẶT'!$A$2:$H$32,3,FALSE)))</f>
        <v/>
      </c>
      <c r="G451" s="67">
        <f>IF($B451="",0,IF(LEFT($B451,1)="━",0,$C451*VLOOKUP($B451,'4. CÀI ĐẶT'!$A$2:$H$32,4,FALSE)))</f>
        <v/>
      </c>
      <c r="H451" s="67">
        <f>IF($B451="",0,IF(LEFT($B451,1)="━",0,$C451*VLOOKUP($B451,'4. CÀI ĐẶT'!$A$2:$H$32,5,FALSE)))</f>
        <v/>
      </c>
      <c r="I451">
        <f>IF($B451="","",IF(LEFT($B451,1)="━","",VLOOKUP($B451,'4. CÀI ĐẶT'!$A$2:$H$32,6,FALSE)))</f>
        <v/>
      </c>
      <c r="J451" s="13">
        <f>IF($A451="","",EOMONTH($A451,0))</f>
        <v/>
      </c>
      <c r="K451" s="67">
        <f>IF($B451="",0,IF(LEFT($B451,1)="━",0,$C451*VLOOKUP($B451,'4. CÀI ĐẶT'!$A$2:$H$32,7,FALSE)))</f>
        <v/>
      </c>
    </row>
    <row r="452">
      <c r="A452" s="8" t="n"/>
      <c r="B452" s="9" t="n"/>
      <c r="C452" s="65" t="n"/>
      <c r="D452" s="9" t="n"/>
      <c r="E452" s="66">
        <f>IF($B452="","",IF(LEFT($B452,1)="━","⚠️ Chọn hạng mục cụ thể",$C452*VLOOKUP($B452,'4. CÀI ĐẶT'!$A$2:$H$32,2,FALSE)))</f>
        <v/>
      </c>
      <c r="F452" s="67">
        <f>IF($B452="",0,IF(LEFT($B452,1)="━",0,$C452*VLOOKUP($B452,'4. CÀI ĐẶT'!$A$2:$H$32,3,FALSE)))</f>
        <v/>
      </c>
      <c r="G452" s="67">
        <f>IF($B452="",0,IF(LEFT($B452,1)="━",0,$C452*VLOOKUP($B452,'4. CÀI ĐẶT'!$A$2:$H$32,4,FALSE)))</f>
        <v/>
      </c>
      <c r="H452" s="67">
        <f>IF($B452="",0,IF(LEFT($B452,1)="━",0,$C452*VLOOKUP($B452,'4. CÀI ĐẶT'!$A$2:$H$32,5,FALSE)))</f>
        <v/>
      </c>
      <c r="I452">
        <f>IF($B452="","",IF(LEFT($B452,1)="━","",VLOOKUP($B452,'4. CÀI ĐẶT'!$A$2:$H$32,6,FALSE)))</f>
        <v/>
      </c>
      <c r="J452" s="13">
        <f>IF($A452="","",EOMONTH($A452,0))</f>
        <v/>
      </c>
      <c r="K452" s="67">
        <f>IF($B452="",0,IF(LEFT($B452,1)="━",0,$C452*VLOOKUP($B452,'4. CÀI ĐẶT'!$A$2:$H$32,7,FALSE)))</f>
        <v/>
      </c>
    </row>
    <row r="453">
      <c r="A453" s="8" t="n"/>
      <c r="B453" s="9" t="n"/>
      <c r="C453" s="65" t="n"/>
      <c r="D453" s="9" t="n"/>
      <c r="E453" s="66">
        <f>IF($B453="","",IF(LEFT($B453,1)="━","⚠️ Chọn hạng mục cụ thể",$C453*VLOOKUP($B453,'4. CÀI ĐẶT'!$A$2:$H$32,2,FALSE)))</f>
        <v/>
      </c>
      <c r="F453" s="67">
        <f>IF($B453="",0,IF(LEFT($B453,1)="━",0,$C453*VLOOKUP($B453,'4. CÀI ĐẶT'!$A$2:$H$32,3,FALSE)))</f>
        <v/>
      </c>
      <c r="G453" s="67">
        <f>IF($B453="",0,IF(LEFT($B453,1)="━",0,$C453*VLOOKUP($B453,'4. CÀI ĐẶT'!$A$2:$H$32,4,FALSE)))</f>
        <v/>
      </c>
      <c r="H453" s="67">
        <f>IF($B453="",0,IF(LEFT($B453,1)="━",0,$C453*VLOOKUP($B453,'4. CÀI ĐẶT'!$A$2:$H$32,5,FALSE)))</f>
        <v/>
      </c>
      <c r="I453">
        <f>IF($B453="","",IF(LEFT($B453,1)="━","",VLOOKUP($B453,'4. CÀI ĐẶT'!$A$2:$H$32,6,FALSE)))</f>
        <v/>
      </c>
      <c r="J453" s="13">
        <f>IF($A453="","",EOMONTH($A453,0))</f>
        <v/>
      </c>
      <c r="K453" s="67">
        <f>IF($B453="",0,IF(LEFT($B453,1)="━",0,$C453*VLOOKUP($B453,'4. CÀI ĐẶT'!$A$2:$H$32,7,FALSE)))</f>
        <v/>
      </c>
    </row>
    <row r="454">
      <c r="A454" s="8" t="n"/>
      <c r="B454" s="9" t="n"/>
      <c r="C454" s="65" t="n"/>
      <c r="D454" s="9" t="n"/>
      <c r="E454" s="66">
        <f>IF($B454="","",IF(LEFT($B454,1)="━","⚠️ Chọn hạng mục cụ thể",$C454*VLOOKUP($B454,'4. CÀI ĐẶT'!$A$2:$H$32,2,FALSE)))</f>
        <v/>
      </c>
      <c r="F454" s="67">
        <f>IF($B454="",0,IF(LEFT($B454,1)="━",0,$C454*VLOOKUP($B454,'4. CÀI ĐẶT'!$A$2:$H$32,3,FALSE)))</f>
        <v/>
      </c>
      <c r="G454" s="67">
        <f>IF($B454="",0,IF(LEFT($B454,1)="━",0,$C454*VLOOKUP($B454,'4. CÀI ĐẶT'!$A$2:$H$32,4,FALSE)))</f>
        <v/>
      </c>
      <c r="H454" s="67">
        <f>IF($B454="",0,IF(LEFT($B454,1)="━",0,$C454*VLOOKUP($B454,'4. CÀI ĐẶT'!$A$2:$H$32,5,FALSE)))</f>
        <v/>
      </c>
      <c r="I454">
        <f>IF($B454="","",IF(LEFT($B454,1)="━","",VLOOKUP($B454,'4. CÀI ĐẶT'!$A$2:$H$32,6,FALSE)))</f>
        <v/>
      </c>
      <c r="J454" s="13">
        <f>IF($A454="","",EOMONTH($A454,0))</f>
        <v/>
      </c>
      <c r="K454" s="67">
        <f>IF($B454="",0,IF(LEFT($B454,1)="━",0,$C454*VLOOKUP($B454,'4. CÀI ĐẶT'!$A$2:$H$32,7,FALSE)))</f>
        <v/>
      </c>
    </row>
    <row r="455">
      <c r="A455" s="8" t="n"/>
      <c r="B455" s="9" t="n"/>
      <c r="C455" s="65" t="n"/>
      <c r="D455" s="9" t="n"/>
      <c r="E455" s="66">
        <f>IF($B455="","",IF(LEFT($B455,1)="━","⚠️ Chọn hạng mục cụ thể",$C455*VLOOKUP($B455,'4. CÀI ĐẶT'!$A$2:$H$32,2,FALSE)))</f>
        <v/>
      </c>
      <c r="F455" s="67">
        <f>IF($B455="",0,IF(LEFT($B455,1)="━",0,$C455*VLOOKUP($B455,'4. CÀI ĐẶT'!$A$2:$H$32,3,FALSE)))</f>
        <v/>
      </c>
      <c r="G455" s="67">
        <f>IF($B455="",0,IF(LEFT($B455,1)="━",0,$C455*VLOOKUP($B455,'4. CÀI ĐẶT'!$A$2:$H$32,4,FALSE)))</f>
        <v/>
      </c>
      <c r="H455" s="67">
        <f>IF($B455="",0,IF(LEFT($B455,1)="━",0,$C455*VLOOKUP($B455,'4. CÀI ĐẶT'!$A$2:$H$32,5,FALSE)))</f>
        <v/>
      </c>
      <c r="I455">
        <f>IF($B455="","",IF(LEFT($B455,1)="━","",VLOOKUP($B455,'4. CÀI ĐẶT'!$A$2:$H$32,6,FALSE)))</f>
        <v/>
      </c>
      <c r="J455" s="13">
        <f>IF($A455="","",EOMONTH($A455,0))</f>
        <v/>
      </c>
      <c r="K455" s="67">
        <f>IF($B455="",0,IF(LEFT($B455,1)="━",0,$C455*VLOOKUP($B455,'4. CÀI ĐẶT'!$A$2:$H$32,7,FALSE)))</f>
        <v/>
      </c>
    </row>
    <row r="456">
      <c r="A456" s="8" t="n"/>
      <c r="B456" s="9" t="n"/>
      <c r="C456" s="65" t="n"/>
      <c r="D456" s="9" t="n"/>
      <c r="E456" s="66">
        <f>IF($B456="","",IF(LEFT($B456,1)="━","⚠️ Chọn hạng mục cụ thể",$C456*VLOOKUP($B456,'4. CÀI ĐẶT'!$A$2:$H$32,2,FALSE)))</f>
        <v/>
      </c>
      <c r="F456" s="67">
        <f>IF($B456="",0,IF(LEFT($B456,1)="━",0,$C456*VLOOKUP($B456,'4. CÀI ĐẶT'!$A$2:$H$32,3,FALSE)))</f>
        <v/>
      </c>
      <c r="G456" s="67">
        <f>IF($B456="",0,IF(LEFT($B456,1)="━",0,$C456*VLOOKUP($B456,'4. CÀI ĐẶT'!$A$2:$H$32,4,FALSE)))</f>
        <v/>
      </c>
      <c r="H456" s="67">
        <f>IF($B456="",0,IF(LEFT($B456,1)="━",0,$C456*VLOOKUP($B456,'4. CÀI ĐẶT'!$A$2:$H$32,5,FALSE)))</f>
        <v/>
      </c>
      <c r="I456">
        <f>IF($B456="","",IF(LEFT($B456,1)="━","",VLOOKUP($B456,'4. CÀI ĐẶT'!$A$2:$H$32,6,FALSE)))</f>
        <v/>
      </c>
      <c r="J456" s="13">
        <f>IF($A456="","",EOMONTH($A456,0))</f>
        <v/>
      </c>
      <c r="K456" s="67">
        <f>IF($B456="",0,IF(LEFT($B456,1)="━",0,$C456*VLOOKUP($B456,'4. CÀI ĐẶT'!$A$2:$H$32,7,FALSE)))</f>
        <v/>
      </c>
    </row>
    <row r="457">
      <c r="A457" s="8" t="n"/>
      <c r="B457" s="9" t="n"/>
      <c r="C457" s="65" t="n"/>
      <c r="D457" s="9" t="n"/>
      <c r="E457" s="66">
        <f>IF($B457="","",IF(LEFT($B457,1)="━","⚠️ Chọn hạng mục cụ thể",$C457*VLOOKUP($B457,'4. CÀI ĐẶT'!$A$2:$H$32,2,FALSE)))</f>
        <v/>
      </c>
      <c r="F457" s="67">
        <f>IF($B457="",0,IF(LEFT($B457,1)="━",0,$C457*VLOOKUP($B457,'4. CÀI ĐẶT'!$A$2:$H$32,3,FALSE)))</f>
        <v/>
      </c>
      <c r="G457" s="67">
        <f>IF($B457="",0,IF(LEFT($B457,1)="━",0,$C457*VLOOKUP($B457,'4. CÀI ĐẶT'!$A$2:$H$32,4,FALSE)))</f>
        <v/>
      </c>
      <c r="H457" s="67">
        <f>IF($B457="",0,IF(LEFT($B457,1)="━",0,$C457*VLOOKUP($B457,'4. CÀI ĐẶT'!$A$2:$H$32,5,FALSE)))</f>
        <v/>
      </c>
      <c r="I457">
        <f>IF($B457="","",IF(LEFT($B457,1)="━","",VLOOKUP($B457,'4. CÀI ĐẶT'!$A$2:$H$32,6,FALSE)))</f>
        <v/>
      </c>
      <c r="J457" s="13">
        <f>IF($A457="","",EOMONTH($A457,0))</f>
        <v/>
      </c>
      <c r="K457" s="67">
        <f>IF($B457="",0,IF(LEFT($B457,1)="━",0,$C457*VLOOKUP($B457,'4. CÀI ĐẶT'!$A$2:$H$32,7,FALSE)))</f>
        <v/>
      </c>
    </row>
    <row r="458">
      <c r="A458" s="8" t="n"/>
      <c r="B458" s="9" t="n"/>
      <c r="C458" s="65" t="n"/>
      <c r="D458" s="9" t="n"/>
      <c r="E458" s="66">
        <f>IF($B458="","",IF(LEFT($B458,1)="━","⚠️ Chọn hạng mục cụ thể",$C458*VLOOKUP($B458,'4. CÀI ĐẶT'!$A$2:$H$32,2,FALSE)))</f>
        <v/>
      </c>
      <c r="F458" s="67">
        <f>IF($B458="",0,IF(LEFT($B458,1)="━",0,$C458*VLOOKUP($B458,'4. CÀI ĐẶT'!$A$2:$H$32,3,FALSE)))</f>
        <v/>
      </c>
      <c r="G458" s="67">
        <f>IF($B458="",0,IF(LEFT($B458,1)="━",0,$C458*VLOOKUP($B458,'4. CÀI ĐẶT'!$A$2:$H$32,4,FALSE)))</f>
        <v/>
      </c>
      <c r="H458" s="67">
        <f>IF($B458="",0,IF(LEFT($B458,1)="━",0,$C458*VLOOKUP($B458,'4. CÀI ĐẶT'!$A$2:$H$32,5,FALSE)))</f>
        <v/>
      </c>
      <c r="I458">
        <f>IF($B458="","",IF(LEFT($B458,1)="━","",VLOOKUP($B458,'4. CÀI ĐẶT'!$A$2:$H$32,6,FALSE)))</f>
        <v/>
      </c>
      <c r="J458" s="13">
        <f>IF($A458="","",EOMONTH($A458,0))</f>
        <v/>
      </c>
      <c r="K458" s="67">
        <f>IF($B458="",0,IF(LEFT($B458,1)="━",0,$C458*VLOOKUP($B458,'4. CÀI ĐẶT'!$A$2:$H$32,7,FALSE)))</f>
        <v/>
      </c>
    </row>
    <row r="459">
      <c r="A459" s="8" t="n"/>
      <c r="B459" s="9" t="n"/>
      <c r="C459" s="65" t="n"/>
      <c r="D459" s="9" t="n"/>
      <c r="E459" s="66">
        <f>IF($B459="","",IF(LEFT($B459,1)="━","⚠️ Chọn hạng mục cụ thể",$C459*VLOOKUP($B459,'4. CÀI ĐẶT'!$A$2:$H$32,2,FALSE)))</f>
        <v/>
      </c>
      <c r="F459" s="67">
        <f>IF($B459="",0,IF(LEFT($B459,1)="━",0,$C459*VLOOKUP($B459,'4. CÀI ĐẶT'!$A$2:$H$32,3,FALSE)))</f>
        <v/>
      </c>
      <c r="G459" s="67">
        <f>IF($B459="",0,IF(LEFT($B459,1)="━",0,$C459*VLOOKUP($B459,'4. CÀI ĐẶT'!$A$2:$H$32,4,FALSE)))</f>
        <v/>
      </c>
      <c r="H459" s="67">
        <f>IF($B459="",0,IF(LEFT($B459,1)="━",0,$C459*VLOOKUP($B459,'4. CÀI ĐẶT'!$A$2:$H$32,5,FALSE)))</f>
        <v/>
      </c>
      <c r="I459">
        <f>IF($B459="","",IF(LEFT($B459,1)="━","",VLOOKUP($B459,'4. CÀI ĐẶT'!$A$2:$H$32,6,FALSE)))</f>
        <v/>
      </c>
      <c r="J459" s="13">
        <f>IF($A459="","",EOMONTH($A459,0))</f>
        <v/>
      </c>
      <c r="K459" s="67">
        <f>IF($B459="",0,IF(LEFT($B459,1)="━",0,$C459*VLOOKUP($B459,'4. CÀI ĐẶT'!$A$2:$H$32,7,FALSE)))</f>
        <v/>
      </c>
    </row>
    <row r="460">
      <c r="A460" s="8" t="n"/>
      <c r="B460" s="9" t="n"/>
      <c r="C460" s="65" t="n"/>
      <c r="D460" s="9" t="n"/>
      <c r="E460" s="66">
        <f>IF($B460="","",IF(LEFT($B460,1)="━","⚠️ Chọn hạng mục cụ thể",$C460*VLOOKUP($B460,'4. CÀI ĐẶT'!$A$2:$H$32,2,FALSE)))</f>
        <v/>
      </c>
      <c r="F460" s="67">
        <f>IF($B460="",0,IF(LEFT($B460,1)="━",0,$C460*VLOOKUP($B460,'4. CÀI ĐẶT'!$A$2:$H$32,3,FALSE)))</f>
        <v/>
      </c>
      <c r="G460" s="67">
        <f>IF($B460="",0,IF(LEFT($B460,1)="━",0,$C460*VLOOKUP($B460,'4. CÀI ĐẶT'!$A$2:$H$32,4,FALSE)))</f>
        <v/>
      </c>
      <c r="H460" s="67">
        <f>IF($B460="",0,IF(LEFT($B460,1)="━",0,$C460*VLOOKUP($B460,'4. CÀI ĐẶT'!$A$2:$H$32,5,FALSE)))</f>
        <v/>
      </c>
      <c r="I460">
        <f>IF($B460="","",IF(LEFT($B460,1)="━","",VLOOKUP($B460,'4. CÀI ĐẶT'!$A$2:$H$32,6,FALSE)))</f>
        <v/>
      </c>
      <c r="J460" s="13">
        <f>IF($A460="","",EOMONTH($A460,0))</f>
        <v/>
      </c>
      <c r="K460" s="67">
        <f>IF($B460="",0,IF(LEFT($B460,1)="━",0,$C460*VLOOKUP($B460,'4. CÀI ĐẶT'!$A$2:$H$32,7,FALSE)))</f>
        <v/>
      </c>
    </row>
    <row r="461">
      <c r="A461" s="8" t="n"/>
      <c r="B461" s="9" t="n"/>
      <c r="C461" s="65" t="n"/>
      <c r="D461" s="9" t="n"/>
      <c r="E461" s="66">
        <f>IF($B461="","",IF(LEFT($B461,1)="━","⚠️ Chọn hạng mục cụ thể",$C461*VLOOKUP($B461,'4. CÀI ĐẶT'!$A$2:$H$32,2,FALSE)))</f>
        <v/>
      </c>
      <c r="F461" s="67">
        <f>IF($B461="",0,IF(LEFT($B461,1)="━",0,$C461*VLOOKUP($B461,'4. CÀI ĐẶT'!$A$2:$H$32,3,FALSE)))</f>
        <v/>
      </c>
      <c r="G461" s="67">
        <f>IF($B461="",0,IF(LEFT($B461,1)="━",0,$C461*VLOOKUP($B461,'4. CÀI ĐẶT'!$A$2:$H$32,4,FALSE)))</f>
        <v/>
      </c>
      <c r="H461" s="67">
        <f>IF($B461="",0,IF(LEFT($B461,1)="━",0,$C461*VLOOKUP($B461,'4. CÀI ĐẶT'!$A$2:$H$32,5,FALSE)))</f>
        <v/>
      </c>
      <c r="I461">
        <f>IF($B461="","",IF(LEFT($B461,1)="━","",VLOOKUP($B461,'4. CÀI ĐẶT'!$A$2:$H$32,6,FALSE)))</f>
        <v/>
      </c>
      <c r="J461" s="13">
        <f>IF($A461="","",EOMONTH($A461,0))</f>
        <v/>
      </c>
      <c r="K461" s="67">
        <f>IF($B461="",0,IF(LEFT($B461,1)="━",0,$C461*VLOOKUP($B461,'4. CÀI ĐẶT'!$A$2:$H$32,7,FALSE)))</f>
        <v/>
      </c>
    </row>
    <row r="462">
      <c r="A462" s="8" t="n"/>
      <c r="B462" s="9" t="n"/>
      <c r="C462" s="65" t="n"/>
      <c r="D462" s="9" t="n"/>
      <c r="E462" s="66">
        <f>IF($B462="","",IF(LEFT($B462,1)="━","⚠️ Chọn hạng mục cụ thể",$C462*VLOOKUP($B462,'4. CÀI ĐẶT'!$A$2:$H$32,2,FALSE)))</f>
        <v/>
      </c>
      <c r="F462" s="67">
        <f>IF($B462="",0,IF(LEFT($B462,1)="━",0,$C462*VLOOKUP($B462,'4. CÀI ĐẶT'!$A$2:$H$32,3,FALSE)))</f>
        <v/>
      </c>
      <c r="G462" s="67">
        <f>IF($B462="",0,IF(LEFT($B462,1)="━",0,$C462*VLOOKUP($B462,'4. CÀI ĐẶT'!$A$2:$H$32,4,FALSE)))</f>
        <v/>
      </c>
      <c r="H462" s="67">
        <f>IF($B462="",0,IF(LEFT($B462,1)="━",0,$C462*VLOOKUP($B462,'4. CÀI ĐẶT'!$A$2:$H$32,5,FALSE)))</f>
        <v/>
      </c>
      <c r="I462">
        <f>IF($B462="","",IF(LEFT($B462,1)="━","",VLOOKUP($B462,'4. CÀI ĐẶT'!$A$2:$H$32,6,FALSE)))</f>
        <v/>
      </c>
      <c r="J462" s="13">
        <f>IF($A462="","",EOMONTH($A462,0))</f>
        <v/>
      </c>
      <c r="K462" s="67">
        <f>IF($B462="",0,IF(LEFT($B462,1)="━",0,$C462*VLOOKUP($B462,'4. CÀI ĐẶT'!$A$2:$H$32,7,FALSE)))</f>
        <v/>
      </c>
    </row>
    <row r="463">
      <c r="A463" s="8" t="n"/>
      <c r="B463" s="9" t="n"/>
      <c r="C463" s="65" t="n"/>
      <c r="D463" s="9" t="n"/>
      <c r="E463" s="66">
        <f>IF($B463="","",IF(LEFT($B463,1)="━","⚠️ Chọn hạng mục cụ thể",$C463*VLOOKUP($B463,'4. CÀI ĐẶT'!$A$2:$H$32,2,FALSE)))</f>
        <v/>
      </c>
      <c r="F463" s="67">
        <f>IF($B463="",0,IF(LEFT($B463,1)="━",0,$C463*VLOOKUP($B463,'4. CÀI ĐẶT'!$A$2:$H$32,3,FALSE)))</f>
        <v/>
      </c>
      <c r="G463" s="67">
        <f>IF($B463="",0,IF(LEFT($B463,1)="━",0,$C463*VLOOKUP($B463,'4. CÀI ĐẶT'!$A$2:$H$32,4,FALSE)))</f>
        <v/>
      </c>
      <c r="H463" s="67">
        <f>IF($B463="",0,IF(LEFT($B463,1)="━",0,$C463*VLOOKUP($B463,'4. CÀI ĐẶT'!$A$2:$H$32,5,FALSE)))</f>
        <v/>
      </c>
      <c r="I463">
        <f>IF($B463="","",IF(LEFT($B463,1)="━","",VLOOKUP($B463,'4. CÀI ĐẶT'!$A$2:$H$32,6,FALSE)))</f>
        <v/>
      </c>
      <c r="J463" s="13">
        <f>IF($A463="","",EOMONTH($A463,0))</f>
        <v/>
      </c>
      <c r="K463" s="67">
        <f>IF($B463="",0,IF(LEFT($B463,1)="━",0,$C463*VLOOKUP($B463,'4. CÀI ĐẶT'!$A$2:$H$32,7,FALSE)))</f>
        <v/>
      </c>
    </row>
    <row r="464">
      <c r="A464" s="8" t="n"/>
      <c r="B464" s="9" t="n"/>
      <c r="C464" s="65" t="n"/>
      <c r="D464" s="9" t="n"/>
      <c r="E464" s="66">
        <f>IF($B464="","",IF(LEFT($B464,1)="━","⚠️ Chọn hạng mục cụ thể",$C464*VLOOKUP($B464,'4. CÀI ĐẶT'!$A$2:$H$32,2,FALSE)))</f>
        <v/>
      </c>
      <c r="F464" s="67">
        <f>IF($B464="",0,IF(LEFT($B464,1)="━",0,$C464*VLOOKUP($B464,'4. CÀI ĐẶT'!$A$2:$H$32,3,FALSE)))</f>
        <v/>
      </c>
      <c r="G464" s="67">
        <f>IF($B464="",0,IF(LEFT($B464,1)="━",0,$C464*VLOOKUP($B464,'4. CÀI ĐẶT'!$A$2:$H$32,4,FALSE)))</f>
        <v/>
      </c>
      <c r="H464" s="67">
        <f>IF($B464="",0,IF(LEFT($B464,1)="━",0,$C464*VLOOKUP($B464,'4. CÀI ĐẶT'!$A$2:$H$32,5,FALSE)))</f>
        <v/>
      </c>
      <c r="I464">
        <f>IF($B464="","",IF(LEFT($B464,1)="━","",VLOOKUP($B464,'4. CÀI ĐẶT'!$A$2:$H$32,6,FALSE)))</f>
        <v/>
      </c>
      <c r="J464" s="13">
        <f>IF($A464="","",EOMONTH($A464,0))</f>
        <v/>
      </c>
      <c r="K464" s="67">
        <f>IF($B464="",0,IF(LEFT($B464,1)="━",0,$C464*VLOOKUP($B464,'4. CÀI ĐẶT'!$A$2:$H$32,7,FALSE)))</f>
        <v/>
      </c>
    </row>
    <row r="465">
      <c r="A465" s="8" t="n"/>
      <c r="B465" s="9" t="n"/>
      <c r="C465" s="65" t="n"/>
      <c r="D465" s="9" t="n"/>
      <c r="E465" s="66">
        <f>IF($B465="","",IF(LEFT($B465,1)="━","⚠️ Chọn hạng mục cụ thể",$C465*VLOOKUP($B465,'4. CÀI ĐẶT'!$A$2:$H$32,2,FALSE)))</f>
        <v/>
      </c>
      <c r="F465" s="67">
        <f>IF($B465="",0,IF(LEFT($B465,1)="━",0,$C465*VLOOKUP($B465,'4. CÀI ĐẶT'!$A$2:$H$32,3,FALSE)))</f>
        <v/>
      </c>
      <c r="G465" s="67">
        <f>IF($B465="",0,IF(LEFT($B465,1)="━",0,$C465*VLOOKUP($B465,'4. CÀI ĐẶT'!$A$2:$H$32,4,FALSE)))</f>
        <v/>
      </c>
      <c r="H465" s="67">
        <f>IF($B465="",0,IF(LEFT($B465,1)="━",0,$C465*VLOOKUP($B465,'4. CÀI ĐẶT'!$A$2:$H$32,5,FALSE)))</f>
        <v/>
      </c>
      <c r="I465">
        <f>IF($B465="","",IF(LEFT($B465,1)="━","",VLOOKUP($B465,'4. CÀI ĐẶT'!$A$2:$H$32,6,FALSE)))</f>
        <v/>
      </c>
      <c r="J465" s="13">
        <f>IF($A465="","",EOMONTH($A465,0))</f>
        <v/>
      </c>
      <c r="K465" s="67">
        <f>IF($B465="",0,IF(LEFT($B465,1)="━",0,$C465*VLOOKUP($B465,'4. CÀI ĐẶT'!$A$2:$H$32,7,FALSE)))</f>
        <v/>
      </c>
    </row>
    <row r="466">
      <c r="A466" s="8" t="n"/>
      <c r="B466" s="9" t="n"/>
      <c r="C466" s="65" t="n"/>
      <c r="D466" s="9" t="n"/>
      <c r="E466" s="66">
        <f>IF($B466="","",IF(LEFT($B466,1)="━","⚠️ Chọn hạng mục cụ thể",$C466*VLOOKUP($B466,'4. CÀI ĐẶT'!$A$2:$H$32,2,FALSE)))</f>
        <v/>
      </c>
      <c r="F466" s="67">
        <f>IF($B466="",0,IF(LEFT($B466,1)="━",0,$C466*VLOOKUP($B466,'4. CÀI ĐẶT'!$A$2:$H$32,3,FALSE)))</f>
        <v/>
      </c>
      <c r="G466" s="67">
        <f>IF($B466="",0,IF(LEFT($B466,1)="━",0,$C466*VLOOKUP($B466,'4. CÀI ĐẶT'!$A$2:$H$32,4,FALSE)))</f>
        <v/>
      </c>
      <c r="H466" s="67">
        <f>IF($B466="",0,IF(LEFT($B466,1)="━",0,$C466*VLOOKUP($B466,'4. CÀI ĐẶT'!$A$2:$H$32,5,FALSE)))</f>
        <v/>
      </c>
      <c r="I466">
        <f>IF($B466="","",IF(LEFT($B466,1)="━","",VLOOKUP($B466,'4. CÀI ĐẶT'!$A$2:$H$32,6,FALSE)))</f>
        <v/>
      </c>
      <c r="J466" s="13">
        <f>IF($A466="","",EOMONTH($A466,0))</f>
        <v/>
      </c>
      <c r="K466" s="67">
        <f>IF($B466="",0,IF(LEFT($B466,1)="━",0,$C466*VLOOKUP($B466,'4. CÀI ĐẶT'!$A$2:$H$32,7,FALSE)))</f>
        <v/>
      </c>
    </row>
    <row r="467">
      <c r="A467" s="8" t="n"/>
      <c r="B467" s="9" t="n"/>
      <c r="C467" s="65" t="n"/>
      <c r="D467" s="9" t="n"/>
      <c r="E467" s="66">
        <f>IF($B467="","",IF(LEFT($B467,1)="━","⚠️ Chọn hạng mục cụ thể",$C467*VLOOKUP($B467,'4. CÀI ĐẶT'!$A$2:$H$32,2,FALSE)))</f>
        <v/>
      </c>
      <c r="F467" s="67">
        <f>IF($B467="",0,IF(LEFT($B467,1)="━",0,$C467*VLOOKUP($B467,'4. CÀI ĐẶT'!$A$2:$H$32,3,FALSE)))</f>
        <v/>
      </c>
      <c r="G467" s="67">
        <f>IF($B467="",0,IF(LEFT($B467,1)="━",0,$C467*VLOOKUP($B467,'4. CÀI ĐẶT'!$A$2:$H$32,4,FALSE)))</f>
        <v/>
      </c>
      <c r="H467" s="67">
        <f>IF($B467="",0,IF(LEFT($B467,1)="━",0,$C467*VLOOKUP($B467,'4. CÀI ĐẶT'!$A$2:$H$32,5,FALSE)))</f>
        <v/>
      </c>
      <c r="I467">
        <f>IF($B467="","",IF(LEFT($B467,1)="━","",VLOOKUP($B467,'4. CÀI ĐẶT'!$A$2:$H$32,6,FALSE)))</f>
        <v/>
      </c>
      <c r="J467" s="13">
        <f>IF($A467="","",EOMONTH($A467,0))</f>
        <v/>
      </c>
      <c r="K467" s="67">
        <f>IF($B467="",0,IF(LEFT($B467,1)="━",0,$C467*VLOOKUP($B467,'4. CÀI ĐẶT'!$A$2:$H$32,7,FALSE)))</f>
        <v/>
      </c>
    </row>
    <row r="468">
      <c r="A468" s="8" t="n"/>
      <c r="B468" s="9" t="n"/>
      <c r="C468" s="65" t="n"/>
      <c r="D468" s="9" t="n"/>
      <c r="E468" s="66">
        <f>IF($B468="","",IF(LEFT($B468,1)="━","⚠️ Chọn hạng mục cụ thể",$C468*VLOOKUP($B468,'4. CÀI ĐẶT'!$A$2:$H$32,2,FALSE)))</f>
        <v/>
      </c>
      <c r="F468" s="67">
        <f>IF($B468="",0,IF(LEFT($B468,1)="━",0,$C468*VLOOKUP($B468,'4. CÀI ĐẶT'!$A$2:$H$32,3,FALSE)))</f>
        <v/>
      </c>
      <c r="G468" s="67">
        <f>IF($B468="",0,IF(LEFT($B468,1)="━",0,$C468*VLOOKUP($B468,'4. CÀI ĐẶT'!$A$2:$H$32,4,FALSE)))</f>
        <v/>
      </c>
      <c r="H468" s="67">
        <f>IF($B468="",0,IF(LEFT($B468,1)="━",0,$C468*VLOOKUP($B468,'4. CÀI ĐẶT'!$A$2:$H$32,5,FALSE)))</f>
        <v/>
      </c>
      <c r="I468">
        <f>IF($B468="","",IF(LEFT($B468,1)="━","",VLOOKUP($B468,'4. CÀI ĐẶT'!$A$2:$H$32,6,FALSE)))</f>
        <v/>
      </c>
      <c r="J468" s="13">
        <f>IF($A468="","",EOMONTH($A468,0))</f>
        <v/>
      </c>
      <c r="K468" s="67">
        <f>IF($B468="",0,IF(LEFT($B468,1)="━",0,$C468*VLOOKUP($B468,'4. CÀI ĐẶT'!$A$2:$H$32,7,FALSE)))</f>
        <v/>
      </c>
    </row>
    <row r="469">
      <c r="A469" s="8" t="n"/>
      <c r="B469" s="9" t="n"/>
      <c r="C469" s="65" t="n"/>
      <c r="D469" s="9" t="n"/>
      <c r="E469" s="66">
        <f>IF($B469="","",IF(LEFT($B469,1)="━","⚠️ Chọn hạng mục cụ thể",$C469*VLOOKUP($B469,'4. CÀI ĐẶT'!$A$2:$H$32,2,FALSE)))</f>
        <v/>
      </c>
      <c r="F469" s="67">
        <f>IF($B469="",0,IF(LEFT($B469,1)="━",0,$C469*VLOOKUP($B469,'4. CÀI ĐẶT'!$A$2:$H$32,3,FALSE)))</f>
        <v/>
      </c>
      <c r="G469" s="67">
        <f>IF($B469="",0,IF(LEFT($B469,1)="━",0,$C469*VLOOKUP($B469,'4. CÀI ĐẶT'!$A$2:$H$32,4,FALSE)))</f>
        <v/>
      </c>
      <c r="H469" s="67">
        <f>IF($B469="",0,IF(LEFT($B469,1)="━",0,$C469*VLOOKUP($B469,'4. CÀI ĐẶT'!$A$2:$H$32,5,FALSE)))</f>
        <v/>
      </c>
      <c r="I469">
        <f>IF($B469="","",IF(LEFT($B469,1)="━","",VLOOKUP($B469,'4. CÀI ĐẶT'!$A$2:$H$32,6,FALSE)))</f>
        <v/>
      </c>
      <c r="J469" s="13">
        <f>IF($A469="","",EOMONTH($A469,0))</f>
        <v/>
      </c>
      <c r="K469" s="67">
        <f>IF($B469="",0,IF(LEFT($B469,1)="━",0,$C469*VLOOKUP($B469,'4. CÀI ĐẶT'!$A$2:$H$32,7,FALSE)))</f>
        <v/>
      </c>
    </row>
    <row r="470">
      <c r="A470" s="8" t="n"/>
      <c r="B470" s="9" t="n"/>
      <c r="C470" s="65" t="n"/>
      <c r="D470" s="9" t="n"/>
      <c r="E470" s="66">
        <f>IF($B470="","",IF(LEFT($B470,1)="━","⚠️ Chọn hạng mục cụ thể",$C470*VLOOKUP($B470,'4. CÀI ĐẶT'!$A$2:$H$32,2,FALSE)))</f>
        <v/>
      </c>
      <c r="F470" s="67">
        <f>IF($B470="",0,IF(LEFT($B470,1)="━",0,$C470*VLOOKUP($B470,'4. CÀI ĐẶT'!$A$2:$H$32,3,FALSE)))</f>
        <v/>
      </c>
      <c r="G470" s="67">
        <f>IF($B470="",0,IF(LEFT($B470,1)="━",0,$C470*VLOOKUP($B470,'4. CÀI ĐẶT'!$A$2:$H$32,4,FALSE)))</f>
        <v/>
      </c>
      <c r="H470" s="67">
        <f>IF($B470="",0,IF(LEFT($B470,1)="━",0,$C470*VLOOKUP($B470,'4. CÀI ĐẶT'!$A$2:$H$32,5,FALSE)))</f>
        <v/>
      </c>
      <c r="I470">
        <f>IF($B470="","",IF(LEFT($B470,1)="━","",VLOOKUP($B470,'4. CÀI ĐẶT'!$A$2:$H$32,6,FALSE)))</f>
        <v/>
      </c>
      <c r="J470" s="13">
        <f>IF($A470="","",EOMONTH($A470,0))</f>
        <v/>
      </c>
      <c r="K470" s="67">
        <f>IF($B470="",0,IF(LEFT($B470,1)="━",0,$C470*VLOOKUP($B470,'4. CÀI ĐẶT'!$A$2:$H$32,7,FALSE)))</f>
        <v/>
      </c>
    </row>
    <row r="471">
      <c r="A471" s="8" t="n"/>
      <c r="B471" s="9" t="n"/>
      <c r="C471" s="65" t="n"/>
      <c r="D471" s="9" t="n"/>
      <c r="E471" s="66">
        <f>IF($B471="","",IF(LEFT($B471,1)="━","⚠️ Chọn hạng mục cụ thể",$C471*VLOOKUP($B471,'4. CÀI ĐẶT'!$A$2:$H$32,2,FALSE)))</f>
        <v/>
      </c>
      <c r="F471" s="67">
        <f>IF($B471="",0,IF(LEFT($B471,1)="━",0,$C471*VLOOKUP($B471,'4. CÀI ĐẶT'!$A$2:$H$32,3,FALSE)))</f>
        <v/>
      </c>
      <c r="G471" s="67">
        <f>IF($B471="",0,IF(LEFT($B471,1)="━",0,$C471*VLOOKUP($B471,'4. CÀI ĐẶT'!$A$2:$H$32,4,FALSE)))</f>
        <v/>
      </c>
      <c r="H471" s="67">
        <f>IF($B471="",0,IF(LEFT($B471,1)="━",0,$C471*VLOOKUP($B471,'4. CÀI ĐẶT'!$A$2:$H$32,5,FALSE)))</f>
        <v/>
      </c>
      <c r="I471">
        <f>IF($B471="","",IF(LEFT($B471,1)="━","",VLOOKUP($B471,'4. CÀI ĐẶT'!$A$2:$H$32,6,FALSE)))</f>
        <v/>
      </c>
      <c r="J471" s="13">
        <f>IF($A471="","",EOMONTH($A471,0))</f>
        <v/>
      </c>
      <c r="K471" s="67">
        <f>IF($B471="",0,IF(LEFT($B471,1)="━",0,$C471*VLOOKUP($B471,'4. CÀI ĐẶT'!$A$2:$H$32,7,FALSE)))</f>
        <v/>
      </c>
    </row>
    <row r="472">
      <c r="A472" s="8" t="n"/>
      <c r="B472" s="9" t="n"/>
      <c r="C472" s="65" t="n"/>
      <c r="D472" s="9" t="n"/>
      <c r="E472" s="66">
        <f>IF($B472="","",IF(LEFT($B472,1)="━","⚠️ Chọn hạng mục cụ thể",$C472*VLOOKUP($B472,'4. CÀI ĐẶT'!$A$2:$H$32,2,FALSE)))</f>
        <v/>
      </c>
      <c r="F472" s="67">
        <f>IF($B472="",0,IF(LEFT($B472,1)="━",0,$C472*VLOOKUP($B472,'4. CÀI ĐẶT'!$A$2:$H$32,3,FALSE)))</f>
        <v/>
      </c>
      <c r="G472" s="67">
        <f>IF($B472="",0,IF(LEFT($B472,1)="━",0,$C472*VLOOKUP($B472,'4. CÀI ĐẶT'!$A$2:$H$32,4,FALSE)))</f>
        <v/>
      </c>
      <c r="H472" s="67">
        <f>IF($B472="",0,IF(LEFT($B472,1)="━",0,$C472*VLOOKUP($B472,'4. CÀI ĐẶT'!$A$2:$H$32,5,FALSE)))</f>
        <v/>
      </c>
      <c r="I472">
        <f>IF($B472="","",IF(LEFT($B472,1)="━","",VLOOKUP($B472,'4. CÀI ĐẶT'!$A$2:$H$32,6,FALSE)))</f>
        <v/>
      </c>
      <c r="J472" s="13">
        <f>IF($A472="","",EOMONTH($A472,0))</f>
        <v/>
      </c>
      <c r="K472" s="67">
        <f>IF($B472="",0,IF(LEFT($B472,1)="━",0,$C472*VLOOKUP($B472,'4. CÀI ĐẶT'!$A$2:$H$32,7,FALSE)))</f>
        <v/>
      </c>
    </row>
    <row r="473">
      <c r="A473" s="8" t="n"/>
      <c r="B473" s="9" t="n"/>
      <c r="C473" s="65" t="n"/>
      <c r="D473" s="9" t="n"/>
      <c r="E473" s="66">
        <f>IF($B473="","",IF(LEFT($B473,1)="━","⚠️ Chọn hạng mục cụ thể",$C473*VLOOKUP($B473,'4. CÀI ĐẶT'!$A$2:$H$32,2,FALSE)))</f>
        <v/>
      </c>
      <c r="F473" s="67">
        <f>IF($B473="",0,IF(LEFT($B473,1)="━",0,$C473*VLOOKUP($B473,'4. CÀI ĐẶT'!$A$2:$H$32,3,FALSE)))</f>
        <v/>
      </c>
      <c r="G473" s="67">
        <f>IF($B473="",0,IF(LEFT($B473,1)="━",0,$C473*VLOOKUP($B473,'4. CÀI ĐẶT'!$A$2:$H$32,4,FALSE)))</f>
        <v/>
      </c>
      <c r="H473" s="67">
        <f>IF($B473="",0,IF(LEFT($B473,1)="━",0,$C473*VLOOKUP($B473,'4. CÀI ĐẶT'!$A$2:$H$32,5,FALSE)))</f>
        <v/>
      </c>
      <c r="I473">
        <f>IF($B473="","",IF(LEFT($B473,1)="━","",VLOOKUP($B473,'4. CÀI ĐẶT'!$A$2:$H$32,6,FALSE)))</f>
        <v/>
      </c>
      <c r="J473" s="13">
        <f>IF($A473="","",EOMONTH($A473,0))</f>
        <v/>
      </c>
      <c r="K473" s="67">
        <f>IF($B473="",0,IF(LEFT($B473,1)="━",0,$C473*VLOOKUP($B473,'4. CÀI ĐẶT'!$A$2:$H$32,7,FALSE)))</f>
        <v/>
      </c>
    </row>
    <row r="474">
      <c r="A474" s="8" t="n"/>
      <c r="B474" s="9" t="n"/>
      <c r="C474" s="65" t="n"/>
      <c r="D474" s="9" t="n"/>
      <c r="E474" s="66">
        <f>IF($B474="","",IF(LEFT($B474,1)="━","⚠️ Chọn hạng mục cụ thể",$C474*VLOOKUP($B474,'4. CÀI ĐẶT'!$A$2:$H$32,2,FALSE)))</f>
        <v/>
      </c>
      <c r="F474" s="67">
        <f>IF($B474="",0,IF(LEFT($B474,1)="━",0,$C474*VLOOKUP($B474,'4. CÀI ĐẶT'!$A$2:$H$32,3,FALSE)))</f>
        <v/>
      </c>
      <c r="G474" s="67">
        <f>IF($B474="",0,IF(LEFT($B474,1)="━",0,$C474*VLOOKUP($B474,'4. CÀI ĐẶT'!$A$2:$H$32,4,FALSE)))</f>
        <v/>
      </c>
      <c r="H474" s="67">
        <f>IF($B474="",0,IF(LEFT($B474,1)="━",0,$C474*VLOOKUP($B474,'4. CÀI ĐẶT'!$A$2:$H$32,5,FALSE)))</f>
        <v/>
      </c>
      <c r="I474">
        <f>IF($B474="","",IF(LEFT($B474,1)="━","",VLOOKUP($B474,'4. CÀI ĐẶT'!$A$2:$H$32,6,FALSE)))</f>
        <v/>
      </c>
      <c r="J474" s="13">
        <f>IF($A474="","",EOMONTH($A474,0))</f>
        <v/>
      </c>
      <c r="K474" s="67">
        <f>IF($B474="",0,IF(LEFT($B474,1)="━",0,$C474*VLOOKUP($B474,'4. CÀI ĐẶT'!$A$2:$H$32,7,FALSE)))</f>
        <v/>
      </c>
    </row>
    <row r="475">
      <c r="A475" s="8" t="n"/>
      <c r="B475" s="9" t="n"/>
      <c r="C475" s="65" t="n"/>
      <c r="D475" s="9" t="n"/>
      <c r="E475" s="66">
        <f>IF($B475="","",IF(LEFT($B475,1)="━","⚠️ Chọn hạng mục cụ thể",$C475*VLOOKUP($B475,'4. CÀI ĐẶT'!$A$2:$H$32,2,FALSE)))</f>
        <v/>
      </c>
      <c r="F475" s="67">
        <f>IF($B475="",0,IF(LEFT($B475,1)="━",0,$C475*VLOOKUP($B475,'4. CÀI ĐẶT'!$A$2:$H$32,3,FALSE)))</f>
        <v/>
      </c>
      <c r="G475" s="67">
        <f>IF($B475="",0,IF(LEFT($B475,1)="━",0,$C475*VLOOKUP($B475,'4. CÀI ĐẶT'!$A$2:$H$32,4,FALSE)))</f>
        <v/>
      </c>
      <c r="H475" s="67">
        <f>IF($B475="",0,IF(LEFT($B475,1)="━",0,$C475*VLOOKUP($B475,'4. CÀI ĐẶT'!$A$2:$H$32,5,FALSE)))</f>
        <v/>
      </c>
      <c r="I475">
        <f>IF($B475="","",IF(LEFT($B475,1)="━","",VLOOKUP($B475,'4. CÀI ĐẶT'!$A$2:$H$32,6,FALSE)))</f>
        <v/>
      </c>
      <c r="J475" s="13">
        <f>IF($A475="","",EOMONTH($A475,0))</f>
        <v/>
      </c>
      <c r="K475" s="67">
        <f>IF($B475="",0,IF(LEFT($B475,1)="━",0,$C475*VLOOKUP($B475,'4. CÀI ĐẶT'!$A$2:$H$32,7,FALSE)))</f>
        <v/>
      </c>
    </row>
    <row r="476">
      <c r="A476" s="8" t="n"/>
      <c r="B476" s="9" t="n"/>
      <c r="C476" s="65" t="n"/>
      <c r="D476" s="9" t="n"/>
      <c r="E476" s="66">
        <f>IF($B476="","",IF(LEFT($B476,1)="━","⚠️ Chọn hạng mục cụ thể",$C476*VLOOKUP($B476,'4. CÀI ĐẶT'!$A$2:$H$32,2,FALSE)))</f>
        <v/>
      </c>
      <c r="F476" s="67">
        <f>IF($B476="",0,IF(LEFT($B476,1)="━",0,$C476*VLOOKUP($B476,'4. CÀI ĐẶT'!$A$2:$H$32,3,FALSE)))</f>
        <v/>
      </c>
      <c r="G476" s="67">
        <f>IF($B476="",0,IF(LEFT($B476,1)="━",0,$C476*VLOOKUP($B476,'4. CÀI ĐẶT'!$A$2:$H$32,4,FALSE)))</f>
        <v/>
      </c>
      <c r="H476" s="67">
        <f>IF($B476="",0,IF(LEFT($B476,1)="━",0,$C476*VLOOKUP($B476,'4. CÀI ĐẶT'!$A$2:$H$32,5,FALSE)))</f>
        <v/>
      </c>
      <c r="I476">
        <f>IF($B476="","",IF(LEFT($B476,1)="━","",VLOOKUP($B476,'4. CÀI ĐẶT'!$A$2:$H$32,6,FALSE)))</f>
        <v/>
      </c>
      <c r="J476" s="13">
        <f>IF($A476="","",EOMONTH($A476,0))</f>
        <v/>
      </c>
      <c r="K476" s="67">
        <f>IF($B476="",0,IF(LEFT($B476,1)="━",0,$C476*VLOOKUP($B476,'4. CÀI ĐẶT'!$A$2:$H$32,7,FALSE)))</f>
        <v/>
      </c>
    </row>
    <row r="477">
      <c r="A477" s="8" t="n"/>
      <c r="B477" s="9" t="n"/>
      <c r="C477" s="65" t="n"/>
      <c r="D477" s="9" t="n"/>
      <c r="E477" s="66">
        <f>IF($B477="","",IF(LEFT($B477,1)="━","⚠️ Chọn hạng mục cụ thể",$C477*VLOOKUP($B477,'4. CÀI ĐẶT'!$A$2:$H$32,2,FALSE)))</f>
        <v/>
      </c>
      <c r="F477" s="67">
        <f>IF($B477="",0,IF(LEFT($B477,1)="━",0,$C477*VLOOKUP($B477,'4. CÀI ĐẶT'!$A$2:$H$32,3,FALSE)))</f>
        <v/>
      </c>
      <c r="G477" s="67">
        <f>IF($B477="",0,IF(LEFT($B477,1)="━",0,$C477*VLOOKUP($B477,'4. CÀI ĐẶT'!$A$2:$H$32,4,FALSE)))</f>
        <v/>
      </c>
      <c r="H477" s="67">
        <f>IF($B477="",0,IF(LEFT($B477,1)="━",0,$C477*VLOOKUP($B477,'4. CÀI ĐẶT'!$A$2:$H$32,5,FALSE)))</f>
        <v/>
      </c>
      <c r="I477">
        <f>IF($B477="","",IF(LEFT($B477,1)="━","",VLOOKUP($B477,'4. CÀI ĐẶT'!$A$2:$H$32,6,FALSE)))</f>
        <v/>
      </c>
      <c r="J477" s="13">
        <f>IF($A477="","",EOMONTH($A477,0))</f>
        <v/>
      </c>
      <c r="K477" s="67">
        <f>IF($B477="",0,IF(LEFT($B477,1)="━",0,$C477*VLOOKUP($B477,'4. CÀI ĐẶT'!$A$2:$H$32,7,FALSE)))</f>
        <v/>
      </c>
    </row>
    <row r="478">
      <c r="A478" s="8" t="n"/>
      <c r="B478" s="9" t="n"/>
      <c r="C478" s="65" t="n"/>
      <c r="D478" s="9" t="n"/>
      <c r="E478" s="66">
        <f>IF($B478="","",IF(LEFT($B478,1)="━","⚠️ Chọn hạng mục cụ thể",$C478*VLOOKUP($B478,'4. CÀI ĐẶT'!$A$2:$H$32,2,FALSE)))</f>
        <v/>
      </c>
      <c r="F478" s="67">
        <f>IF($B478="",0,IF(LEFT($B478,1)="━",0,$C478*VLOOKUP($B478,'4. CÀI ĐẶT'!$A$2:$H$32,3,FALSE)))</f>
        <v/>
      </c>
      <c r="G478" s="67">
        <f>IF($B478="",0,IF(LEFT($B478,1)="━",0,$C478*VLOOKUP($B478,'4. CÀI ĐẶT'!$A$2:$H$32,4,FALSE)))</f>
        <v/>
      </c>
      <c r="H478" s="67">
        <f>IF($B478="",0,IF(LEFT($B478,1)="━",0,$C478*VLOOKUP($B478,'4. CÀI ĐẶT'!$A$2:$H$32,5,FALSE)))</f>
        <v/>
      </c>
      <c r="I478">
        <f>IF($B478="","",IF(LEFT($B478,1)="━","",VLOOKUP($B478,'4. CÀI ĐẶT'!$A$2:$H$32,6,FALSE)))</f>
        <v/>
      </c>
      <c r="J478" s="13">
        <f>IF($A478="","",EOMONTH($A478,0))</f>
        <v/>
      </c>
      <c r="K478" s="67">
        <f>IF($B478="",0,IF(LEFT($B478,1)="━",0,$C478*VLOOKUP($B478,'4. CÀI ĐẶT'!$A$2:$H$32,7,FALSE)))</f>
        <v/>
      </c>
    </row>
    <row r="479">
      <c r="A479" s="8" t="n"/>
      <c r="B479" s="9" t="n"/>
      <c r="C479" s="65" t="n"/>
      <c r="D479" s="9" t="n"/>
      <c r="E479" s="66">
        <f>IF($B479="","",IF(LEFT($B479,1)="━","⚠️ Chọn hạng mục cụ thể",$C479*VLOOKUP($B479,'4. CÀI ĐẶT'!$A$2:$H$32,2,FALSE)))</f>
        <v/>
      </c>
      <c r="F479" s="67">
        <f>IF($B479="",0,IF(LEFT($B479,1)="━",0,$C479*VLOOKUP($B479,'4. CÀI ĐẶT'!$A$2:$H$32,3,FALSE)))</f>
        <v/>
      </c>
      <c r="G479" s="67">
        <f>IF($B479="",0,IF(LEFT($B479,1)="━",0,$C479*VLOOKUP($B479,'4. CÀI ĐẶT'!$A$2:$H$32,4,FALSE)))</f>
        <v/>
      </c>
      <c r="H479" s="67">
        <f>IF($B479="",0,IF(LEFT($B479,1)="━",0,$C479*VLOOKUP($B479,'4. CÀI ĐẶT'!$A$2:$H$32,5,FALSE)))</f>
        <v/>
      </c>
      <c r="I479">
        <f>IF($B479="","",IF(LEFT($B479,1)="━","",VLOOKUP($B479,'4. CÀI ĐẶT'!$A$2:$H$32,6,FALSE)))</f>
        <v/>
      </c>
      <c r="J479" s="13">
        <f>IF($A479="","",EOMONTH($A479,0))</f>
        <v/>
      </c>
      <c r="K479" s="67">
        <f>IF($B479="",0,IF(LEFT($B479,1)="━",0,$C479*VLOOKUP($B479,'4. CÀI ĐẶT'!$A$2:$H$32,7,FALSE)))</f>
        <v/>
      </c>
    </row>
    <row r="480">
      <c r="A480" s="8" t="n"/>
      <c r="B480" s="9" t="n"/>
      <c r="C480" s="65" t="n"/>
      <c r="D480" s="9" t="n"/>
      <c r="E480" s="66">
        <f>IF($B480="","",IF(LEFT($B480,1)="━","⚠️ Chọn hạng mục cụ thể",$C480*VLOOKUP($B480,'4. CÀI ĐẶT'!$A$2:$H$32,2,FALSE)))</f>
        <v/>
      </c>
      <c r="F480" s="67">
        <f>IF($B480="",0,IF(LEFT($B480,1)="━",0,$C480*VLOOKUP($B480,'4. CÀI ĐẶT'!$A$2:$H$32,3,FALSE)))</f>
        <v/>
      </c>
      <c r="G480" s="67">
        <f>IF($B480="",0,IF(LEFT($B480,1)="━",0,$C480*VLOOKUP($B480,'4. CÀI ĐẶT'!$A$2:$H$32,4,FALSE)))</f>
        <v/>
      </c>
      <c r="H480" s="67">
        <f>IF($B480="",0,IF(LEFT($B480,1)="━",0,$C480*VLOOKUP($B480,'4. CÀI ĐẶT'!$A$2:$H$32,5,FALSE)))</f>
        <v/>
      </c>
      <c r="I480">
        <f>IF($B480="","",IF(LEFT($B480,1)="━","",VLOOKUP($B480,'4. CÀI ĐẶT'!$A$2:$H$32,6,FALSE)))</f>
        <v/>
      </c>
      <c r="J480" s="13">
        <f>IF($A480="","",EOMONTH($A480,0))</f>
        <v/>
      </c>
      <c r="K480" s="67">
        <f>IF($B480="",0,IF(LEFT($B480,1)="━",0,$C480*VLOOKUP($B480,'4. CÀI ĐẶT'!$A$2:$H$32,7,FALSE)))</f>
        <v/>
      </c>
    </row>
    <row r="481">
      <c r="A481" s="8" t="n"/>
      <c r="B481" s="9" t="n"/>
      <c r="C481" s="65" t="n"/>
      <c r="D481" s="9" t="n"/>
      <c r="E481" s="66">
        <f>IF($B481="","",IF(LEFT($B481,1)="━","⚠️ Chọn hạng mục cụ thể",$C481*VLOOKUP($B481,'4. CÀI ĐẶT'!$A$2:$H$32,2,FALSE)))</f>
        <v/>
      </c>
      <c r="F481" s="67">
        <f>IF($B481="",0,IF(LEFT($B481,1)="━",0,$C481*VLOOKUP($B481,'4. CÀI ĐẶT'!$A$2:$H$32,3,FALSE)))</f>
        <v/>
      </c>
      <c r="G481" s="67">
        <f>IF($B481="",0,IF(LEFT($B481,1)="━",0,$C481*VLOOKUP($B481,'4. CÀI ĐẶT'!$A$2:$H$32,4,FALSE)))</f>
        <v/>
      </c>
      <c r="H481" s="67">
        <f>IF($B481="",0,IF(LEFT($B481,1)="━",0,$C481*VLOOKUP($B481,'4. CÀI ĐẶT'!$A$2:$H$32,5,FALSE)))</f>
        <v/>
      </c>
      <c r="I481">
        <f>IF($B481="","",IF(LEFT($B481,1)="━","",VLOOKUP($B481,'4. CÀI ĐẶT'!$A$2:$H$32,6,FALSE)))</f>
        <v/>
      </c>
      <c r="J481" s="13">
        <f>IF($A481="","",EOMONTH($A481,0))</f>
        <v/>
      </c>
      <c r="K481" s="67">
        <f>IF($B481="",0,IF(LEFT($B481,1)="━",0,$C481*VLOOKUP($B481,'4. CÀI ĐẶT'!$A$2:$H$32,7,FALSE)))</f>
        <v/>
      </c>
    </row>
    <row r="482">
      <c r="A482" s="8" t="n"/>
      <c r="B482" s="9" t="n"/>
      <c r="C482" s="65" t="n"/>
      <c r="D482" s="9" t="n"/>
      <c r="E482" s="66">
        <f>IF($B482="","",IF(LEFT($B482,1)="━","⚠️ Chọn hạng mục cụ thể",$C482*VLOOKUP($B482,'4. CÀI ĐẶT'!$A$2:$H$32,2,FALSE)))</f>
        <v/>
      </c>
      <c r="F482" s="67">
        <f>IF($B482="",0,IF(LEFT($B482,1)="━",0,$C482*VLOOKUP($B482,'4. CÀI ĐẶT'!$A$2:$H$32,3,FALSE)))</f>
        <v/>
      </c>
      <c r="G482" s="67">
        <f>IF($B482="",0,IF(LEFT($B482,1)="━",0,$C482*VLOOKUP($B482,'4. CÀI ĐẶT'!$A$2:$H$32,4,FALSE)))</f>
        <v/>
      </c>
      <c r="H482" s="67">
        <f>IF($B482="",0,IF(LEFT($B482,1)="━",0,$C482*VLOOKUP($B482,'4. CÀI ĐẶT'!$A$2:$H$32,5,FALSE)))</f>
        <v/>
      </c>
      <c r="I482">
        <f>IF($B482="","",IF(LEFT($B482,1)="━","",VLOOKUP($B482,'4. CÀI ĐẶT'!$A$2:$H$32,6,FALSE)))</f>
        <v/>
      </c>
      <c r="J482" s="13">
        <f>IF($A482="","",EOMONTH($A482,0))</f>
        <v/>
      </c>
      <c r="K482" s="67">
        <f>IF($B482="",0,IF(LEFT($B482,1)="━",0,$C482*VLOOKUP($B482,'4. CÀI ĐẶT'!$A$2:$H$32,7,FALSE)))</f>
        <v/>
      </c>
    </row>
    <row r="483">
      <c r="A483" s="8" t="n"/>
      <c r="B483" s="9" t="n"/>
      <c r="C483" s="65" t="n"/>
      <c r="D483" s="9" t="n"/>
      <c r="E483" s="66">
        <f>IF($B483="","",IF(LEFT($B483,1)="━","⚠️ Chọn hạng mục cụ thể",$C483*VLOOKUP($B483,'4. CÀI ĐẶT'!$A$2:$H$32,2,FALSE)))</f>
        <v/>
      </c>
      <c r="F483" s="67">
        <f>IF($B483="",0,IF(LEFT($B483,1)="━",0,$C483*VLOOKUP($B483,'4. CÀI ĐẶT'!$A$2:$H$32,3,FALSE)))</f>
        <v/>
      </c>
      <c r="G483" s="67">
        <f>IF($B483="",0,IF(LEFT($B483,1)="━",0,$C483*VLOOKUP($B483,'4. CÀI ĐẶT'!$A$2:$H$32,4,FALSE)))</f>
        <v/>
      </c>
      <c r="H483" s="67">
        <f>IF($B483="",0,IF(LEFT($B483,1)="━",0,$C483*VLOOKUP($B483,'4. CÀI ĐẶT'!$A$2:$H$32,5,FALSE)))</f>
        <v/>
      </c>
      <c r="I483">
        <f>IF($B483="","",IF(LEFT($B483,1)="━","",VLOOKUP($B483,'4. CÀI ĐẶT'!$A$2:$H$32,6,FALSE)))</f>
        <v/>
      </c>
      <c r="J483" s="13">
        <f>IF($A483="","",EOMONTH($A483,0))</f>
        <v/>
      </c>
      <c r="K483" s="67">
        <f>IF($B483="",0,IF(LEFT($B483,1)="━",0,$C483*VLOOKUP($B483,'4. CÀI ĐẶT'!$A$2:$H$32,7,FALSE)))</f>
        <v/>
      </c>
    </row>
    <row r="484">
      <c r="A484" s="8" t="n"/>
      <c r="B484" s="9" t="n"/>
      <c r="C484" s="65" t="n"/>
      <c r="D484" s="9" t="n"/>
      <c r="E484" s="66">
        <f>IF($B484="","",IF(LEFT($B484,1)="━","⚠️ Chọn hạng mục cụ thể",$C484*VLOOKUP($B484,'4. CÀI ĐẶT'!$A$2:$H$32,2,FALSE)))</f>
        <v/>
      </c>
      <c r="F484" s="67">
        <f>IF($B484="",0,IF(LEFT($B484,1)="━",0,$C484*VLOOKUP($B484,'4. CÀI ĐẶT'!$A$2:$H$32,3,FALSE)))</f>
        <v/>
      </c>
      <c r="G484" s="67">
        <f>IF($B484="",0,IF(LEFT($B484,1)="━",0,$C484*VLOOKUP($B484,'4. CÀI ĐẶT'!$A$2:$H$32,4,FALSE)))</f>
        <v/>
      </c>
      <c r="H484" s="67">
        <f>IF($B484="",0,IF(LEFT($B484,1)="━",0,$C484*VLOOKUP($B484,'4. CÀI ĐẶT'!$A$2:$H$32,5,FALSE)))</f>
        <v/>
      </c>
      <c r="I484">
        <f>IF($B484="","",IF(LEFT($B484,1)="━","",VLOOKUP($B484,'4. CÀI ĐẶT'!$A$2:$H$32,6,FALSE)))</f>
        <v/>
      </c>
      <c r="J484" s="13">
        <f>IF($A484="","",EOMONTH($A484,0))</f>
        <v/>
      </c>
      <c r="K484" s="67">
        <f>IF($B484="",0,IF(LEFT($B484,1)="━",0,$C484*VLOOKUP($B484,'4. CÀI ĐẶT'!$A$2:$H$32,7,FALSE)))</f>
        <v/>
      </c>
    </row>
    <row r="485">
      <c r="A485" s="8" t="n"/>
      <c r="B485" s="9" t="n"/>
      <c r="C485" s="65" t="n"/>
      <c r="D485" s="9" t="n"/>
      <c r="E485" s="66">
        <f>IF($B485="","",IF(LEFT($B485,1)="━","⚠️ Chọn hạng mục cụ thể",$C485*VLOOKUP($B485,'4. CÀI ĐẶT'!$A$2:$H$32,2,FALSE)))</f>
        <v/>
      </c>
      <c r="F485" s="67">
        <f>IF($B485="",0,IF(LEFT($B485,1)="━",0,$C485*VLOOKUP($B485,'4. CÀI ĐẶT'!$A$2:$H$32,3,FALSE)))</f>
        <v/>
      </c>
      <c r="G485" s="67">
        <f>IF($B485="",0,IF(LEFT($B485,1)="━",0,$C485*VLOOKUP($B485,'4. CÀI ĐẶT'!$A$2:$H$32,4,FALSE)))</f>
        <v/>
      </c>
      <c r="H485" s="67">
        <f>IF($B485="",0,IF(LEFT($B485,1)="━",0,$C485*VLOOKUP($B485,'4. CÀI ĐẶT'!$A$2:$H$32,5,FALSE)))</f>
        <v/>
      </c>
      <c r="I485">
        <f>IF($B485="","",IF(LEFT($B485,1)="━","",VLOOKUP($B485,'4. CÀI ĐẶT'!$A$2:$H$32,6,FALSE)))</f>
        <v/>
      </c>
      <c r="J485" s="13">
        <f>IF($A485="","",EOMONTH($A485,0))</f>
        <v/>
      </c>
      <c r="K485" s="67">
        <f>IF($B485="",0,IF(LEFT($B485,1)="━",0,$C485*VLOOKUP($B485,'4. CÀI ĐẶT'!$A$2:$H$32,7,FALSE)))</f>
        <v/>
      </c>
    </row>
    <row r="486">
      <c r="A486" s="8" t="n"/>
      <c r="B486" s="9" t="n"/>
      <c r="C486" s="65" t="n"/>
      <c r="D486" s="9" t="n"/>
      <c r="E486" s="66">
        <f>IF($B486="","",IF(LEFT($B486,1)="━","⚠️ Chọn hạng mục cụ thể",$C486*VLOOKUP($B486,'4. CÀI ĐẶT'!$A$2:$H$32,2,FALSE)))</f>
        <v/>
      </c>
      <c r="F486" s="67">
        <f>IF($B486="",0,IF(LEFT($B486,1)="━",0,$C486*VLOOKUP($B486,'4. CÀI ĐẶT'!$A$2:$H$32,3,FALSE)))</f>
        <v/>
      </c>
      <c r="G486" s="67">
        <f>IF($B486="",0,IF(LEFT($B486,1)="━",0,$C486*VLOOKUP($B486,'4. CÀI ĐẶT'!$A$2:$H$32,4,FALSE)))</f>
        <v/>
      </c>
      <c r="H486" s="67">
        <f>IF($B486="",0,IF(LEFT($B486,1)="━",0,$C486*VLOOKUP($B486,'4. CÀI ĐẶT'!$A$2:$H$32,5,FALSE)))</f>
        <v/>
      </c>
      <c r="I486">
        <f>IF($B486="","",IF(LEFT($B486,1)="━","",VLOOKUP($B486,'4. CÀI ĐẶT'!$A$2:$H$32,6,FALSE)))</f>
        <v/>
      </c>
      <c r="J486" s="13">
        <f>IF($A486="","",EOMONTH($A486,0))</f>
        <v/>
      </c>
      <c r="K486" s="67">
        <f>IF($B486="",0,IF(LEFT($B486,1)="━",0,$C486*VLOOKUP($B486,'4. CÀI ĐẶT'!$A$2:$H$32,7,FALSE)))</f>
        <v/>
      </c>
    </row>
    <row r="487">
      <c r="A487" s="8" t="n"/>
      <c r="B487" s="9" t="n"/>
      <c r="C487" s="65" t="n"/>
      <c r="D487" s="9" t="n"/>
      <c r="E487" s="66">
        <f>IF($B487="","",IF(LEFT($B487,1)="━","⚠️ Chọn hạng mục cụ thể",$C487*VLOOKUP($B487,'4. CÀI ĐẶT'!$A$2:$H$32,2,FALSE)))</f>
        <v/>
      </c>
      <c r="F487" s="67">
        <f>IF($B487="",0,IF(LEFT($B487,1)="━",0,$C487*VLOOKUP($B487,'4. CÀI ĐẶT'!$A$2:$H$32,3,FALSE)))</f>
        <v/>
      </c>
      <c r="G487" s="67">
        <f>IF($B487="",0,IF(LEFT($B487,1)="━",0,$C487*VLOOKUP($B487,'4. CÀI ĐẶT'!$A$2:$H$32,4,FALSE)))</f>
        <v/>
      </c>
      <c r="H487" s="67">
        <f>IF($B487="",0,IF(LEFT($B487,1)="━",0,$C487*VLOOKUP($B487,'4. CÀI ĐẶT'!$A$2:$H$32,5,FALSE)))</f>
        <v/>
      </c>
      <c r="I487">
        <f>IF($B487="","",IF(LEFT($B487,1)="━","",VLOOKUP($B487,'4. CÀI ĐẶT'!$A$2:$H$32,6,FALSE)))</f>
        <v/>
      </c>
      <c r="J487" s="13">
        <f>IF($A487="","",EOMONTH($A487,0))</f>
        <v/>
      </c>
      <c r="K487" s="67">
        <f>IF($B487="",0,IF(LEFT($B487,1)="━",0,$C487*VLOOKUP($B487,'4. CÀI ĐẶT'!$A$2:$H$32,7,FALSE)))</f>
        <v/>
      </c>
    </row>
    <row r="488">
      <c r="A488" s="8" t="n"/>
      <c r="B488" s="9" t="n"/>
      <c r="C488" s="65" t="n"/>
      <c r="D488" s="9" t="n"/>
      <c r="E488" s="66">
        <f>IF($B488="","",IF(LEFT($B488,1)="━","⚠️ Chọn hạng mục cụ thể",$C488*VLOOKUP($B488,'4. CÀI ĐẶT'!$A$2:$H$32,2,FALSE)))</f>
        <v/>
      </c>
      <c r="F488" s="67">
        <f>IF($B488="",0,IF(LEFT($B488,1)="━",0,$C488*VLOOKUP($B488,'4. CÀI ĐẶT'!$A$2:$H$32,3,FALSE)))</f>
        <v/>
      </c>
      <c r="G488" s="67">
        <f>IF($B488="",0,IF(LEFT($B488,1)="━",0,$C488*VLOOKUP($B488,'4. CÀI ĐẶT'!$A$2:$H$32,4,FALSE)))</f>
        <v/>
      </c>
      <c r="H488" s="67">
        <f>IF($B488="",0,IF(LEFT($B488,1)="━",0,$C488*VLOOKUP($B488,'4. CÀI ĐẶT'!$A$2:$H$32,5,FALSE)))</f>
        <v/>
      </c>
      <c r="I488">
        <f>IF($B488="","",IF(LEFT($B488,1)="━","",VLOOKUP($B488,'4. CÀI ĐẶT'!$A$2:$H$32,6,FALSE)))</f>
        <v/>
      </c>
      <c r="J488" s="13">
        <f>IF($A488="","",EOMONTH($A488,0))</f>
        <v/>
      </c>
      <c r="K488" s="67">
        <f>IF($B488="",0,IF(LEFT($B488,1)="━",0,$C488*VLOOKUP($B488,'4. CÀI ĐẶT'!$A$2:$H$32,7,FALSE)))</f>
        <v/>
      </c>
    </row>
    <row r="489">
      <c r="A489" s="8" t="n"/>
      <c r="B489" s="9" t="n"/>
      <c r="C489" s="65" t="n"/>
      <c r="D489" s="9" t="n"/>
      <c r="E489" s="66">
        <f>IF($B489="","",IF(LEFT($B489,1)="━","⚠️ Chọn hạng mục cụ thể",$C489*VLOOKUP($B489,'4. CÀI ĐẶT'!$A$2:$H$32,2,FALSE)))</f>
        <v/>
      </c>
      <c r="F489" s="67">
        <f>IF($B489="",0,IF(LEFT($B489,1)="━",0,$C489*VLOOKUP($B489,'4. CÀI ĐẶT'!$A$2:$H$32,3,FALSE)))</f>
        <v/>
      </c>
      <c r="G489" s="67">
        <f>IF($B489="",0,IF(LEFT($B489,1)="━",0,$C489*VLOOKUP($B489,'4. CÀI ĐẶT'!$A$2:$H$32,4,FALSE)))</f>
        <v/>
      </c>
      <c r="H489" s="67">
        <f>IF($B489="",0,IF(LEFT($B489,1)="━",0,$C489*VLOOKUP($B489,'4. CÀI ĐẶT'!$A$2:$H$32,5,FALSE)))</f>
        <v/>
      </c>
      <c r="I489">
        <f>IF($B489="","",IF(LEFT($B489,1)="━","",VLOOKUP($B489,'4. CÀI ĐẶT'!$A$2:$H$32,6,FALSE)))</f>
        <v/>
      </c>
      <c r="J489" s="13">
        <f>IF($A489="","",EOMONTH($A489,0))</f>
        <v/>
      </c>
      <c r="K489" s="67">
        <f>IF($B489="",0,IF(LEFT($B489,1)="━",0,$C489*VLOOKUP($B489,'4. CÀI ĐẶT'!$A$2:$H$32,7,FALSE)))</f>
        <v/>
      </c>
    </row>
    <row r="490">
      <c r="A490" s="8" t="n"/>
      <c r="B490" s="9" t="n"/>
      <c r="C490" s="65" t="n"/>
      <c r="D490" s="9" t="n"/>
      <c r="E490" s="66">
        <f>IF($B490="","",IF(LEFT($B490,1)="━","⚠️ Chọn hạng mục cụ thể",$C490*VLOOKUP($B490,'4. CÀI ĐẶT'!$A$2:$H$32,2,FALSE)))</f>
        <v/>
      </c>
      <c r="F490" s="67">
        <f>IF($B490="",0,IF(LEFT($B490,1)="━",0,$C490*VLOOKUP($B490,'4. CÀI ĐẶT'!$A$2:$H$32,3,FALSE)))</f>
        <v/>
      </c>
      <c r="G490" s="67">
        <f>IF($B490="",0,IF(LEFT($B490,1)="━",0,$C490*VLOOKUP($B490,'4. CÀI ĐẶT'!$A$2:$H$32,4,FALSE)))</f>
        <v/>
      </c>
      <c r="H490" s="67">
        <f>IF($B490="",0,IF(LEFT($B490,1)="━",0,$C490*VLOOKUP($B490,'4. CÀI ĐẶT'!$A$2:$H$32,5,FALSE)))</f>
        <v/>
      </c>
      <c r="I490">
        <f>IF($B490="","",IF(LEFT($B490,1)="━","",VLOOKUP($B490,'4. CÀI ĐẶT'!$A$2:$H$32,6,FALSE)))</f>
        <v/>
      </c>
      <c r="J490" s="13">
        <f>IF($A490="","",EOMONTH($A490,0))</f>
        <v/>
      </c>
      <c r="K490" s="67">
        <f>IF($B490="",0,IF(LEFT($B490,1)="━",0,$C490*VLOOKUP($B490,'4. CÀI ĐẶT'!$A$2:$H$32,7,FALSE)))</f>
        <v/>
      </c>
    </row>
    <row r="491">
      <c r="A491" s="8" t="n"/>
      <c r="B491" s="9" t="n"/>
      <c r="C491" s="65" t="n"/>
      <c r="D491" s="9" t="n"/>
      <c r="E491" s="66">
        <f>IF($B491="","",IF(LEFT($B491,1)="━","⚠️ Chọn hạng mục cụ thể",$C491*VLOOKUP($B491,'4. CÀI ĐẶT'!$A$2:$H$32,2,FALSE)))</f>
        <v/>
      </c>
      <c r="F491" s="67">
        <f>IF($B491="",0,IF(LEFT($B491,1)="━",0,$C491*VLOOKUP($B491,'4. CÀI ĐẶT'!$A$2:$H$32,3,FALSE)))</f>
        <v/>
      </c>
      <c r="G491" s="67">
        <f>IF($B491="",0,IF(LEFT($B491,1)="━",0,$C491*VLOOKUP($B491,'4. CÀI ĐẶT'!$A$2:$H$32,4,FALSE)))</f>
        <v/>
      </c>
      <c r="H491" s="67">
        <f>IF($B491="",0,IF(LEFT($B491,1)="━",0,$C491*VLOOKUP($B491,'4. CÀI ĐẶT'!$A$2:$H$32,5,FALSE)))</f>
        <v/>
      </c>
      <c r="I491">
        <f>IF($B491="","",IF(LEFT($B491,1)="━","",VLOOKUP($B491,'4. CÀI ĐẶT'!$A$2:$H$32,6,FALSE)))</f>
        <v/>
      </c>
      <c r="J491" s="13">
        <f>IF($A491="","",EOMONTH($A491,0))</f>
        <v/>
      </c>
      <c r="K491" s="67">
        <f>IF($B491="",0,IF(LEFT($B491,1)="━",0,$C491*VLOOKUP($B491,'4. CÀI ĐẶT'!$A$2:$H$32,7,FALSE)))</f>
        <v/>
      </c>
    </row>
    <row r="492">
      <c r="A492" s="8" t="n"/>
      <c r="B492" s="9" t="n"/>
      <c r="C492" s="65" t="n"/>
      <c r="D492" s="9" t="n"/>
      <c r="E492" s="66">
        <f>IF($B492="","",IF(LEFT($B492,1)="━","⚠️ Chọn hạng mục cụ thể",$C492*VLOOKUP($B492,'4. CÀI ĐẶT'!$A$2:$H$32,2,FALSE)))</f>
        <v/>
      </c>
      <c r="F492" s="67">
        <f>IF($B492="",0,IF(LEFT($B492,1)="━",0,$C492*VLOOKUP($B492,'4. CÀI ĐẶT'!$A$2:$H$32,3,FALSE)))</f>
        <v/>
      </c>
      <c r="G492" s="67">
        <f>IF($B492="",0,IF(LEFT($B492,1)="━",0,$C492*VLOOKUP($B492,'4. CÀI ĐẶT'!$A$2:$H$32,4,FALSE)))</f>
        <v/>
      </c>
      <c r="H492" s="67">
        <f>IF($B492="",0,IF(LEFT($B492,1)="━",0,$C492*VLOOKUP($B492,'4. CÀI ĐẶT'!$A$2:$H$32,5,FALSE)))</f>
        <v/>
      </c>
      <c r="I492">
        <f>IF($B492="","",IF(LEFT($B492,1)="━","",VLOOKUP($B492,'4. CÀI ĐẶT'!$A$2:$H$32,6,FALSE)))</f>
        <v/>
      </c>
      <c r="J492" s="13">
        <f>IF($A492="","",EOMONTH($A492,0))</f>
        <v/>
      </c>
      <c r="K492" s="67">
        <f>IF($B492="",0,IF(LEFT($B492,1)="━",0,$C492*VLOOKUP($B492,'4. CÀI ĐẶT'!$A$2:$H$32,7,FALSE)))</f>
        <v/>
      </c>
    </row>
    <row r="493">
      <c r="A493" s="8" t="n"/>
      <c r="B493" s="9" t="n"/>
      <c r="C493" s="65" t="n"/>
      <c r="D493" s="9" t="n"/>
      <c r="E493" s="66">
        <f>IF($B493="","",IF(LEFT($B493,1)="━","⚠️ Chọn hạng mục cụ thể",$C493*VLOOKUP($B493,'4. CÀI ĐẶT'!$A$2:$H$32,2,FALSE)))</f>
        <v/>
      </c>
      <c r="F493" s="67">
        <f>IF($B493="",0,IF(LEFT($B493,1)="━",0,$C493*VLOOKUP($B493,'4. CÀI ĐẶT'!$A$2:$H$32,3,FALSE)))</f>
        <v/>
      </c>
      <c r="G493" s="67">
        <f>IF($B493="",0,IF(LEFT($B493,1)="━",0,$C493*VLOOKUP($B493,'4. CÀI ĐẶT'!$A$2:$H$32,4,FALSE)))</f>
        <v/>
      </c>
      <c r="H493" s="67">
        <f>IF($B493="",0,IF(LEFT($B493,1)="━",0,$C493*VLOOKUP($B493,'4. CÀI ĐẶT'!$A$2:$H$32,5,FALSE)))</f>
        <v/>
      </c>
      <c r="I493">
        <f>IF($B493="","",IF(LEFT($B493,1)="━","",VLOOKUP($B493,'4. CÀI ĐẶT'!$A$2:$H$32,6,FALSE)))</f>
        <v/>
      </c>
      <c r="J493" s="13">
        <f>IF($A493="","",EOMONTH($A493,0))</f>
        <v/>
      </c>
      <c r="K493" s="67">
        <f>IF($B493="",0,IF(LEFT($B493,1)="━",0,$C493*VLOOKUP($B493,'4. CÀI ĐẶT'!$A$2:$H$32,7,FALSE)))</f>
        <v/>
      </c>
    </row>
    <row r="494">
      <c r="A494" s="8" t="n"/>
      <c r="B494" s="9" t="n"/>
      <c r="C494" s="65" t="n"/>
      <c r="D494" s="9" t="n"/>
      <c r="E494" s="66">
        <f>IF($B494="","",IF(LEFT($B494,1)="━","⚠️ Chọn hạng mục cụ thể",$C494*VLOOKUP($B494,'4. CÀI ĐẶT'!$A$2:$H$32,2,FALSE)))</f>
        <v/>
      </c>
      <c r="F494" s="67">
        <f>IF($B494="",0,IF(LEFT($B494,1)="━",0,$C494*VLOOKUP($B494,'4. CÀI ĐẶT'!$A$2:$H$32,3,FALSE)))</f>
        <v/>
      </c>
      <c r="G494" s="67">
        <f>IF($B494="",0,IF(LEFT($B494,1)="━",0,$C494*VLOOKUP($B494,'4. CÀI ĐẶT'!$A$2:$H$32,4,FALSE)))</f>
        <v/>
      </c>
      <c r="H494" s="67">
        <f>IF($B494="",0,IF(LEFT($B494,1)="━",0,$C494*VLOOKUP($B494,'4. CÀI ĐẶT'!$A$2:$H$32,5,FALSE)))</f>
        <v/>
      </c>
      <c r="I494">
        <f>IF($B494="","",IF(LEFT($B494,1)="━","",VLOOKUP($B494,'4. CÀI ĐẶT'!$A$2:$H$32,6,FALSE)))</f>
        <v/>
      </c>
      <c r="J494" s="13">
        <f>IF($A494="","",EOMONTH($A494,0))</f>
        <v/>
      </c>
      <c r="K494" s="67">
        <f>IF($B494="",0,IF(LEFT($B494,1)="━",0,$C494*VLOOKUP($B494,'4. CÀI ĐẶT'!$A$2:$H$32,7,FALSE)))</f>
        <v/>
      </c>
    </row>
    <row r="495">
      <c r="A495" s="8" t="n"/>
      <c r="B495" s="9" t="n"/>
      <c r="C495" s="65" t="n"/>
      <c r="D495" s="9" t="n"/>
      <c r="E495" s="66">
        <f>IF($B495="","",IF(LEFT($B495,1)="━","⚠️ Chọn hạng mục cụ thể",$C495*VLOOKUP($B495,'4. CÀI ĐẶT'!$A$2:$H$32,2,FALSE)))</f>
        <v/>
      </c>
      <c r="F495" s="67">
        <f>IF($B495="",0,IF(LEFT($B495,1)="━",0,$C495*VLOOKUP($B495,'4. CÀI ĐẶT'!$A$2:$H$32,3,FALSE)))</f>
        <v/>
      </c>
      <c r="G495" s="67">
        <f>IF($B495="",0,IF(LEFT($B495,1)="━",0,$C495*VLOOKUP($B495,'4. CÀI ĐẶT'!$A$2:$H$32,4,FALSE)))</f>
        <v/>
      </c>
      <c r="H495" s="67">
        <f>IF($B495="",0,IF(LEFT($B495,1)="━",0,$C495*VLOOKUP($B495,'4. CÀI ĐẶT'!$A$2:$H$32,5,FALSE)))</f>
        <v/>
      </c>
      <c r="I495">
        <f>IF($B495="","",IF(LEFT($B495,1)="━","",VLOOKUP($B495,'4. CÀI ĐẶT'!$A$2:$H$32,6,FALSE)))</f>
        <v/>
      </c>
      <c r="J495" s="13">
        <f>IF($A495="","",EOMONTH($A495,0))</f>
        <v/>
      </c>
      <c r="K495" s="67">
        <f>IF($B495="",0,IF(LEFT($B495,1)="━",0,$C495*VLOOKUP($B495,'4. CÀI ĐẶT'!$A$2:$H$32,7,FALSE)))</f>
        <v/>
      </c>
    </row>
    <row r="496">
      <c r="A496" s="8" t="n"/>
      <c r="B496" s="9" t="n"/>
      <c r="C496" s="65" t="n"/>
      <c r="D496" s="9" t="n"/>
      <c r="E496" s="66">
        <f>IF($B496="","",IF(LEFT($B496,1)="━","⚠️ Chọn hạng mục cụ thể",$C496*VLOOKUP($B496,'4. CÀI ĐẶT'!$A$2:$H$32,2,FALSE)))</f>
        <v/>
      </c>
      <c r="F496" s="67">
        <f>IF($B496="",0,IF(LEFT($B496,1)="━",0,$C496*VLOOKUP($B496,'4. CÀI ĐẶT'!$A$2:$H$32,3,FALSE)))</f>
        <v/>
      </c>
      <c r="G496" s="67">
        <f>IF($B496="",0,IF(LEFT($B496,1)="━",0,$C496*VLOOKUP($B496,'4. CÀI ĐẶT'!$A$2:$H$32,4,FALSE)))</f>
        <v/>
      </c>
      <c r="H496" s="67">
        <f>IF($B496="",0,IF(LEFT($B496,1)="━",0,$C496*VLOOKUP($B496,'4. CÀI ĐẶT'!$A$2:$H$32,5,FALSE)))</f>
        <v/>
      </c>
      <c r="I496">
        <f>IF($B496="","",IF(LEFT($B496,1)="━","",VLOOKUP($B496,'4. CÀI ĐẶT'!$A$2:$H$32,6,FALSE)))</f>
        <v/>
      </c>
      <c r="J496" s="13">
        <f>IF($A496="","",EOMONTH($A496,0))</f>
        <v/>
      </c>
      <c r="K496" s="67">
        <f>IF($B496="",0,IF(LEFT($B496,1)="━",0,$C496*VLOOKUP($B496,'4. CÀI ĐẶT'!$A$2:$H$32,7,FALSE)))</f>
        <v/>
      </c>
    </row>
    <row r="497">
      <c r="A497" s="8" t="n"/>
      <c r="B497" s="9" t="n"/>
      <c r="C497" s="65" t="n"/>
      <c r="D497" s="9" t="n"/>
      <c r="E497" s="66">
        <f>IF($B497="","",IF(LEFT($B497,1)="━","⚠️ Chọn hạng mục cụ thể",$C497*VLOOKUP($B497,'4. CÀI ĐẶT'!$A$2:$H$32,2,FALSE)))</f>
        <v/>
      </c>
      <c r="F497" s="67">
        <f>IF($B497="",0,IF(LEFT($B497,1)="━",0,$C497*VLOOKUP($B497,'4. CÀI ĐẶT'!$A$2:$H$32,3,FALSE)))</f>
        <v/>
      </c>
      <c r="G497" s="67">
        <f>IF($B497="",0,IF(LEFT($B497,1)="━",0,$C497*VLOOKUP($B497,'4. CÀI ĐẶT'!$A$2:$H$32,4,FALSE)))</f>
        <v/>
      </c>
      <c r="H497" s="67">
        <f>IF($B497="",0,IF(LEFT($B497,1)="━",0,$C497*VLOOKUP($B497,'4. CÀI ĐẶT'!$A$2:$H$32,5,FALSE)))</f>
        <v/>
      </c>
      <c r="I497">
        <f>IF($B497="","",IF(LEFT($B497,1)="━","",VLOOKUP($B497,'4. CÀI ĐẶT'!$A$2:$H$32,6,FALSE)))</f>
        <v/>
      </c>
      <c r="J497" s="13">
        <f>IF($A497="","",EOMONTH($A497,0))</f>
        <v/>
      </c>
      <c r="K497" s="67">
        <f>IF($B497="",0,IF(LEFT($B497,1)="━",0,$C497*VLOOKUP($B497,'4. CÀI ĐẶT'!$A$2:$H$32,7,FALSE)))</f>
        <v/>
      </c>
    </row>
    <row r="498">
      <c r="A498" s="8" t="n"/>
      <c r="B498" s="9" t="n"/>
      <c r="C498" s="65" t="n"/>
      <c r="D498" s="9" t="n"/>
      <c r="E498" s="66">
        <f>IF($B498="","",IF(LEFT($B498,1)="━","⚠️ Chọn hạng mục cụ thể",$C498*VLOOKUP($B498,'4. CÀI ĐẶT'!$A$2:$H$32,2,FALSE)))</f>
        <v/>
      </c>
      <c r="F498" s="67">
        <f>IF($B498="",0,IF(LEFT($B498,1)="━",0,$C498*VLOOKUP($B498,'4. CÀI ĐẶT'!$A$2:$H$32,3,FALSE)))</f>
        <v/>
      </c>
      <c r="G498" s="67">
        <f>IF($B498="",0,IF(LEFT($B498,1)="━",0,$C498*VLOOKUP($B498,'4. CÀI ĐẶT'!$A$2:$H$32,4,FALSE)))</f>
        <v/>
      </c>
      <c r="H498" s="67">
        <f>IF($B498="",0,IF(LEFT($B498,1)="━",0,$C498*VLOOKUP($B498,'4. CÀI ĐẶT'!$A$2:$H$32,5,FALSE)))</f>
        <v/>
      </c>
      <c r="I498">
        <f>IF($B498="","",IF(LEFT($B498,1)="━","",VLOOKUP($B498,'4. CÀI ĐẶT'!$A$2:$H$32,6,FALSE)))</f>
        <v/>
      </c>
      <c r="J498" s="13">
        <f>IF($A498="","",EOMONTH($A498,0))</f>
        <v/>
      </c>
      <c r="K498" s="67">
        <f>IF($B498="",0,IF(LEFT($B498,1)="━",0,$C498*VLOOKUP($B498,'4. CÀI ĐẶT'!$A$2:$H$32,7,FALSE)))</f>
        <v/>
      </c>
    </row>
    <row r="499">
      <c r="A499" s="8" t="n"/>
      <c r="B499" s="9" t="n"/>
      <c r="C499" s="65" t="n"/>
      <c r="D499" s="9" t="n"/>
      <c r="E499" s="66">
        <f>IF($B499="","",IF(LEFT($B499,1)="━","⚠️ Chọn hạng mục cụ thể",$C499*VLOOKUP($B499,'4. CÀI ĐẶT'!$A$2:$H$32,2,FALSE)))</f>
        <v/>
      </c>
      <c r="F499" s="67">
        <f>IF($B499="",0,IF(LEFT($B499,1)="━",0,$C499*VLOOKUP($B499,'4. CÀI ĐẶT'!$A$2:$H$32,3,FALSE)))</f>
        <v/>
      </c>
      <c r="G499" s="67">
        <f>IF($B499="",0,IF(LEFT($B499,1)="━",0,$C499*VLOOKUP($B499,'4. CÀI ĐẶT'!$A$2:$H$32,4,FALSE)))</f>
        <v/>
      </c>
      <c r="H499" s="67">
        <f>IF($B499="",0,IF(LEFT($B499,1)="━",0,$C499*VLOOKUP($B499,'4. CÀI ĐẶT'!$A$2:$H$32,5,FALSE)))</f>
        <v/>
      </c>
      <c r="I499">
        <f>IF($B499="","",IF(LEFT($B499,1)="━","",VLOOKUP($B499,'4. CÀI ĐẶT'!$A$2:$H$32,6,FALSE)))</f>
        <v/>
      </c>
      <c r="J499" s="13">
        <f>IF($A499="","",EOMONTH($A499,0))</f>
        <v/>
      </c>
      <c r="K499" s="67">
        <f>IF($B499="",0,IF(LEFT($B499,1)="━",0,$C499*VLOOKUP($B499,'4. CÀI ĐẶT'!$A$2:$H$32,7,FALSE)))</f>
        <v/>
      </c>
    </row>
    <row r="500">
      <c r="A500" s="8" t="n"/>
      <c r="B500" s="9" t="n"/>
      <c r="C500" s="65" t="n"/>
      <c r="D500" s="9" t="n"/>
      <c r="E500" s="66">
        <f>IF($B500="","",IF(LEFT($B500,1)="━","⚠️ Chọn hạng mục cụ thể",$C500*VLOOKUP($B500,'4. CÀI ĐẶT'!$A$2:$H$32,2,FALSE)))</f>
        <v/>
      </c>
      <c r="F500" s="67">
        <f>IF($B500="",0,IF(LEFT($B500,1)="━",0,$C500*VLOOKUP($B500,'4. CÀI ĐẶT'!$A$2:$H$32,3,FALSE)))</f>
        <v/>
      </c>
      <c r="G500" s="67">
        <f>IF($B500="",0,IF(LEFT($B500,1)="━",0,$C500*VLOOKUP($B500,'4. CÀI ĐẶT'!$A$2:$H$32,4,FALSE)))</f>
        <v/>
      </c>
      <c r="H500" s="67">
        <f>IF($B500="",0,IF(LEFT($B500,1)="━",0,$C500*VLOOKUP($B500,'4. CÀI ĐẶT'!$A$2:$H$32,5,FALSE)))</f>
        <v/>
      </c>
      <c r="I500">
        <f>IF($B500="","",IF(LEFT($B500,1)="━","",VLOOKUP($B500,'4. CÀI ĐẶT'!$A$2:$H$32,6,FALSE)))</f>
        <v/>
      </c>
      <c r="J500" s="13">
        <f>IF($A500="","",EOMONTH($A500,0))</f>
        <v/>
      </c>
      <c r="K500" s="67">
        <f>IF($B500="",0,IF(LEFT($B500,1)="━",0,$C500*VLOOKUP($B500,'4. CÀI ĐẶT'!$A$2:$H$32,7,FALSE)))</f>
        <v/>
      </c>
    </row>
    <row r="501">
      <c r="A501" s="8" t="n"/>
      <c r="B501" s="9" t="n"/>
      <c r="C501" s="65" t="n"/>
      <c r="D501" s="9" t="n"/>
      <c r="E501" s="66">
        <f>IF($B501="","",IF(LEFT($B501,1)="━","⚠️ Chọn hạng mục cụ thể",$C501*VLOOKUP($B501,'4. CÀI ĐẶT'!$A$2:$H$32,2,FALSE)))</f>
        <v/>
      </c>
      <c r="F501" s="67">
        <f>IF($B501="",0,IF(LEFT($B501,1)="━",0,$C501*VLOOKUP($B501,'4. CÀI ĐẶT'!$A$2:$H$32,3,FALSE)))</f>
        <v/>
      </c>
      <c r="G501" s="67">
        <f>IF($B501="",0,IF(LEFT($B501,1)="━",0,$C501*VLOOKUP($B501,'4. CÀI ĐẶT'!$A$2:$H$32,4,FALSE)))</f>
        <v/>
      </c>
      <c r="H501" s="67">
        <f>IF($B501="",0,IF(LEFT($B501,1)="━",0,$C501*VLOOKUP($B501,'4. CÀI ĐẶT'!$A$2:$H$32,5,FALSE)))</f>
        <v/>
      </c>
      <c r="I501">
        <f>IF($B501="","",IF(LEFT($B501,1)="━","",VLOOKUP($B501,'4. CÀI ĐẶT'!$A$2:$H$32,6,FALSE)))</f>
        <v/>
      </c>
      <c r="J501" s="13">
        <f>IF($A501="","",EOMONTH($A501,0))</f>
        <v/>
      </c>
      <c r="K501" s="67">
        <f>IF($B501="",0,IF(LEFT($B501,1)="━",0,$C501*VLOOKUP($B501,'4. CÀI ĐẶT'!$A$2:$H$32,7,FALSE)))</f>
        <v/>
      </c>
    </row>
    <row r="502">
      <c r="A502" s="8" t="n"/>
      <c r="B502" s="9" t="n"/>
      <c r="C502" s="65" t="n"/>
      <c r="D502" s="9" t="n"/>
      <c r="E502" s="66">
        <f>IF($B502="","",IF(LEFT($B502,1)="━","⚠️ Chọn hạng mục cụ thể",$C502*VLOOKUP($B502,'4. CÀI ĐẶT'!$A$2:$H$32,2,FALSE)))</f>
        <v/>
      </c>
      <c r="F502" s="67">
        <f>IF($B502="",0,IF(LEFT($B502,1)="━",0,$C502*VLOOKUP($B502,'4. CÀI ĐẶT'!$A$2:$H$32,3,FALSE)))</f>
        <v/>
      </c>
      <c r="G502" s="67">
        <f>IF($B502="",0,IF(LEFT($B502,1)="━",0,$C502*VLOOKUP($B502,'4. CÀI ĐẶT'!$A$2:$H$32,4,FALSE)))</f>
        <v/>
      </c>
      <c r="H502" s="67">
        <f>IF($B502="",0,IF(LEFT($B502,1)="━",0,$C502*VLOOKUP($B502,'4. CÀI ĐẶT'!$A$2:$H$32,5,FALSE)))</f>
        <v/>
      </c>
      <c r="I502">
        <f>IF($B502="","",IF(LEFT($B502,1)="━","",VLOOKUP($B502,'4. CÀI ĐẶT'!$A$2:$H$32,6,FALSE)))</f>
        <v/>
      </c>
      <c r="J502" s="13">
        <f>IF($A502="","",EOMONTH($A502,0))</f>
        <v/>
      </c>
      <c r="K502" s="67">
        <f>IF($B502="",0,IF(LEFT($B502,1)="━",0,$C502*VLOOKUP($B502,'4. CÀI ĐẶT'!$A$2:$H$32,7,FALSE)))</f>
        <v/>
      </c>
    </row>
    <row r="503">
      <c r="A503" s="8" t="n"/>
      <c r="B503" s="9" t="n"/>
      <c r="C503" s="65" t="n"/>
      <c r="D503" s="9" t="n"/>
      <c r="E503" s="66">
        <f>IF($B503="","",IF(LEFT($B503,1)="━","⚠️ Chọn hạng mục cụ thể",$C503*VLOOKUP($B503,'4. CÀI ĐẶT'!$A$2:$H$32,2,FALSE)))</f>
        <v/>
      </c>
      <c r="F503" s="67">
        <f>IF($B503="",0,IF(LEFT($B503,1)="━",0,$C503*VLOOKUP($B503,'4. CÀI ĐẶT'!$A$2:$H$32,3,FALSE)))</f>
        <v/>
      </c>
      <c r="G503" s="67">
        <f>IF($B503="",0,IF(LEFT($B503,1)="━",0,$C503*VLOOKUP($B503,'4. CÀI ĐẶT'!$A$2:$H$32,4,FALSE)))</f>
        <v/>
      </c>
      <c r="H503" s="67">
        <f>IF($B503="",0,IF(LEFT($B503,1)="━",0,$C503*VLOOKUP($B503,'4. CÀI ĐẶT'!$A$2:$H$32,5,FALSE)))</f>
        <v/>
      </c>
      <c r="I503">
        <f>IF($B503="","",IF(LEFT($B503,1)="━","",VLOOKUP($B503,'4. CÀI ĐẶT'!$A$2:$H$32,6,FALSE)))</f>
        <v/>
      </c>
      <c r="J503" s="13">
        <f>IF($A503="","",EOMONTH($A503,0))</f>
        <v/>
      </c>
      <c r="K503" s="67">
        <f>IF($B503="",0,IF(LEFT($B503,1)="━",0,$C503*VLOOKUP($B503,'4. CÀI ĐẶT'!$A$2:$H$32,7,FALSE)))</f>
        <v/>
      </c>
    </row>
    <row r="504">
      <c r="A504" s="8" t="n"/>
      <c r="B504" s="9" t="n"/>
      <c r="C504" s="65" t="n"/>
      <c r="D504" s="9" t="n"/>
      <c r="E504" s="66">
        <f>IF($B504="","",IF(LEFT($B504,1)="━","⚠️ Chọn hạng mục cụ thể",$C504*VLOOKUP($B504,'4. CÀI ĐẶT'!$A$2:$H$32,2,FALSE)))</f>
        <v/>
      </c>
      <c r="F504" s="67">
        <f>IF($B504="",0,IF(LEFT($B504,1)="━",0,$C504*VLOOKUP($B504,'4. CÀI ĐẶT'!$A$2:$H$32,3,FALSE)))</f>
        <v/>
      </c>
      <c r="G504" s="67">
        <f>IF($B504="",0,IF(LEFT($B504,1)="━",0,$C504*VLOOKUP($B504,'4. CÀI ĐẶT'!$A$2:$H$32,4,FALSE)))</f>
        <v/>
      </c>
      <c r="H504" s="67">
        <f>IF($B504="",0,IF(LEFT($B504,1)="━",0,$C504*VLOOKUP($B504,'4. CÀI ĐẶT'!$A$2:$H$32,5,FALSE)))</f>
        <v/>
      </c>
      <c r="I504">
        <f>IF($B504="","",IF(LEFT($B504,1)="━","",VLOOKUP($B504,'4. CÀI ĐẶT'!$A$2:$H$32,6,FALSE)))</f>
        <v/>
      </c>
      <c r="J504" s="13">
        <f>IF($A504="","",EOMONTH($A504,0))</f>
        <v/>
      </c>
      <c r="K504" s="67">
        <f>IF($B504="",0,IF(LEFT($B504,1)="━",0,$C504*VLOOKUP($B504,'4. CÀI ĐẶT'!$A$2:$H$32,7,FALSE)))</f>
        <v/>
      </c>
    </row>
    <row r="505">
      <c r="A505" s="8" t="n"/>
      <c r="B505" s="9" t="n"/>
      <c r="C505" s="65" t="n"/>
      <c r="D505" s="9" t="n"/>
      <c r="E505" s="66">
        <f>IF($B505="","",IF(LEFT($B505,1)="━","⚠️ Chọn hạng mục cụ thể",$C505*VLOOKUP($B505,'4. CÀI ĐẶT'!$A$2:$H$32,2,FALSE)))</f>
        <v/>
      </c>
      <c r="F505" s="67">
        <f>IF($B505="",0,IF(LEFT($B505,1)="━",0,$C505*VLOOKUP($B505,'4. CÀI ĐẶT'!$A$2:$H$32,3,FALSE)))</f>
        <v/>
      </c>
      <c r="G505" s="67">
        <f>IF($B505="",0,IF(LEFT($B505,1)="━",0,$C505*VLOOKUP($B505,'4. CÀI ĐẶT'!$A$2:$H$32,4,FALSE)))</f>
        <v/>
      </c>
      <c r="H505" s="67">
        <f>IF($B505="",0,IF(LEFT($B505,1)="━",0,$C505*VLOOKUP($B505,'4. CÀI ĐẶT'!$A$2:$H$32,5,FALSE)))</f>
        <v/>
      </c>
      <c r="I505">
        <f>IF($B505="","",IF(LEFT($B505,1)="━","",VLOOKUP($B505,'4. CÀI ĐẶT'!$A$2:$H$32,6,FALSE)))</f>
        <v/>
      </c>
      <c r="J505" s="13">
        <f>IF($A505="","",EOMONTH($A505,0))</f>
        <v/>
      </c>
      <c r="K505" s="67">
        <f>IF($B505="",0,IF(LEFT($B505,1)="━",0,$C505*VLOOKUP($B505,'4. CÀI ĐẶT'!$A$2:$H$32,7,FALSE)))</f>
        <v/>
      </c>
    </row>
    <row r="506">
      <c r="A506" s="8" t="n"/>
      <c r="B506" s="9" t="n"/>
      <c r="C506" s="65" t="n"/>
      <c r="D506" s="9" t="n"/>
      <c r="E506" s="66">
        <f>IF($B506="","",IF(LEFT($B506,1)="━","⚠️ Chọn hạng mục cụ thể",$C506*VLOOKUP($B506,'4. CÀI ĐẶT'!$A$2:$H$32,2,FALSE)))</f>
        <v/>
      </c>
      <c r="F506" s="67">
        <f>IF($B506="",0,IF(LEFT($B506,1)="━",0,$C506*VLOOKUP($B506,'4. CÀI ĐẶT'!$A$2:$H$32,3,FALSE)))</f>
        <v/>
      </c>
      <c r="G506" s="67">
        <f>IF($B506="",0,IF(LEFT($B506,1)="━",0,$C506*VLOOKUP($B506,'4. CÀI ĐẶT'!$A$2:$H$32,4,FALSE)))</f>
        <v/>
      </c>
      <c r="H506" s="67">
        <f>IF($B506="",0,IF(LEFT($B506,1)="━",0,$C506*VLOOKUP($B506,'4. CÀI ĐẶT'!$A$2:$H$32,5,FALSE)))</f>
        <v/>
      </c>
      <c r="I506">
        <f>IF($B506="","",IF(LEFT($B506,1)="━","",VLOOKUP($B506,'4. CÀI ĐẶT'!$A$2:$H$32,6,FALSE)))</f>
        <v/>
      </c>
      <c r="J506" s="13">
        <f>IF($A506="","",EOMONTH($A506,0))</f>
        <v/>
      </c>
      <c r="K506" s="67">
        <f>IF($B506="",0,IF(LEFT($B506,1)="━",0,$C506*VLOOKUP($B506,'4. CÀI ĐẶT'!$A$2:$H$32,7,FALSE)))</f>
        <v/>
      </c>
    </row>
    <row r="507">
      <c r="A507" s="8" t="n"/>
      <c r="B507" s="9" t="n"/>
      <c r="C507" s="65" t="n"/>
      <c r="D507" s="9" t="n"/>
      <c r="E507" s="66">
        <f>IF($B507="","",IF(LEFT($B507,1)="━","⚠️ Chọn hạng mục cụ thể",$C507*VLOOKUP($B507,'4. CÀI ĐẶT'!$A$2:$H$32,2,FALSE)))</f>
        <v/>
      </c>
      <c r="F507" s="67">
        <f>IF($B507="",0,IF(LEFT($B507,1)="━",0,$C507*VLOOKUP($B507,'4. CÀI ĐẶT'!$A$2:$H$32,3,FALSE)))</f>
        <v/>
      </c>
      <c r="G507" s="67">
        <f>IF($B507="",0,IF(LEFT($B507,1)="━",0,$C507*VLOOKUP($B507,'4. CÀI ĐẶT'!$A$2:$H$32,4,FALSE)))</f>
        <v/>
      </c>
      <c r="H507" s="67">
        <f>IF($B507="",0,IF(LEFT($B507,1)="━",0,$C507*VLOOKUP($B507,'4. CÀI ĐẶT'!$A$2:$H$32,5,FALSE)))</f>
        <v/>
      </c>
      <c r="I507">
        <f>IF($B507="","",IF(LEFT($B507,1)="━","",VLOOKUP($B507,'4. CÀI ĐẶT'!$A$2:$H$32,6,FALSE)))</f>
        <v/>
      </c>
      <c r="J507" s="13">
        <f>IF($A507="","",EOMONTH($A507,0))</f>
        <v/>
      </c>
      <c r="K507" s="67">
        <f>IF($B507="",0,IF(LEFT($B507,1)="━",0,$C507*VLOOKUP($B507,'4. CÀI ĐẶT'!$A$2:$H$32,7,FALSE)))</f>
        <v/>
      </c>
    </row>
    <row r="508">
      <c r="A508" s="8" t="n"/>
      <c r="B508" s="9" t="n"/>
      <c r="C508" s="65" t="n"/>
      <c r="D508" s="9" t="n"/>
      <c r="E508" s="66">
        <f>IF($B508="","",IF(LEFT($B508,1)="━","⚠️ Chọn hạng mục cụ thể",$C508*VLOOKUP($B508,'4. CÀI ĐẶT'!$A$2:$H$32,2,FALSE)))</f>
        <v/>
      </c>
      <c r="F508" s="67">
        <f>IF($B508="",0,IF(LEFT($B508,1)="━",0,$C508*VLOOKUP($B508,'4. CÀI ĐẶT'!$A$2:$H$32,3,FALSE)))</f>
        <v/>
      </c>
      <c r="G508" s="67">
        <f>IF($B508="",0,IF(LEFT($B508,1)="━",0,$C508*VLOOKUP($B508,'4. CÀI ĐẶT'!$A$2:$H$32,4,FALSE)))</f>
        <v/>
      </c>
      <c r="H508" s="67">
        <f>IF($B508="",0,IF(LEFT($B508,1)="━",0,$C508*VLOOKUP($B508,'4. CÀI ĐẶT'!$A$2:$H$32,5,FALSE)))</f>
        <v/>
      </c>
      <c r="I508">
        <f>IF($B508="","",IF(LEFT($B508,1)="━","",VLOOKUP($B508,'4. CÀI ĐẶT'!$A$2:$H$32,6,FALSE)))</f>
        <v/>
      </c>
      <c r="J508" s="13">
        <f>IF($A508="","",EOMONTH($A508,0))</f>
        <v/>
      </c>
      <c r="K508" s="67">
        <f>IF($B508="",0,IF(LEFT($B508,1)="━",0,$C508*VLOOKUP($B508,'4. CÀI ĐẶT'!$A$2:$H$32,7,FALSE)))</f>
        <v/>
      </c>
    </row>
    <row r="509">
      <c r="A509" s="8" t="n"/>
      <c r="B509" s="9" t="n"/>
      <c r="C509" s="65" t="n"/>
      <c r="D509" s="9" t="n"/>
      <c r="E509" s="66">
        <f>IF($B509="","",IF(LEFT($B509,1)="━","⚠️ Chọn hạng mục cụ thể",$C509*VLOOKUP($B509,'4. CÀI ĐẶT'!$A$2:$H$32,2,FALSE)))</f>
        <v/>
      </c>
      <c r="F509" s="67">
        <f>IF($B509="",0,IF(LEFT($B509,1)="━",0,$C509*VLOOKUP($B509,'4. CÀI ĐẶT'!$A$2:$H$32,3,FALSE)))</f>
        <v/>
      </c>
      <c r="G509" s="67">
        <f>IF($B509="",0,IF(LEFT($B509,1)="━",0,$C509*VLOOKUP($B509,'4. CÀI ĐẶT'!$A$2:$H$32,4,FALSE)))</f>
        <v/>
      </c>
      <c r="H509" s="67">
        <f>IF($B509="",0,IF(LEFT($B509,1)="━",0,$C509*VLOOKUP($B509,'4. CÀI ĐẶT'!$A$2:$H$32,5,FALSE)))</f>
        <v/>
      </c>
      <c r="I509">
        <f>IF($B509="","",IF(LEFT($B509,1)="━","",VLOOKUP($B509,'4. CÀI ĐẶT'!$A$2:$H$32,6,FALSE)))</f>
        <v/>
      </c>
      <c r="J509" s="13">
        <f>IF($A509="","",EOMONTH($A509,0))</f>
        <v/>
      </c>
      <c r="K509" s="67">
        <f>IF($B509="",0,IF(LEFT($B509,1)="━",0,$C509*VLOOKUP($B509,'4. CÀI ĐẶT'!$A$2:$H$32,7,FALSE)))</f>
        <v/>
      </c>
    </row>
    <row r="510">
      <c r="A510" s="8" t="n"/>
      <c r="B510" s="9" t="n"/>
      <c r="C510" s="65" t="n"/>
      <c r="D510" s="9" t="n"/>
      <c r="E510" s="66">
        <f>IF($B510="","",IF(LEFT($B510,1)="━","⚠️ Chọn hạng mục cụ thể",$C510*VLOOKUP($B510,'4. CÀI ĐẶT'!$A$2:$H$32,2,FALSE)))</f>
        <v/>
      </c>
      <c r="F510" s="67">
        <f>IF($B510="",0,IF(LEFT($B510,1)="━",0,$C510*VLOOKUP($B510,'4. CÀI ĐẶT'!$A$2:$H$32,3,FALSE)))</f>
        <v/>
      </c>
      <c r="G510" s="67">
        <f>IF($B510="",0,IF(LEFT($B510,1)="━",0,$C510*VLOOKUP($B510,'4. CÀI ĐẶT'!$A$2:$H$32,4,FALSE)))</f>
        <v/>
      </c>
      <c r="H510" s="67">
        <f>IF($B510="",0,IF(LEFT($B510,1)="━",0,$C510*VLOOKUP($B510,'4. CÀI ĐẶT'!$A$2:$H$32,5,FALSE)))</f>
        <v/>
      </c>
      <c r="I510">
        <f>IF($B510="","",IF(LEFT($B510,1)="━","",VLOOKUP($B510,'4. CÀI ĐẶT'!$A$2:$H$32,6,FALSE)))</f>
        <v/>
      </c>
      <c r="J510" s="13">
        <f>IF($A510="","",EOMONTH($A510,0))</f>
        <v/>
      </c>
      <c r="K510" s="67">
        <f>IF($B510="",0,IF(LEFT($B510,1)="━",0,$C510*VLOOKUP($B510,'4. CÀI ĐẶT'!$A$2:$H$32,7,FALSE)))</f>
        <v/>
      </c>
    </row>
    <row r="511">
      <c r="A511" s="8" t="n"/>
      <c r="B511" s="9" t="n"/>
      <c r="C511" s="65" t="n"/>
      <c r="D511" s="9" t="n"/>
      <c r="E511" s="66">
        <f>IF($B511="","",IF(LEFT($B511,1)="━","⚠️ Chọn hạng mục cụ thể",$C511*VLOOKUP($B511,'4. CÀI ĐẶT'!$A$2:$H$32,2,FALSE)))</f>
        <v/>
      </c>
      <c r="F511" s="67">
        <f>IF($B511="",0,IF(LEFT($B511,1)="━",0,$C511*VLOOKUP($B511,'4. CÀI ĐẶT'!$A$2:$H$32,3,FALSE)))</f>
        <v/>
      </c>
      <c r="G511" s="67">
        <f>IF($B511="",0,IF(LEFT($B511,1)="━",0,$C511*VLOOKUP($B511,'4. CÀI ĐẶT'!$A$2:$H$32,4,FALSE)))</f>
        <v/>
      </c>
      <c r="H511" s="67">
        <f>IF($B511="",0,IF(LEFT($B511,1)="━",0,$C511*VLOOKUP($B511,'4. CÀI ĐẶT'!$A$2:$H$32,5,FALSE)))</f>
        <v/>
      </c>
      <c r="I511">
        <f>IF($B511="","",IF(LEFT($B511,1)="━","",VLOOKUP($B511,'4. CÀI ĐẶT'!$A$2:$H$32,6,FALSE)))</f>
        <v/>
      </c>
      <c r="J511" s="13">
        <f>IF($A511="","",EOMONTH($A511,0))</f>
        <v/>
      </c>
      <c r="K511" s="67">
        <f>IF($B511="",0,IF(LEFT($B511,1)="━",0,$C511*VLOOKUP($B511,'4. CÀI ĐẶT'!$A$2:$H$32,7,FALSE)))</f>
        <v/>
      </c>
    </row>
    <row r="512">
      <c r="A512" s="8" t="n"/>
      <c r="B512" s="9" t="n"/>
      <c r="C512" s="65" t="n"/>
      <c r="D512" s="9" t="n"/>
      <c r="E512" s="66">
        <f>IF($B512="","",IF(LEFT($B512,1)="━","⚠️ Chọn hạng mục cụ thể",$C512*VLOOKUP($B512,'4. CÀI ĐẶT'!$A$2:$H$32,2,FALSE)))</f>
        <v/>
      </c>
      <c r="F512" s="67">
        <f>IF($B512="",0,IF(LEFT($B512,1)="━",0,$C512*VLOOKUP($B512,'4. CÀI ĐẶT'!$A$2:$H$32,3,FALSE)))</f>
        <v/>
      </c>
      <c r="G512" s="67">
        <f>IF($B512="",0,IF(LEFT($B512,1)="━",0,$C512*VLOOKUP($B512,'4. CÀI ĐẶT'!$A$2:$H$32,4,FALSE)))</f>
        <v/>
      </c>
      <c r="H512" s="67">
        <f>IF($B512="",0,IF(LEFT($B512,1)="━",0,$C512*VLOOKUP($B512,'4. CÀI ĐẶT'!$A$2:$H$32,5,FALSE)))</f>
        <v/>
      </c>
      <c r="I512">
        <f>IF($B512="","",IF(LEFT($B512,1)="━","",VLOOKUP($B512,'4. CÀI ĐẶT'!$A$2:$H$32,6,FALSE)))</f>
        <v/>
      </c>
      <c r="J512" s="13">
        <f>IF($A512="","",EOMONTH($A512,0))</f>
        <v/>
      </c>
      <c r="K512" s="67">
        <f>IF($B512="",0,IF(LEFT($B512,1)="━",0,$C512*VLOOKUP($B512,'4. CÀI ĐẶT'!$A$2:$H$32,7,FALSE)))</f>
        <v/>
      </c>
    </row>
    <row r="513">
      <c r="A513" s="8" t="n"/>
      <c r="B513" s="9" t="n"/>
      <c r="C513" s="65" t="n"/>
      <c r="D513" s="9" t="n"/>
      <c r="E513" s="66">
        <f>IF($B513="","",IF(LEFT($B513,1)="━","⚠️ Chọn hạng mục cụ thể",$C513*VLOOKUP($B513,'4. CÀI ĐẶT'!$A$2:$H$32,2,FALSE)))</f>
        <v/>
      </c>
      <c r="F513" s="67">
        <f>IF($B513="",0,IF(LEFT($B513,1)="━",0,$C513*VLOOKUP($B513,'4. CÀI ĐẶT'!$A$2:$H$32,3,FALSE)))</f>
        <v/>
      </c>
      <c r="G513" s="67">
        <f>IF($B513="",0,IF(LEFT($B513,1)="━",0,$C513*VLOOKUP($B513,'4. CÀI ĐẶT'!$A$2:$H$32,4,FALSE)))</f>
        <v/>
      </c>
      <c r="H513" s="67">
        <f>IF($B513="",0,IF(LEFT($B513,1)="━",0,$C513*VLOOKUP($B513,'4. CÀI ĐẶT'!$A$2:$H$32,5,FALSE)))</f>
        <v/>
      </c>
      <c r="I513">
        <f>IF($B513="","",IF(LEFT($B513,1)="━","",VLOOKUP($B513,'4. CÀI ĐẶT'!$A$2:$H$32,6,FALSE)))</f>
        <v/>
      </c>
      <c r="J513" s="13">
        <f>IF($A513="","",EOMONTH($A513,0))</f>
        <v/>
      </c>
      <c r="K513" s="67">
        <f>IF($B513="",0,IF(LEFT($B513,1)="━",0,$C513*VLOOKUP($B513,'4. CÀI ĐẶT'!$A$2:$H$32,7,FALSE)))</f>
        <v/>
      </c>
    </row>
    <row r="514">
      <c r="A514" s="8" t="n"/>
      <c r="B514" s="9" t="n"/>
      <c r="C514" s="65" t="n"/>
      <c r="D514" s="9" t="n"/>
      <c r="E514" s="66">
        <f>IF($B514="","",IF(LEFT($B514,1)="━","⚠️ Chọn hạng mục cụ thể",$C514*VLOOKUP($B514,'4. CÀI ĐẶT'!$A$2:$H$32,2,FALSE)))</f>
        <v/>
      </c>
      <c r="F514" s="67">
        <f>IF($B514="",0,IF(LEFT($B514,1)="━",0,$C514*VLOOKUP($B514,'4. CÀI ĐẶT'!$A$2:$H$32,3,FALSE)))</f>
        <v/>
      </c>
      <c r="G514" s="67">
        <f>IF($B514="",0,IF(LEFT($B514,1)="━",0,$C514*VLOOKUP($B514,'4. CÀI ĐẶT'!$A$2:$H$32,4,FALSE)))</f>
        <v/>
      </c>
      <c r="H514" s="67">
        <f>IF($B514="",0,IF(LEFT($B514,1)="━",0,$C514*VLOOKUP($B514,'4. CÀI ĐẶT'!$A$2:$H$32,5,FALSE)))</f>
        <v/>
      </c>
      <c r="I514">
        <f>IF($B514="","",IF(LEFT($B514,1)="━","",VLOOKUP($B514,'4. CÀI ĐẶT'!$A$2:$H$32,6,FALSE)))</f>
        <v/>
      </c>
      <c r="J514" s="13">
        <f>IF($A514="","",EOMONTH($A514,0))</f>
        <v/>
      </c>
      <c r="K514" s="67">
        <f>IF($B514="",0,IF(LEFT($B514,1)="━",0,$C514*VLOOKUP($B514,'4. CÀI ĐẶT'!$A$2:$H$32,7,FALSE)))</f>
        <v/>
      </c>
    </row>
    <row r="515">
      <c r="A515" s="8" t="n"/>
      <c r="B515" s="9" t="n"/>
      <c r="C515" s="65" t="n"/>
      <c r="D515" s="9" t="n"/>
      <c r="E515" s="66">
        <f>IF($B515="","",IF(LEFT($B515,1)="━","⚠️ Chọn hạng mục cụ thể",$C515*VLOOKUP($B515,'4. CÀI ĐẶT'!$A$2:$H$32,2,FALSE)))</f>
        <v/>
      </c>
      <c r="F515" s="67">
        <f>IF($B515="",0,IF(LEFT($B515,1)="━",0,$C515*VLOOKUP($B515,'4. CÀI ĐẶT'!$A$2:$H$32,3,FALSE)))</f>
        <v/>
      </c>
      <c r="G515" s="67">
        <f>IF($B515="",0,IF(LEFT($B515,1)="━",0,$C515*VLOOKUP($B515,'4. CÀI ĐẶT'!$A$2:$H$32,4,FALSE)))</f>
        <v/>
      </c>
      <c r="H515" s="67">
        <f>IF($B515="",0,IF(LEFT($B515,1)="━",0,$C515*VLOOKUP($B515,'4. CÀI ĐẶT'!$A$2:$H$32,5,FALSE)))</f>
        <v/>
      </c>
      <c r="I515">
        <f>IF($B515="","",IF(LEFT($B515,1)="━","",VLOOKUP($B515,'4. CÀI ĐẶT'!$A$2:$H$32,6,FALSE)))</f>
        <v/>
      </c>
      <c r="J515" s="13">
        <f>IF($A515="","",EOMONTH($A515,0))</f>
        <v/>
      </c>
      <c r="K515" s="67">
        <f>IF($B515="",0,IF(LEFT($B515,1)="━",0,$C515*VLOOKUP($B515,'4. CÀI ĐẶT'!$A$2:$H$32,7,FALSE)))</f>
        <v/>
      </c>
    </row>
    <row r="516">
      <c r="A516" s="8" t="n"/>
      <c r="B516" s="9" t="n"/>
      <c r="C516" s="65" t="n"/>
      <c r="D516" s="9" t="n"/>
      <c r="E516" s="66">
        <f>IF($B516="","",IF(LEFT($B516,1)="━","⚠️ Chọn hạng mục cụ thể",$C516*VLOOKUP($B516,'4. CÀI ĐẶT'!$A$2:$H$32,2,FALSE)))</f>
        <v/>
      </c>
      <c r="F516" s="67">
        <f>IF($B516="",0,IF(LEFT($B516,1)="━",0,$C516*VLOOKUP($B516,'4. CÀI ĐẶT'!$A$2:$H$32,3,FALSE)))</f>
        <v/>
      </c>
      <c r="G516" s="67">
        <f>IF($B516="",0,IF(LEFT($B516,1)="━",0,$C516*VLOOKUP($B516,'4. CÀI ĐẶT'!$A$2:$H$32,4,FALSE)))</f>
        <v/>
      </c>
      <c r="H516" s="67">
        <f>IF($B516="",0,IF(LEFT($B516,1)="━",0,$C516*VLOOKUP($B516,'4. CÀI ĐẶT'!$A$2:$H$32,5,FALSE)))</f>
        <v/>
      </c>
      <c r="I516">
        <f>IF($B516="","",IF(LEFT($B516,1)="━","",VLOOKUP($B516,'4. CÀI ĐẶT'!$A$2:$H$32,6,FALSE)))</f>
        <v/>
      </c>
      <c r="J516" s="13">
        <f>IF($A516="","",EOMONTH($A516,0))</f>
        <v/>
      </c>
      <c r="K516" s="67">
        <f>IF($B516="",0,IF(LEFT($B516,1)="━",0,$C516*VLOOKUP($B516,'4. CÀI ĐẶT'!$A$2:$H$32,7,FALSE)))</f>
        <v/>
      </c>
    </row>
    <row r="517">
      <c r="A517" s="8" t="n"/>
      <c r="B517" s="9" t="n"/>
      <c r="C517" s="65" t="n"/>
      <c r="D517" s="9" t="n"/>
      <c r="E517" s="66">
        <f>IF($B517="","",IF(LEFT($B517,1)="━","⚠️ Chọn hạng mục cụ thể",$C517*VLOOKUP($B517,'4. CÀI ĐẶT'!$A$2:$H$32,2,FALSE)))</f>
        <v/>
      </c>
      <c r="F517" s="67">
        <f>IF($B517="",0,IF(LEFT($B517,1)="━",0,$C517*VLOOKUP($B517,'4. CÀI ĐẶT'!$A$2:$H$32,3,FALSE)))</f>
        <v/>
      </c>
      <c r="G517" s="67">
        <f>IF($B517="",0,IF(LEFT($B517,1)="━",0,$C517*VLOOKUP($B517,'4. CÀI ĐẶT'!$A$2:$H$32,4,FALSE)))</f>
        <v/>
      </c>
      <c r="H517" s="67">
        <f>IF($B517="",0,IF(LEFT($B517,1)="━",0,$C517*VLOOKUP($B517,'4. CÀI ĐẶT'!$A$2:$H$32,5,FALSE)))</f>
        <v/>
      </c>
      <c r="I517">
        <f>IF($B517="","",IF(LEFT($B517,1)="━","",VLOOKUP($B517,'4. CÀI ĐẶT'!$A$2:$H$32,6,FALSE)))</f>
        <v/>
      </c>
      <c r="J517" s="13">
        <f>IF($A517="","",EOMONTH($A517,0))</f>
        <v/>
      </c>
      <c r="K517" s="67">
        <f>IF($B517="",0,IF(LEFT($B517,1)="━",0,$C517*VLOOKUP($B517,'4. CÀI ĐẶT'!$A$2:$H$32,7,FALSE)))</f>
        <v/>
      </c>
    </row>
    <row r="518">
      <c r="A518" s="8" t="n"/>
      <c r="B518" s="9" t="n"/>
      <c r="C518" s="65" t="n"/>
      <c r="D518" s="9" t="n"/>
      <c r="E518" s="66">
        <f>IF($B518="","",IF(LEFT($B518,1)="━","⚠️ Chọn hạng mục cụ thể",$C518*VLOOKUP($B518,'4. CÀI ĐẶT'!$A$2:$H$32,2,FALSE)))</f>
        <v/>
      </c>
      <c r="F518" s="67">
        <f>IF($B518="",0,IF(LEFT($B518,1)="━",0,$C518*VLOOKUP($B518,'4. CÀI ĐẶT'!$A$2:$H$32,3,FALSE)))</f>
        <v/>
      </c>
      <c r="G518" s="67">
        <f>IF($B518="",0,IF(LEFT($B518,1)="━",0,$C518*VLOOKUP($B518,'4. CÀI ĐẶT'!$A$2:$H$32,4,FALSE)))</f>
        <v/>
      </c>
      <c r="H518" s="67">
        <f>IF($B518="",0,IF(LEFT($B518,1)="━",0,$C518*VLOOKUP($B518,'4. CÀI ĐẶT'!$A$2:$H$32,5,FALSE)))</f>
        <v/>
      </c>
      <c r="I518">
        <f>IF($B518="","",IF(LEFT($B518,1)="━","",VLOOKUP($B518,'4. CÀI ĐẶT'!$A$2:$H$32,6,FALSE)))</f>
        <v/>
      </c>
      <c r="J518" s="13">
        <f>IF($A518="","",EOMONTH($A518,0))</f>
        <v/>
      </c>
      <c r="K518" s="67">
        <f>IF($B518="",0,IF(LEFT($B518,1)="━",0,$C518*VLOOKUP($B518,'4. CÀI ĐẶT'!$A$2:$H$32,7,FALSE)))</f>
        <v/>
      </c>
    </row>
    <row r="519">
      <c r="A519" s="8" t="n"/>
      <c r="B519" s="9" t="n"/>
      <c r="C519" s="65" t="n"/>
      <c r="D519" s="9" t="n"/>
      <c r="E519" s="66">
        <f>IF($B519="","",IF(LEFT($B519,1)="━","⚠️ Chọn hạng mục cụ thể",$C519*VLOOKUP($B519,'4. CÀI ĐẶT'!$A$2:$H$32,2,FALSE)))</f>
        <v/>
      </c>
      <c r="F519" s="67">
        <f>IF($B519="",0,IF(LEFT($B519,1)="━",0,$C519*VLOOKUP($B519,'4. CÀI ĐẶT'!$A$2:$H$32,3,FALSE)))</f>
        <v/>
      </c>
      <c r="G519" s="67">
        <f>IF($B519="",0,IF(LEFT($B519,1)="━",0,$C519*VLOOKUP($B519,'4. CÀI ĐẶT'!$A$2:$H$32,4,FALSE)))</f>
        <v/>
      </c>
      <c r="H519" s="67">
        <f>IF($B519="",0,IF(LEFT($B519,1)="━",0,$C519*VLOOKUP($B519,'4. CÀI ĐẶT'!$A$2:$H$32,5,FALSE)))</f>
        <v/>
      </c>
      <c r="I519">
        <f>IF($B519="","",IF(LEFT($B519,1)="━","",VLOOKUP($B519,'4. CÀI ĐẶT'!$A$2:$H$32,6,FALSE)))</f>
        <v/>
      </c>
      <c r="J519" s="13">
        <f>IF($A519="","",EOMONTH($A519,0))</f>
        <v/>
      </c>
      <c r="K519" s="67">
        <f>IF($B519="",0,IF(LEFT($B519,1)="━",0,$C519*VLOOKUP($B519,'4. CÀI ĐẶT'!$A$2:$H$32,7,FALSE)))</f>
        <v/>
      </c>
    </row>
    <row r="520">
      <c r="A520" s="8" t="n"/>
      <c r="B520" s="9" t="n"/>
      <c r="C520" s="65" t="n"/>
      <c r="D520" s="9" t="n"/>
      <c r="E520" s="66">
        <f>IF($B520="","",IF(LEFT($B520,1)="━","⚠️ Chọn hạng mục cụ thể",$C520*VLOOKUP($B520,'4. CÀI ĐẶT'!$A$2:$H$32,2,FALSE)))</f>
        <v/>
      </c>
      <c r="F520" s="67">
        <f>IF($B520="",0,IF(LEFT($B520,1)="━",0,$C520*VLOOKUP($B520,'4. CÀI ĐẶT'!$A$2:$H$32,3,FALSE)))</f>
        <v/>
      </c>
      <c r="G520" s="67">
        <f>IF($B520="",0,IF(LEFT($B520,1)="━",0,$C520*VLOOKUP($B520,'4. CÀI ĐẶT'!$A$2:$H$32,4,FALSE)))</f>
        <v/>
      </c>
      <c r="H520" s="67">
        <f>IF($B520="",0,IF(LEFT($B520,1)="━",0,$C520*VLOOKUP($B520,'4. CÀI ĐẶT'!$A$2:$H$32,5,FALSE)))</f>
        <v/>
      </c>
      <c r="I520">
        <f>IF($B520="","",IF(LEFT($B520,1)="━","",VLOOKUP($B520,'4. CÀI ĐẶT'!$A$2:$H$32,6,FALSE)))</f>
        <v/>
      </c>
      <c r="J520" s="13">
        <f>IF($A520="","",EOMONTH($A520,0))</f>
        <v/>
      </c>
      <c r="K520" s="67">
        <f>IF($B520="",0,IF(LEFT($B520,1)="━",0,$C520*VLOOKUP($B520,'4. CÀI ĐẶT'!$A$2:$H$32,7,FALSE)))</f>
        <v/>
      </c>
    </row>
    <row r="521">
      <c r="A521" s="8" t="n"/>
      <c r="B521" s="9" t="n"/>
      <c r="C521" s="65" t="n"/>
      <c r="D521" s="9" t="n"/>
      <c r="E521" s="66">
        <f>IF($B521="","",IF(LEFT($B521,1)="━","⚠️ Chọn hạng mục cụ thể",$C521*VLOOKUP($B521,'4. CÀI ĐẶT'!$A$2:$H$32,2,FALSE)))</f>
        <v/>
      </c>
      <c r="F521" s="67">
        <f>IF($B521="",0,IF(LEFT($B521,1)="━",0,$C521*VLOOKUP($B521,'4. CÀI ĐẶT'!$A$2:$H$32,3,FALSE)))</f>
        <v/>
      </c>
      <c r="G521" s="67">
        <f>IF($B521="",0,IF(LEFT($B521,1)="━",0,$C521*VLOOKUP($B521,'4. CÀI ĐẶT'!$A$2:$H$32,4,FALSE)))</f>
        <v/>
      </c>
      <c r="H521" s="67">
        <f>IF($B521="",0,IF(LEFT($B521,1)="━",0,$C521*VLOOKUP($B521,'4. CÀI ĐẶT'!$A$2:$H$32,5,FALSE)))</f>
        <v/>
      </c>
      <c r="I521">
        <f>IF($B521="","",IF(LEFT($B521,1)="━","",VLOOKUP($B521,'4. CÀI ĐẶT'!$A$2:$H$32,6,FALSE)))</f>
        <v/>
      </c>
      <c r="J521" s="13">
        <f>IF($A521="","",EOMONTH($A521,0))</f>
        <v/>
      </c>
      <c r="K521" s="67">
        <f>IF($B521="",0,IF(LEFT($B521,1)="━",0,$C521*VLOOKUP($B521,'4. CÀI ĐẶT'!$A$2:$H$32,7,FALSE)))</f>
        <v/>
      </c>
    </row>
    <row r="522">
      <c r="A522" s="8" t="n"/>
      <c r="B522" s="9" t="n"/>
      <c r="C522" s="65" t="n"/>
      <c r="D522" s="9" t="n"/>
      <c r="E522" s="66">
        <f>IF($B522="","",IF(LEFT($B522,1)="━","⚠️ Chọn hạng mục cụ thể",$C522*VLOOKUP($B522,'4. CÀI ĐẶT'!$A$2:$H$32,2,FALSE)))</f>
        <v/>
      </c>
      <c r="F522" s="67">
        <f>IF($B522="",0,IF(LEFT($B522,1)="━",0,$C522*VLOOKUP($B522,'4. CÀI ĐẶT'!$A$2:$H$32,3,FALSE)))</f>
        <v/>
      </c>
      <c r="G522" s="67">
        <f>IF($B522="",0,IF(LEFT($B522,1)="━",0,$C522*VLOOKUP($B522,'4. CÀI ĐẶT'!$A$2:$H$32,4,FALSE)))</f>
        <v/>
      </c>
      <c r="H522" s="67">
        <f>IF($B522="",0,IF(LEFT($B522,1)="━",0,$C522*VLOOKUP($B522,'4. CÀI ĐẶT'!$A$2:$H$32,5,FALSE)))</f>
        <v/>
      </c>
      <c r="I522">
        <f>IF($B522="","",IF(LEFT($B522,1)="━","",VLOOKUP($B522,'4. CÀI ĐẶT'!$A$2:$H$32,6,FALSE)))</f>
        <v/>
      </c>
      <c r="J522" s="13">
        <f>IF($A522="","",EOMONTH($A522,0))</f>
        <v/>
      </c>
      <c r="K522" s="67">
        <f>IF($B522="",0,IF(LEFT($B522,1)="━",0,$C522*VLOOKUP($B522,'4. CÀI ĐẶT'!$A$2:$H$32,7,FALSE)))</f>
        <v/>
      </c>
    </row>
    <row r="523">
      <c r="A523" s="8" t="n"/>
      <c r="B523" s="9" t="n"/>
      <c r="C523" s="65" t="n"/>
      <c r="D523" s="9" t="n"/>
      <c r="E523" s="66">
        <f>IF($B523="","",IF(LEFT($B523,1)="━","⚠️ Chọn hạng mục cụ thể",$C523*VLOOKUP($B523,'4. CÀI ĐẶT'!$A$2:$H$32,2,FALSE)))</f>
        <v/>
      </c>
      <c r="F523" s="67">
        <f>IF($B523="",0,IF(LEFT($B523,1)="━",0,$C523*VLOOKUP($B523,'4. CÀI ĐẶT'!$A$2:$H$32,3,FALSE)))</f>
        <v/>
      </c>
      <c r="G523" s="67">
        <f>IF($B523="",0,IF(LEFT($B523,1)="━",0,$C523*VLOOKUP($B523,'4. CÀI ĐẶT'!$A$2:$H$32,4,FALSE)))</f>
        <v/>
      </c>
      <c r="H523" s="67">
        <f>IF($B523="",0,IF(LEFT($B523,1)="━",0,$C523*VLOOKUP($B523,'4. CÀI ĐẶT'!$A$2:$H$32,5,FALSE)))</f>
        <v/>
      </c>
      <c r="I523">
        <f>IF($B523="","",IF(LEFT($B523,1)="━","",VLOOKUP($B523,'4. CÀI ĐẶT'!$A$2:$H$32,6,FALSE)))</f>
        <v/>
      </c>
      <c r="J523" s="13">
        <f>IF($A523="","",EOMONTH($A523,0))</f>
        <v/>
      </c>
      <c r="K523" s="67">
        <f>IF($B523="",0,IF(LEFT($B523,1)="━",0,$C523*VLOOKUP($B523,'4. CÀI ĐẶT'!$A$2:$H$32,7,FALSE)))</f>
        <v/>
      </c>
    </row>
    <row r="524">
      <c r="A524" s="8" t="n"/>
      <c r="B524" s="9" t="n"/>
      <c r="C524" s="65" t="n"/>
      <c r="D524" s="9" t="n"/>
      <c r="E524" s="66">
        <f>IF($B524="","",IF(LEFT($B524,1)="━","⚠️ Chọn hạng mục cụ thể",$C524*VLOOKUP($B524,'4. CÀI ĐẶT'!$A$2:$H$32,2,FALSE)))</f>
        <v/>
      </c>
      <c r="F524" s="67">
        <f>IF($B524="",0,IF(LEFT($B524,1)="━",0,$C524*VLOOKUP($B524,'4. CÀI ĐẶT'!$A$2:$H$32,3,FALSE)))</f>
        <v/>
      </c>
      <c r="G524" s="67">
        <f>IF($B524="",0,IF(LEFT($B524,1)="━",0,$C524*VLOOKUP($B524,'4. CÀI ĐẶT'!$A$2:$H$32,4,FALSE)))</f>
        <v/>
      </c>
      <c r="H524" s="67">
        <f>IF($B524="",0,IF(LEFT($B524,1)="━",0,$C524*VLOOKUP($B524,'4. CÀI ĐẶT'!$A$2:$H$32,5,FALSE)))</f>
        <v/>
      </c>
      <c r="I524">
        <f>IF($B524="","",IF(LEFT($B524,1)="━","",VLOOKUP($B524,'4. CÀI ĐẶT'!$A$2:$H$32,6,FALSE)))</f>
        <v/>
      </c>
      <c r="J524" s="13">
        <f>IF($A524="","",EOMONTH($A524,0))</f>
        <v/>
      </c>
      <c r="K524" s="67">
        <f>IF($B524="",0,IF(LEFT($B524,1)="━",0,$C524*VLOOKUP($B524,'4. CÀI ĐẶT'!$A$2:$H$32,7,FALSE)))</f>
        <v/>
      </c>
    </row>
    <row r="525">
      <c r="A525" s="8" t="n"/>
      <c r="B525" s="9" t="n"/>
      <c r="C525" s="65" t="n"/>
      <c r="D525" s="9" t="n"/>
      <c r="E525" s="66">
        <f>IF($B525="","",IF(LEFT($B525,1)="━","⚠️ Chọn hạng mục cụ thể",$C525*VLOOKUP($B525,'4. CÀI ĐẶT'!$A$2:$H$32,2,FALSE)))</f>
        <v/>
      </c>
      <c r="F525" s="67">
        <f>IF($B525="",0,IF(LEFT($B525,1)="━",0,$C525*VLOOKUP($B525,'4. CÀI ĐẶT'!$A$2:$H$32,3,FALSE)))</f>
        <v/>
      </c>
      <c r="G525" s="67">
        <f>IF($B525="",0,IF(LEFT($B525,1)="━",0,$C525*VLOOKUP($B525,'4. CÀI ĐẶT'!$A$2:$H$32,4,FALSE)))</f>
        <v/>
      </c>
      <c r="H525" s="67">
        <f>IF($B525="",0,IF(LEFT($B525,1)="━",0,$C525*VLOOKUP($B525,'4. CÀI ĐẶT'!$A$2:$H$32,5,FALSE)))</f>
        <v/>
      </c>
      <c r="I525">
        <f>IF($B525="","",IF(LEFT($B525,1)="━","",VLOOKUP($B525,'4. CÀI ĐẶT'!$A$2:$H$32,6,FALSE)))</f>
        <v/>
      </c>
      <c r="J525" s="13">
        <f>IF($A525="","",EOMONTH($A525,0))</f>
        <v/>
      </c>
      <c r="K525" s="67">
        <f>IF($B525="",0,IF(LEFT($B525,1)="━",0,$C525*VLOOKUP($B525,'4. CÀI ĐẶT'!$A$2:$H$32,7,FALSE)))</f>
        <v/>
      </c>
    </row>
    <row r="526">
      <c r="A526" s="8" t="n"/>
      <c r="B526" s="9" t="n"/>
      <c r="C526" s="65" t="n"/>
      <c r="D526" s="9" t="n"/>
      <c r="E526" s="66">
        <f>IF($B526="","",IF(LEFT($B526,1)="━","⚠️ Chọn hạng mục cụ thể",$C526*VLOOKUP($B526,'4. CÀI ĐẶT'!$A$2:$H$32,2,FALSE)))</f>
        <v/>
      </c>
      <c r="F526" s="67">
        <f>IF($B526="",0,IF(LEFT($B526,1)="━",0,$C526*VLOOKUP($B526,'4. CÀI ĐẶT'!$A$2:$H$32,3,FALSE)))</f>
        <v/>
      </c>
      <c r="G526" s="67">
        <f>IF($B526="",0,IF(LEFT($B526,1)="━",0,$C526*VLOOKUP($B526,'4. CÀI ĐẶT'!$A$2:$H$32,4,FALSE)))</f>
        <v/>
      </c>
      <c r="H526" s="67">
        <f>IF($B526="",0,IF(LEFT($B526,1)="━",0,$C526*VLOOKUP($B526,'4. CÀI ĐẶT'!$A$2:$H$32,5,FALSE)))</f>
        <v/>
      </c>
      <c r="I526">
        <f>IF($B526="","",IF(LEFT($B526,1)="━","",VLOOKUP($B526,'4. CÀI ĐẶT'!$A$2:$H$32,6,FALSE)))</f>
        <v/>
      </c>
      <c r="J526" s="13">
        <f>IF($A526="","",EOMONTH($A526,0))</f>
        <v/>
      </c>
      <c r="K526" s="67">
        <f>IF($B526="",0,IF(LEFT($B526,1)="━",0,$C526*VLOOKUP($B526,'4. CÀI ĐẶT'!$A$2:$H$32,7,FALSE)))</f>
        <v/>
      </c>
    </row>
    <row r="527">
      <c r="A527" s="8" t="n"/>
      <c r="B527" s="9" t="n"/>
      <c r="C527" s="65" t="n"/>
      <c r="D527" s="9" t="n"/>
      <c r="E527" s="66">
        <f>IF($B527="","",IF(LEFT($B527,1)="━","⚠️ Chọn hạng mục cụ thể",$C527*VLOOKUP($B527,'4. CÀI ĐẶT'!$A$2:$H$32,2,FALSE)))</f>
        <v/>
      </c>
      <c r="F527" s="67">
        <f>IF($B527="",0,IF(LEFT($B527,1)="━",0,$C527*VLOOKUP($B527,'4. CÀI ĐẶT'!$A$2:$H$32,3,FALSE)))</f>
        <v/>
      </c>
      <c r="G527" s="67">
        <f>IF($B527="",0,IF(LEFT($B527,1)="━",0,$C527*VLOOKUP($B527,'4. CÀI ĐẶT'!$A$2:$H$32,4,FALSE)))</f>
        <v/>
      </c>
      <c r="H527" s="67">
        <f>IF($B527="",0,IF(LEFT($B527,1)="━",0,$C527*VLOOKUP($B527,'4. CÀI ĐẶT'!$A$2:$H$32,5,FALSE)))</f>
        <v/>
      </c>
      <c r="I527">
        <f>IF($B527="","",IF(LEFT($B527,1)="━","",VLOOKUP($B527,'4. CÀI ĐẶT'!$A$2:$H$32,6,FALSE)))</f>
        <v/>
      </c>
      <c r="J527" s="13">
        <f>IF($A527="","",EOMONTH($A527,0))</f>
        <v/>
      </c>
      <c r="K527" s="67">
        <f>IF($B527="",0,IF(LEFT($B527,1)="━",0,$C527*VLOOKUP($B527,'4. CÀI ĐẶT'!$A$2:$H$32,7,FALSE)))</f>
        <v/>
      </c>
    </row>
    <row r="528">
      <c r="A528" s="8" t="n"/>
      <c r="B528" s="9" t="n"/>
      <c r="C528" s="65" t="n"/>
      <c r="D528" s="9" t="n"/>
      <c r="E528" s="66">
        <f>IF($B528="","",IF(LEFT($B528,1)="━","⚠️ Chọn hạng mục cụ thể",$C528*VLOOKUP($B528,'4. CÀI ĐẶT'!$A$2:$H$32,2,FALSE)))</f>
        <v/>
      </c>
      <c r="F528" s="67">
        <f>IF($B528="",0,IF(LEFT($B528,1)="━",0,$C528*VLOOKUP($B528,'4. CÀI ĐẶT'!$A$2:$H$32,3,FALSE)))</f>
        <v/>
      </c>
      <c r="G528" s="67">
        <f>IF($B528="",0,IF(LEFT($B528,1)="━",0,$C528*VLOOKUP($B528,'4. CÀI ĐẶT'!$A$2:$H$32,4,FALSE)))</f>
        <v/>
      </c>
      <c r="H528" s="67">
        <f>IF($B528="",0,IF(LEFT($B528,1)="━",0,$C528*VLOOKUP($B528,'4. CÀI ĐẶT'!$A$2:$H$32,5,FALSE)))</f>
        <v/>
      </c>
      <c r="I528">
        <f>IF($B528="","",IF(LEFT($B528,1)="━","",VLOOKUP($B528,'4. CÀI ĐẶT'!$A$2:$H$32,6,FALSE)))</f>
        <v/>
      </c>
      <c r="J528" s="13">
        <f>IF($A528="","",EOMONTH($A528,0))</f>
        <v/>
      </c>
      <c r="K528" s="67">
        <f>IF($B528="",0,IF(LEFT($B528,1)="━",0,$C528*VLOOKUP($B528,'4. CÀI ĐẶT'!$A$2:$H$32,7,FALSE)))</f>
        <v/>
      </c>
    </row>
    <row r="529">
      <c r="A529" s="8" t="n"/>
      <c r="B529" s="9" t="n"/>
      <c r="C529" s="65" t="n"/>
      <c r="D529" s="9" t="n"/>
      <c r="E529" s="66">
        <f>IF($B529="","",IF(LEFT($B529,1)="━","⚠️ Chọn hạng mục cụ thể",$C529*VLOOKUP($B529,'4. CÀI ĐẶT'!$A$2:$H$32,2,FALSE)))</f>
        <v/>
      </c>
      <c r="F529" s="67">
        <f>IF($B529="",0,IF(LEFT($B529,1)="━",0,$C529*VLOOKUP($B529,'4. CÀI ĐẶT'!$A$2:$H$32,3,FALSE)))</f>
        <v/>
      </c>
      <c r="G529" s="67">
        <f>IF($B529="",0,IF(LEFT($B529,1)="━",0,$C529*VLOOKUP($B529,'4. CÀI ĐẶT'!$A$2:$H$32,4,FALSE)))</f>
        <v/>
      </c>
      <c r="H529" s="67">
        <f>IF($B529="",0,IF(LEFT($B529,1)="━",0,$C529*VLOOKUP($B529,'4. CÀI ĐẶT'!$A$2:$H$32,5,FALSE)))</f>
        <v/>
      </c>
      <c r="I529">
        <f>IF($B529="","",IF(LEFT($B529,1)="━","",VLOOKUP($B529,'4. CÀI ĐẶT'!$A$2:$H$32,6,FALSE)))</f>
        <v/>
      </c>
      <c r="J529" s="13">
        <f>IF($A529="","",EOMONTH($A529,0))</f>
        <v/>
      </c>
      <c r="K529" s="67">
        <f>IF($B529="",0,IF(LEFT($B529,1)="━",0,$C529*VLOOKUP($B529,'4. CÀI ĐẶT'!$A$2:$H$32,7,FALSE)))</f>
        <v/>
      </c>
    </row>
    <row r="530">
      <c r="A530" s="8" t="n"/>
      <c r="B530" s="9" t="n"/>
      <c r="C530" s="65" t="n"/>
      <c r="D530" s="9" t="n"/>
      <c r="E530" s="66">
        <f>IF($B530="","",IF(LEFT($B530,1)="━","⚠️ Chọn hạng mục cụ thể",$C530*VLOOKUP($B530,'4. CÀI ĐẶT'!$A$2:$H$32,2,FALSE)))</f>
        <v/>
      </c>
      <c r="F530" s="67">
        <f>IF($B530="",0,IF(LEFT($B530,1)="━",0,$C530*VLOOKUP($B530,'4. CÀI ĐẶT'!$A$2:$H$32,3,FALSE)))</f>
        <v/>
      </c>
      <c r="G530" s="67">
        <f>IF($B530="",0,IF(LEFT($B530,1)="━",0,$C530*VLOOKUP($B530,'4. CÀI ĐẶT'!$A$2:$H$32,4,FALSE)))</f>
        <v/>
      </c>
      <c r="H530" s="67">
        <f>IF($B530="",0,IF(LEFT($B530,1)="━",0,$C530*VLOOKUP($B530,'4. CÀI ĐẶT'!$A$2:$H$32,5,FALSE)))</f>
        <v/>
      </c>
      <c r="I530">
        <f>IF($B530="","",IF(LEFT($B530,1)="━","",VLOOKUP($B530,'4. CÀI ĐẶT'!$A$2:$H$32,6,FALSE)))</f>
        <v/>
      </c>
      <c r="J530" s="13">
        <f>IF($A530="","",EOMONTH($A530,0))</f>
        <v/>
      </c>
      <c r="K530" s="67">
        <f>IF($B530="",0,IF(LEFT($B530,1)="━",0,$C530*VLOOKUP($B530,'4. CÀI ĐẶT'!$A$2:$H$32,7,FALSE)))</f>
        <v/>
      </c>
    </row>
    <row r="531">
      <c r="A531" s="8" t="n"/>
      <c r="B531" s="9" t="n"/>
      <c r="C531" s="65" t="n"/>
      <c r="D531" s="9" t="n"/>
      <c r="E531" s="66">
        <f>IF($B531="","",IF(LEFT($B531,1)="━","⚠️ Chọn hạng mục cụ thể",$C531*VLOOKUP($B531,'4. CÀI ĐẶT'!$A$2:$H$32,2,FALSE)))</f>
        <v/>
      </c>
      <c r="F531" s="67">
        <f>IF($B531="",0,IF(LEFT($B531,1)="━",0,$C531*VLOOKUP($B531,'4. CÀI ĐẶT'!$A$2:$H$32,3,FALSE)))</f>
        <v/>
      </c>
      <c r="G531" s="67">
        <f>IF($B531="",0,IF(LEFT($B531,1)="━",0,$C531*VLOOKUP($B531,'4. CÀI ĐẶT'!$A$2:$H$32,4,FALSE)))</f>
        <v/>
      </c>
      <c r="H531" s="67">
        <f>IF($B531="",0,IF(LEFT($B531,1)="━",0,$C531*VLOOKUP($B531,'4. CÀI ĐẶT'!$A$2:$H$32,5,FALSE)))</f>
        <v/>
      </c>
      <c r="I531">
        <f>IF($B531="","",IF(LEFT($B531,1)="━","",VLOOKUP($B531,'4. CÀI ĐẶT'!$A$2:$H$32,6,FALSE)))</f>
        <v/>
      </c>
      <c r="J531" s="13">
        <f>IF($A531="","",EOMONTH($A531,0))</f>
        <v/>
      </c>
      <c r="K531" s="67">
        <f>IF($B531="",0,IF(LEFT($B531,1)="━",0,$C531*VLOOKUP($B531,'4. CÀI ĐẶT'!$A$2:$H$32,7,FALSE)))</f>
        <v/>
      </c>
    </row>
    <row r="532">
      <c r="A532" s="8" t="n"/>
      <c r="B532" s="9" t="n"/>
      <c r="C532" s="65" t="n"/>
      <c r="D532" s="9" t="n"/>
      <c r="E532" s="66">
        <f>IF($B532="","",IF(LEFT($B532,1)="━","⚠️ Chọn hạng mục cụ thể",$C532*VLOOKUP($B532,'4. CÀI ĐẶT'!$A$2:$H$32,2,FALSE)))</f>
        <v/>
      </c>
      <c r="F532" s="67">
        <f>IF($B532="",0,IF(LEFT($B532,1)="━",0,$C532*VLOOKUP($B532,'4. CÀI ĐẶT'!$A$2:$H$32,3,FALSE)))</f>
        <v/>
      </c>
      <c r="G532" s="67">
        <f>IF($B532="",0,IF(LEFT($B532,1)="━",0,$C532*VLOOKUP($B532,'4. CÀI ĐẶT'!$A$2:$H$32,4,FALSE)))</f>
        <v/>
      </c>
      <c r="H532" s="67">
        <f>IF($B532="",0,IF(LEFT($B532,1)="━",0,$C532*VLOOKUP($B532,'4. CÀI ĐẶT'!$A$2:$H$32,5,FALSE)))</f>
        <v/>
      </c>
      <c r="I532">
        <f>IF($B532="","",IF(LEFT($B532,1)="━","",VLOOKUP($B532,'4. CÀI ĐẶT'!$A$2:$H$32,6,FALSE)))</f>
        <v/>
      </c>
      <c r="J532" s="13">
        <f>IF($A532="","",EOMONTH($A532,0))</f>
        <v/>
      </c>
      <c r="K532" s="67">
        <f>IF($B532="",0,IF(LEFT($B532,1)="━",0,$C532*VLOOKUP($B532,'4. CÀI ĐẶT'!$A$2:$H$32,7,FALSE)))</f>
        <v/>
      </c>
    </row>
    <row r="533">
      <c r="A533" s="8" t="n"/>
      <c r="B533" s="9" t="n"/>
      <c r="C533" s="65" t="n"/>
      <c r="D533" s="9" t="n"/>
      <c r="E533" s="66">
        <f>IF($B533="","",IF(LEFT($B533,1)="━","⚠️ Chọn hạng mục cụ thể",$C533*VLOOKUP($B533,'4. CÀI ĐẶT'!$A$2:$H$32,2,FALSE)))</f>
        <v/>
      </c>
      <c r="F533" s="67">
        <f>IF($B533="",0,IF(LEFT($B533,1)="━",0,$C533*VLOOKUP($B533,'4. CÀI ĐẶT'!$A$2:$H$32,3,FALSE)))</f>
        <v/>
      </c>
      <c r="G533" s="67">
        <f>IF($B533="",0,IF(LEFT($B533,1)="━",0,$C533*VLOOKUP($B533,'4. CÀI ĐẶT'!$A$2:$H$32,4,FALSE)))</f>
        <v/>
      </c>
      <c r="H533" s="67">
        <f>IF($B533="",0,IF(LEFT($B533,1)="━",0,$C533*VLOOKUP($B533,'4. CÀI ĐẶT'!$A$2:$H$32,5,FALSE)))</f>
        <v/>
      </c>
      <c r="I533">
        <f>IF($B533="","",IF(LEFT($B533,1)="━","",VLOOKUP($B533,'4. CÀI ĐẶT'!$A$2:$H$32,6,FALSE)))</f>
        <v/>
      </c>
      <c r="J533" s="13">
        <f>IF($A533="","",EOMONTH($A533,0))</f>
        <v/>
      </c>
      <c r="K533" s="67">
        <f>IF($B533="",0,IF(LEFT($B533,1)="━",0,$C533*VLOOKUP($B533,'4. CÀI ĐẶT'!$A$2:$H$32,7,FALSE)))</f>
        <v/>
      </c>
    </row>
    <row r="534">
      <c r="A534" s="8" t="n"/>
      <c r="B534" s="9" t="n"/>
      <c r="C534" s="65" t="n"/>
      <c r="D534" s="9" t="n"/>
      <c r="E534" s="66">
        <f>IF($B534="","",IF(LEFT($B534,1)="━","⚠️ Chọn hạng mục cụ thể",$C534*VLOOKUP($B534,'4. CÀI ĐẶT'!$A$2:$H$32,2,FALSE)))</f>
        <v/>
      </c>
      <c r="F534" s="67">
        <f>IF($B534="",0,IF(LEFT($B534,1)="━",0,$C534*VLOOKUP($B534,'4. CÀI ĐẶT'!$A$2:$H$32,3,FALSE)))</f>
        <v/>
      </c>
      <c r="G534" s="67">
        <f>IF($B534="",0,IF(LEFT($B534,1)="━",0,$C534*VLOOKUP($B534,'4. CÀI ĐẶT'!$A$2:$H$32,4,FALSE)))</f>
        <v/>
      </c>
      <c r="H534" s="67">
        <f>IF($B534="",0,IF(LEFT($B534,1)="━",0,$C534*VLOOKUP($B534,'4. CÀI ĐẶT'!$A$2:$H$32,5,FALSE)))</f>
        <v/>
      </c>
      <c r="I534">
        <f>IF($B534="","",IF(LEFT($B534,1)="━","",VLOOKUP($B534,'4. CÀI ĐẶT'!$A$2:$H$32,6,FALSE)))</f>
        <v/>
      </c>
      <c r="J534" s="13">
        <f>IF($A534="","",EOMONTH($A534,0))</f>
        <v/>
      </c>
      <c r="K534" s="67">
        <f>IF($B534="",0,IF(LEFT($B534,1)="━",0,$C534*VLOOKUP($B534,'4. CÀI ĐẶT'!$A$2:$H$32,7,FALSE)))</f>
        <v/>
      </c>
    </row>
    <row r="535">
      <c r="A535" s="8" t="n"/>
      <c r="B535" s="9" t="n"/>
      <c r="C535" s="65" t="n"/>
      <c r="D535" s="9" t="n"/>
      <c r="E535" s="66">
        <f>IF($B535="","",IF(LEFT($B535,1)="━","⚠️ Chọn hạng mục cụ thể",$C535*VLOOKUP($B535,'4. CÀI ĐẶT'!$A$2:$H$32,2,FALSE)))</f>
        <v/>
      </c>
      <c r="F535" s="67">
        <f>IF($B535="",0,IF(LEFT($B535,1)="━",0,$C535*VLOOKUP($B535,'4. CÀI ĐẶT'!$A$2:$H$32,3,FALSE)))</f>
        <v/>
      </c>
      <c r="G535" s="67">
        <f>IF($B535="",0,IF(LEFT($B535,1)="━",0,$C535*VLOOKUP($B535,'4. CÀI ĐẶT'!$A$2:$H$32,4,FALSE)))</f>
        <v/>
      </c>
      <c r="H535" s="67">
        <f>IF($B535="",0,IF(LEFT($B535,1)="━",0,$C535*VLOOKUP($B535,'4. CÀI ĐẶT'!$A$2:$H$32,5,FALSE)))</f>
        <v/>
      </c>
      <c r="I535">
        <f>IF($B535="","",IF(LEFT($B535,1)="━","",VLOOKUP($B535,'4. CÀI ĐẶT'!$A$2:$H$32,6,FALSE)))</f>
        <v/>
      </c>
      <c r="J535" s="13">
        <f>IF($A535="","",EOMONTH($A535,0))</f>
        <v/>
      </c>
      <c r="K535" s="67">
        <f>IF($B535="",0,IF(LEFT($B535,1)="━",0,$C535*VLOOKUP($B535,'4. CÀI ĐẶT'!$A$2:$H$32,7,FALSE)))</f>
        <v/>
      </c>
    </row>
    <row r="536">
      <c r="A536" s="8" t="n"/>
      <c r="B536" s="9" t="n"/>
      <c r="C536" s="65" t="n"/>
      <c r="D536" s="9" t="n"/>
      <c r="E536" s="66">
        <f>IF($B536="","",IF(LEFT($B536,1)="━","⚠️ Chọn hạng mục cụ thể",$C536*VLOOKUP($B536,'4. CÀI ĐẶT'!$A$2:$H$32,2,FALSE)))</f>
        <v/>
      </c>
      <c r="F536" s="67">
        <f>IF($B536="",0,IF(LEFT($B536,1)="━",0,$C536*VLOOKUP($B536,'4. CÀI ĐẶT'!$A$2:$H$32,3,FALSE)))</f>
        <v/>
      </c>
      <c r="G536" s="67">
        <f>IF($B536="",0,IF(LEFT($B536,1)="━",0,$C536*VLOOKUP($B536,'4. CÀI ĐẶT'!$A$2:$H$32,4,FALSE)))</f>
        <v/>
      </c>
      <c r="H536" s="67">
        <f>IF($B536="",0,IF(LEFT($B536,1)="━",0,$C536*VLOOKUP($B536,'4. CÀI ĐẶT'!$A$2:$H$32,5,FALSE)))</f>
        <v/>
      </c>
      <c r="I536">
        <f>IF($B536="","",IF(LEFT($B536,1)="━","",VLOOKUP($B536,'4. CÀI ĐẶT'!$A$2:$H$32,6,FALSE)))</f>
        <v/>
      </c>
      <c r="J536" s="13">
        <f>IF($A536="","",EOMONTH($A536,0))</f>
        <v/>
      </c>
      <c r="K536" s="67">
        <f>IF($B536="",0,IF(LEFT($B536,1)="━",0,$C536*VLOOKUP($B536,'4. CÀI ĐẶT'!$A$2:$H$32,7,FALSE)))</f>
        <v/>
      </c>
    </row>
    <row r="537">
      <c r="A537" s="8" t="n"/>
      <c r="B537" s="9" t="n"/>
      <c r="C537" s="65" t="n"/>
      <c r="D537" s="9" t="n"/>
      <c r="E537" s="66">
        <f>IF($B537="","",IF(LEFT($B537,1)="━","⚠️ Chọn hạng mục cụ thể",$C537*VLOOKUP($B537,'4. CÀI ĐẶT'!$A$2:$H$32,2,FALSE)))</f>
        <v/>
      </c>
      <c r="F537" s="67">
        <f>IF($B537="",0,IF(LEFT($B537,1)="━",0,$C537*VLOOKUP($B537,'4. CÀI ĐẶT'!$A$2:$H$32,3,FALSE)))</f>
        <v/>
      </c>
      <c r="G537" s="67">
        <f>IF($B537="",0,IF(LEFT($B537,1)="━",0,$C537*VLOOKUP($B537,'4. CÀI ĐẶT'!$A$2:$H$32,4,FALSE)))</f>
        <v/>
      </c>
      <c r="H537" s="67">
        <f>IF($B537="",0,IF(LEFT($B537,1)="━",0,$C537*VLOOKUP($B537,'4. CÀI ĐẶT'!$A$2:$H$32,5,FALSE)))</f>
        <v/>
      </c>
      <c r="I537">
        <f>IF($B537="","",IF(LEFT($B537,1)="━","",VLOOKUP($B537,'4. CÀI ĐẶT'!$A$2:$H$32,6,FALSE)))</f>
        <v/>
      </c>
      <c r="J537" s="13">
        <f>IF($A537="","",EOMONTH($A537,0))</f>
        <v/>
      </c>
      <c r="K537" s="67">
        <f>IF($B537="",0,IF(LEFT($B537,1)="━",0,$C537*VLOOKUP($B537,'4. CÀI ĐẶT'!$A$2:$H$32,7,FALSE)))</f>
        <v/>
      </c>
    </row>
    <row r="538">
      <c r="A538" s="8" t="n"/>
      <c r="B538" s="9" t="n"/>
      <c r="C538" s="65" t="n"/>
      <c r="D538" s="9" t="n"/>
      <c r="E538" s="66">
        <f>IF($B538="","",IF(LEFT($B538,1)="━","⚠️ Chọn hạng mục cụ thể",$C538*VLOOKUP($B538,'4. CÀI ĐẶT'!$A$2:$H$32,2,FALSE)))</f>
        <v/>
      </c>
      <c r="F538" s="67">
        <f>IF($B538="",0,IF(LEFT($B538,1)="━",0,$C538*VLOOKUP($B538,'4. CÀI ĐẶT'!$A$2:$H$32,3,FALSE)))</f>
        <v/>
      </c>
      <c r="G538" s="67">
        <f>IF($B538="",0,IF(LEFT($B538,1)="━",0,$C538*VLOOKUP($B538,'4. CÀI ĐẶT'!$A$2:$H$32,4,FALSE)))</f>
        <v/>
      </c>
      <c r="H538" s="67">
        <f>IF($B538="",0,IF(LEFT($B538,1)="━",0,$C538*VLOOKUP($B538,'4. CÀI ĐẶT'!$A$2:$H$32,5,FALSE)))</f>
        <v/>
      </c>
      <c r="I538">
        <f>IF($B538="","",IF(LEFT($B538,1)="━","",VLOOKUP($B538,'4. CÀI ĐẶT'!$A$2:$H$32,6,FALSE)))</f>
        <v/>
      </c>
      <c r="J538" s="13">
        <f>IF($A538="","",EOMONTH($A538,0))</f>
        <v/>
      </c>
      <c r="K538" s="67">
        <f>IF($B538="",0,IF(LEFT($B538,1)="━",0,$C538*VLOOKUP($B538,'4. CÀI ĐẶT'!$A$2:$H$32,7,FALSE)))</f>
        <v/>
      </c>
    </row>
    <row r="539">
      <c r="A539" s="8" t="n"/>
      <c r="B539" s="9" t="n"/>
      <c r="C539" s="65" t="n"/>
      <c r="D539" s="9" t="n"/>
      <c r="E539" s="66">
        <f>IF($B539="","",IF(LEFT($B539,1)="━","⚠️ Chọn hạng mục cụ thể",$C539*VLOOKUP($B539,'4. CÀI ĐẶT'!$A$2:$H$32,2,FALSE)))</f>
        <v/>
      </c>
      <c r="F539" s="67">
        <f>IF($B539="",0,IF(LEFT($B539,1)="━",0,$C539*VLOOKUP($B539,'4. CÀI ĐẶT'!$A$2:$H$32,3,FALSE)))</f>
        <v/>
      </c>
      <c r="G539" s="67">
        <f>IF($B539="",0,IF(LEFT($B539,1)="━",0,$C539*VLOOKUP($B539,'4. CÀI ĐẶT'!$A$2:$H$32,4,FALSE)))</f>
        <v/>
      </c>
      <c r="H539" s="67">
        <f>IF($B539="",0,IF(LEFT($B539,1)="━",0,$C539*VLOOKUP($B539,'4. CÀI ĐẶT'!$A$2:$H$32,5,FALSE)))</f>
        <v/>
      </c>
      <c r="I539">
        <f>IF($B539="","",IF(LEFT($B539,1)="━","",VLOOKUP($B539,'4. CÀI ĐẶT'!$A$2:$H$32,6,FALSE)))</f>
        <v/>
      </c>
      <c r="J539" s="13">
        <f>IF($A539="","",EOMONTH($A539,0))</f>
        <v/>
      </c>
      <c r="K539" s="67">
        <f>IF($B539="",0,IF(LEFT($B539,1)="━",0,$C539*VLOOKUP($B539,'4. CÀI ĐẶT'!$A$2:$H$32,7,FALSE)))</f>
        <v/>
      </c>
    </row>
    <row r="540">
      <c r="A540" s="8" t="n"/>
      <c r="B540" s="9" t="n"/>
      <c r="C540" s="65" t="n"/>
      <c r="D540" s="9" t="n"/>
      <c r="E540" s="66">
        <f>IF($B540="","",IF(LEFT($B540,1)="━","⚠️ Chọn hạng mục cụ thể",$C540*VLOOKUP($B540,'4. CÀI ĐẶT'!$A$2:$H$32,2,FALSE)))</f>
        <v/>
      </c>
      <c r="F540" s="67">
        <f>IF($B540="",0,IF(LEFT($B540,1)="━",0,$C540*VLOOKUP($B540,'4. CÀI ĐẶT'!$A$2:$H$32,3,FALSE)))</f>
        <v/>
      </c>
      <c r="G540" s="67">
        <f>IF($B540="",0,IF(LEFT($B540,1)="━",0,$C540*VLOOKUP($B540,'4. CÀI ĐẶT'!$A$2:$H$32,4,FALSE)))</f>
        <v/>
      </c>
      <c r="H540" s="67">
        <f>IF($B540="",0,IF(LEFT($B540,1)="━",0,$C540*VLOOKUP($B540,'4. CÀI ĐẶT'!$A$2:$H$32,5,FALSE)))</f>
        <v/>
      </c>
      <c r="I540">
        <f>IF($B540="","",IF(LEFT($B540,1)="━","",VLOOKUP($B540,'4. CÀI ĐẶT'!$A$2:$H$32,6,FALSE)))</f>
        <v/>
      </c>
      <c r="J540" s="13">
        <f>IF($A540="","",EOMONTH($A540,0))</f>
        <v/>
      </c>
      <c r="K540" s="67">
        <f>IF($B540="",0,IF(LEFT($B540,1)="━",0,$C540*VLOOKUP($B540,'4. CÀI ĐẶT'!$A$2:$H$32,7,FALSE)))</f>
        <v/>
      </c>
    </row>
    <row r="541">
      <c r="A541" s="8" t="n"/>
      <c r="B541" s="9" t="n"/>
      <c r="C541" s="65" t="n"/>
      <c r="D541" s="9" t="n"/>
      <c r="E541" s="66">
        <f>IF($B541="","",IF(LEFT($B541,1)="━","⚠️ Chọn hạng mục cụ thể",$C541*VLOOKUP($B541,'4. CÀI ĐẶT'!$A$2:$H$32,2,FALSE)))</f>
        <v/>
      </c>
      <c r="F541" s="67">
        <f>IF($B541="",0,IF(LEFT($B541,1)="━",0,$C541*VLOOKUP($B541,'4. CÀI ĐẶT'!$A$2:$H$32,3,FALSE)))</f>
        <v/>
      </c>
      <c r="G541" s="67">
        <f>IF($B541="",0,IF(LEFT($B541,1)="━",0,$C541*VLOOKUP($B541,'4. CÀI ĐẶT'!$A$2:$H$32,4,FALSE)))</f>
        <v/>
      </c>
      <c r="H541" s="67">
        <f>IF($B541="",0,IF(LEFT($B541,1)="━",0,$C541*VLOOKUP($B541,'4. CÀI ĐẶT'!$A$2:$H$32,5,FALSE)))</f>
        <v/>
      </c>
      <c r="I541">
        <f>IF($B541="","",IF(LEFT($B541,1)="━","",VLOOKUP($B541,'4. CÀI ĐẶT'!$A$2:$H$32,6,FALSE)))</f>
        <v/>
      </c>
      <c r="J541" s="13">
        <f>IF($A541="","",EOMONTH($A541,0))</f>
        <v/>
      </c>
      <c r="K541" s="67">
        <f>IF($B541="",0,IF(LEFT($B541,1)="━",0,$C541*VLOOKUP($B541,'4. CÀI ĐẶT'!$A$2:$H$32,7,FALSE)))</f>
        <v/>
      </c>
    </row>
    <row r="542">
      <c r="A542" s="8" t="n"/>
      <c r="B542" s="9" t="n"/>
      <c r="C542" s="65" t="n"/>
      <c r="D542" s="9" t="n"/>
      <c r="E542" s="66">
        <f>IF($B542="","",IF(LEFT($B542,1)="━","⚠️ Chọn hạng mục cụ thể",$C542*VLOOKUP($B542,'4. CÀI ĐẶT'!$A$2:$H$32,2,FALSE)))</f>
        <v/>
      </c>
      <c r="F542" s="67">
        <f>IF($B542="",0,IF(LEFT($B542,1)="━",0,$C542*VLOOKUP($B542,'4. CÀI ĐẶT'!$A$2:$H$32,3,FALSE)))</f>
        <v/>
      </c>
      <c r="G542" s="67">
        <f>IF($B542="",0,IF(LEFT($B542,1)="━",0,$C542*VLOOKUP($B542,'4. CÀI ĐẶT'!$A$2:$H$32,4,FALSE)))</f>
        <v/>
      </c>
      <c r="H542" s="67">
        <f>IF($B542="",0,IF(LEFT($B542,1)="━",0,$C542*VLOOKUP($B542,'4. CÀI ĐẶT'!$A$2:$H$32,5,FALSE)))</f>
        <v/>
      </c>
      <c r="I542">
        <f>IF($B542="","",IF(LEFT($B542,1)="━","",VLOOKUP($B542,'4. CÀI ĐẶT'!$A$2:$H$32,6,FALSE)))</f>
        <v/>
      </c>
      <c r="J542" s="13">
        <f>IF($A542="","",EOMONTH($A542,0))</f>
        <v/>
      </c>
      <c r="K542" s="67">
        <f>IF($B542="",0,IF(LEFT($B542,1)="━",0,$C542*VLOOKUP($B542,'4. CÀI ĐẶT'!$A$2:$H$32,7,FALSE)))</f>
        <v/>
      </c>
    </row>
    <row r="543">
      <c r="A543" s="8" t="n"/>
      <c r="B543" s="9" t="n"/>
      <c r="C543" s="65" t="n"/>
      <c r="D543" s="9" t="n"/>
      <c r="E543" s="66">
        <f>IF($B543="","",IF(LEFT($B543,1)="━","⚠️ Chọn hạng mục cụ thể",$C543*VLOOKUP($B543,'4. CÀI ĐẶT'!$A$2:$H$32,2,FALSE)))</f>
        <v/>
      </c>
      <c r="F543" s="67">
        <f>IF($B543="",0,IF(LEFT($B543,1)="━",0,$C543*VLOOKUP($B543,'4. CÀI ĐẶT'!$A$2:$H$32,3,FALSE)))</f>
        <v/>
      </c>
      <c r="G543" s="67">
        <f>IF($B543="",0,IF(LEFT($B543,1)="━",0,$C543*VLOOKUP($B543,'4. CÀI ĐẶT'!$A$2:$H$32,4,FALSE)))</f>
        <v/>
      </c>
      <c r="H543" s="67">
        <f>IF($B543="",0,IF(LEFT($B543,1)="━",0,$C543*VLOOKUP($B543,'4. CÀI ĐẶT'!$A$2:$H$32,5,FALSE)))</f>
        <v/>
      </c>
      <c r="I543">
        <f>IF($B543="","",IF(LEFT($B543,1)="━","",VLOOKUP($B543,'4. CÀI ĐẶT'!$A$2:$H$32,6,FALSE)))</f>
        <v/>
      </c>
      <c r="J543" s="13">
        <f>IF($A543="","",EOMONTH($A543,0))</f>
        <v/>
      </c>
      <c r="K543" s="67">
        <f>IF($B543="",0,IF(LEFT($B543,1)="━",0,$C543*VLOOKUP($B543,'4. CÀI ĐẶT'!$A$2:$H$32,7,FALSE)))</f>
        <v/>
      </c>
    </row>
    <row r="544">
      <c r="A544" s="8" t="n"/>
      <c r="B544" s="9" t="n"/>
      <c r="C544" s="65" t="n"/>
      <c r="D544" s="9" t="n"/>
      <c r="E544" s="66">
        <f>IF($B544="","",IF(LEFT($B544,1)="━","⚠️ Chọn hạng mục cụ thể",$C544*VLOOKUP($B544,'4. CÀI ĐẶT'!$A$2:$H$32,2,FALSE)))</f>
        <v/>
      </c>
      <c r="F544" s="67">
        <f>IF($B544="",0,IF(LEFT($B544,1)="━",0,$C544*VLOOKUP($B544,'4. CÀI ĐẶT'!$A$2:$H$32,3,FALSE)))</f>
        <v/>
      </c>
      <c r="G544" s="67">
        <f>IF($B544="",0,IF(LEFT($B544,1)="━",0,$C544*VLOOKUP($B544,'4. CÀI ĐẶT'!$A$2:$H$32,4,FALSE)))</f>
        <v/>
      </c>
      <c r="H544" s="67">
        <f>IF($B544="",0,IF(LEFT($B544,1)="━",0,$C544*VLOOKUP($B544,'4. CÀI ĐẶT'!$A$2:$H$32,5,FALSE)))</f>
        <v/>
      </c>
      <c r="I544">
        <f>IF($B544="","",IF(LEFT($B544,1)="━","",VLOOKUP($B544,'4. CÀI ĐẶT'!$A$2:$H$32,6,FALSE)))</f>
        <v/>
      </c>
      <c r="J544" s="13">
        <f>IF($A544="","",EOMONTH($A544,0))</f>
        <v/>
      </c>
      <c r="K544" s="67">
        <f>IF($B544="",0,IF(LEFT($B544,1)="━",0,$C544*VLOOKUP($B544,'4. CÀI ĐẶT'!$A$2:$H$32,7,FALSE)))</f>
        <v/>
      </c>
    </row>
    <row r="545">
      <c r="A545" s="8" t="n"/>
      <c r="B545" s="9" t="n"/>
      <c r="C545" s="65" t="n"/>
      <c r="D545" s="9" t="n"/>
      <c r="E545" s="66">
        <f>IF($B545="","",IF(LEFT($B545,1)="━","⚠️ Chọn hạng mục cụ thể",$C545*VLOOKUP($B545,'4. CÀI ĐẶT'!$A$2:$H$32,2,FALSE)))</f>
        <v/>
      </c>
      <c r="F545" s="67">
        <f>IF($B545="",0,IF(LEFT($B545,1)="━",0,$C545*VLOOKUP($B545,'4. CÀI ĐẶT'!$A$2:$H$32,3,FALSE)))</f>
        <v/>
      </c>
      <c r="G545" s="67">
        <f>IF($B545="",0,IF(LEFT($B545,1)="━",0,$C545*VLOOKUP($B545,'4. CÀI ĐẶT'!$A$2:$H$32,4,FALSE)))</f>
        <v/>
      </c>
      <c r="H545" s="67">
        <f>IF($B545="",0,IF(LEFT($B545,1)="━",0,$C545*VLOOKUP($B545,'4. CÀI ĐẶT'!$A$2:$H$32,5,FALSE)))</f>
        <v/>
      </c>
      <c r="I545">
        <f>IF($B545="","",IF(LEFT($B545,1)="━","",VLOOKUP($B545,'4. CÀI ĐẶT'!$A$2:$H$32,6,FALSE)))</f>
        <v/>
      </c>
      <c r="J545" s="13">
        <f>IF($A545="","",EOMONTH($A545,0))</f>
        <v/>
      </c>
      <c r="K545" s="67">
        <f>IF($B545="",0,IF(LEFT($B545,1)="━",0,$C545*VLOOKUP($B545,'4. CÀI ĐẶT'!$A$2:$H$32,7,FALSE)))</f>
        <v/>
      </c>
    </row>
    <row r="546">
      <c r="A546" s="8" t="n"/>
      <c r="B546" s="9" t="n"/>
      <c r="C546" s="65" t="n"/>
      <c r="D546" s="9" t="n"/>
      <c r="E546" s="66">
        <f>IF($B546="","",IF(LEFT($B546,1)="━","⚠️ Chọn hạng mục cụ thể",$C546*VLOOKUP($B546,'4. CÀI ĐẶT'!$A$2:$H$32,2,FALSE)))</f>
        <v/>
      </c>
      <c r="F546" s="67">
        <f>IF($B546="",0,IF(LEFT($B546,1)="━",0,$C546*VLOOKUP($B546,'4. CÀI ĐẶT'!$A$2:$H$32,3,FALSE)))</f>
        <v/>
      </c>
      <c r="G546" s="67">
        <f>IF($B546="",0,IF(LEFT($B546,1)="━",0,$C546*VLOOKUP($B546,'4. CÀI ĐẶT'!$A$2:$H$32,4,FALSE)))</f>
        <v/>
      </c>
      <c r="H546" s="67">
        <f>IF($B546="",0,IF(LEFT($B546,1)="━",0,$C546*VLOOKUP($B546,'4. CÀI ĐẶT'!$A$2:$H$32,5,FALSE)))</f>
        <v/>
      </c>
      <c r="I546">
        <f>IF($B546="","",IF(LEFT($B546,1)="━","",VLOOKUP($B546,'4. CÀI ĐẶT'!$A$2:$H$32,6,FALSE)))</f>
        <v/>
      </c>
      <c r="J546" s="13">
        <f>IF($A546="","",EOMONTH($A546,0))</f>
        <v/>
      </c>
      <c r="K546" s="67">
        <f>IF($B546="",0,IF(LEFT($B546,1)="━",0,$C546*VLOOKUP($B546,'4. CÀI ĐẶT'!$A$2:$H$32,7,FALSE)))</f>
        <v/>
      </c>
    </row>
    <row r="547">
      <c r="A547" s="8" t="n"/>
      <c r="B547" s="9" t="n"/>
      <c r="C547" s="65" t="n"/>
      <c r="D547" s="9" t="n"/>
      <c r="E547" s="66">
        <f>IF($B547="","",IF(LEFT($B547,1)="━","⚠️ Chọn hạng mục cụ thể",$C547*VLOOKUP($B547,'4. CÀI ĐẶT'!$A$2:$H$32,2,FALSE)))</f>
        <v/>
      </c>
      <c r="F547" s="67">
        <f>IF($B547="",0,IF(LEFT($B547,1)="━",0,$C547*VLOOKUP($B547,'4. CÀI ĐẶT'!$A$2:$H$32,3,FALSE)))</f>
        <v/>
      </c>
      <c r="G547" s="67">
        <f>IF($B547="",0,IF(LEFT($B547,1)="━",0,$C547*VLOOKUP($B547,'4. CÀI ĐẶT'!$A$2:$H$32,4,FALSE)))</f>
        <v/>
      </c>
      <c r="H547" s="67">
        <f>IF($B547="",0,IF(LEFT($B547,1)="━",0,$C547*VLOOKUP($B547,'4. CÀI ĐẶT'!$A$2:$H$32,5,FALSE)))</f>
        <v/>
      </c>
      <c r="I547">
        <f>IF($B547="","",IF(LEFT($B547,1)="━","",VLOOKUP($B547,'4. CÀI ĐẶT'!$A$2:$H$32,6,FALSE)))</f>
        <v/>
      </c>
      <c r="J547" s="13">
        <f>IF($A547="","",EOMONTH($A547,0))</f>
        <v/>
      </c>
      <c r="K547" s="67">
        <f>IF($B547="",0,IF(LEFT($B547,1)="━",0,$C547*VLOOKUP($B547,'4. CÀI ĐẶT'!$A$2:$H$32,7,FALSE)))</f>
        <v/>
      </c>
    </row>
    <row r="548">
      <c r="A548" s="8" t="n"/>
      <c r="B548" s="9" t="n"/>
      <c r="C548" s="65" t="n"/>
      <c r="D548" s="9" t="n"/>
      <c r="E548" s="66">
        <f>IF($B548="","",IF(LEFT($B548,1)="━","⚠️ Chọn hạng mục cụ thể",$C548*VLOOKUP($B548,'4. CÀI ĐẶT'!$A$2:$H$32,2,FALSE)))</f>
        <v/>
      </c>
      <c r="F548" s="67">
        <f>IF($B548="",0,IF(LEFT($B548,1)="━",0,$C548*VLOOKUP($B548,'4. CÀI ĐẶT'!$A$2:$H$32,3,FALSE)))</f>
        <v/>
      </c>
      <c r="G548" s="67">
        <f>IF($B548="",0,IF(LEFT($B548,1)="━",0,$C548*VLOOKUP($B548,'4. CÀI ĐẶT'!$A$2:$H$32,4,FALSE)))</f>
        <v/>
      </c>
      <c r="H548" s="67">
        <f>IF($B548="",0,IF(LEFT($B548,1)="━",0,$C548*VLOOKUP($B548,'4. CÀI ĐẶT'!$A$2:$H$32,5,FALSE)))</f>
        <v/>
      </c>
      <c r="I548">
        <f>IF($B548="","",IF(LEFT($B548,1)="━","",VLOOKUP($B548,'4. CÀI ĐẶT'!$A$2:$H$32,6,FALSE)))</f>
        <v/>
      </c>
      <c r="J548" s="13">
        <f>IF($A548="","",EOMONTH($A548,0))</f>
        <v/>
      </c>
      <c r="K548" s="67">
        <f>IF($B548="",0,IF(LEFT($B548,1)="━",0,$C548*VLOOKUP($B548,'4. CÀI ĐẶT'!$A$2:$H$32,7,FALSE)))</f>
        <v/>
      </c>
    </row>
    <row r="549">
      <c r="A549" s="8" t="n"/>
      <c r="B549" s="9" t="n"/>
      <c r="C549" s="65" t="n"/>
      <c r="D549" s="9" t="n"/>
      <c r="E549" s="66">
        <f>IF($B549="","",IF(LEFT($B549,1)="━","⚠️ Chọn hạng mục cụ thể",$C549*VLOOKUP($B549,'4. CÀI ĐẶT'!$A$2:$H$32,2,FALSE)))</f>
        <v/>
      </c>
      <c r="F549" s="67">
        <f>IF($B549="",0,IF(LEFT($B549,1)="━",0,$C549*VLOOKUP($B549,'4. CÀI ĐẶT'!$A$2:$H$32,3,FALSE)))</f>
        <v/>
      </c>
      <c r="G549" s="67">
        <f>IF($B549="",0,IF(LEFT($B549,1)="━",0,$C549*VLOOKUP($B549,'4. CÀI ĐẶT'!$A$2:$H$32,4,FALSE)))</f>
        <v/>
      </c>
      <c r="H549" s="67">
        <f>IF($B549="",0,IF(LEFT($B549,1)="━",0,$C549*VLOOKUP($B549,'4. CÀI ĐẶT'!$A$2:$H$32,5,FALSE)))</f>
        <v/>
      </c>
      <c r="I549">
        <f>IF($B549="","",IF(LEFT($B549,1)="━","",VLOOKUP($B549,'4. CÀI ĐẶT'!$A$2:$H$32,6,FALSE)))</f>
        <v/>
      </c>
      <c r="J549" s="13">
        <f>IF($A549="","",EOMONTH($A549,0))</f>
        <v/>
      </c>
      <c r="K549" s="67">
        <f>IF($B549="",0,IF(LEFT($B549,1)="━",0,$C549*VLOOKUP($B549,'4. CÀI ĐẶT'!$A$2:$H$32,7,FALSE)))</f>
        <v/>
      </c>
    </row>
    <row r="550">
      <c r="A550" s="8" t="n"/>
      <c r="B550" s="9" t="n"/>
      <c r="C550" s="65" t="n"/>
      <c r="D550" s="9" t="n"/>
      <c r="E550" s="66">
        <f>IF($B550="","",IF(LEFT($B550,1)="━","⚠️ Chọn hạng mục cụ thể",$C550*VLOOKUP($B550,'4. CÀI ĐẶT'!$A$2:$H$32,2,FALSE)))</f>
        <v/>
      </c>
      <c r="F550" s="67">
        <f>IF($B550="",0,IF(LEFT($B550,1)="━",0,$C550*VLOOKUP($B550,'4. CÀI ĐẶT'!$A$2:$H$32,3,FALSE)))</f>
        <v/>
      </c>
      <c r="G550" s="67">
        <f>IF($B550="",0,IF(LEFT($B550,1)="━",0,$C550*VLOOKUP($B550,'4. CÀI ĐẶT'!$A$2:$H$32,4,FALSE)))</f>
        <v/>
      </c>
      <c r="H550" s="67">
        <f>IF($B550="",0,IF(LEFT($B550,1)="━",0,$C550*VLOOKUP($B550,'4. CÀI ĐẶT'!$A$2:$H$32,5,FALSE)))</f>
        <v/>
      </c>
      <c r="I550">
        <f>IF($B550="","",IF(LEFT($B550,1)="━","",VLOOKUP($B550,'4. CÀI ĐẶT'!$A$2:$H$32,6,FALSE)))</f>
        <v/>
      </c>
      <c r="J550" s="13">
        <f>IF($A550="","",EOMONTH($A550,0))</f>
        <v/>
      </c>
      <c r="K550" s="67">
        <f>IF($B550="",0,IF(LEFT($B550,1)="━",0,$C550*VLOOKUP($B550,'4. CÀI ĐẶT'!$A$2:$H$32,7,FALSE)))</f>
        <v/>
      </c>
    </row>
    <row r="551">
      <c r="A551" s="8" t="n"/>
      <c r="B551" s="9" t="n"/>
      <c r="C551" s="65" t="n"/>
      <c r="D551" s="9" t="n"/>
      <c r="E551" s="66">
        <f>IF($B551="","",IF(LEFT($B551,1)="━","⚠️ Chọn hạng mục cụ thể",$C551*VLOOKUP($B551,'4. CÀI ĐẶT'!$A$2:$H$32,2,FALSE)))</f>
        <v/>
      </c>
      <c r="F551" s="67">
        <f>IF($B551="",0,IF(LEFT($B551,1)="━",0,$C551*VLOOKUP($B551,'4. CÀI ĐẶT'!$A$2:$H$32,3,FALSE)))</f>
        <v/>
      </c>
      <c r="G551" s="67">
        <f>IF($B551="",0,IF(LEFT($B551,1)="━",0,$C551*VLOOKUP($B551,'4. CÀI ĐẶT'!$A$2:$H$32,4,FALSE)))</f>
        <v/>
      </c>
      <c r="H551" s="67">
        <f>IF($B551="",0,IF(LEFT($B551,1)="━",0,$C551*VLOOKUP($B551,'4. CÀI ĐẶT'!$A$2:$H$32,5,FALSE)))</f>
        <v/>
      </c>
      <c r="I551">
        <f>IF($B551="","",IF(LEFT($B551,1)="━","",VLOOKUP($B551,'4. CÀI ĐẶT'!$A$2:$H$32,6,FALSE)))</f>
        <v/>
      </c>
      <c r="J551" s="13">
        <f>IF($A551="","",EOMONTH($A551,0))</f>
        <v/>
      </c>
      <c r="K551" s="67">
        <f>IF($B551="",0,IF(LEFT($B551,1)="━",0,$C551*VLOOKUP($B551,'4. CÀI ĐẶT'!$A$2:$H$32,7,FALSE)))</f>
        <v/>
      </c>
    </row>
    <row r="552">
      <c r="A552" s="8" t="n"/>
      <c r="B552" s="9" t="n"/>
      <c r="C552" s="65" t="n"/>
      <c r="D552" s="9" t="n"/>
      <c r="E552" s="66">
        <f>IF($B552="","",IF(LEFT($B552,1)="━","⚠️ Chọn hạng mục cụ thể",$C552*VLOOKUP($B552,'4. CÀI ĐẶT'!$A$2:$H$32,2,FALSE)))</f>
        <v/>
      </c>
      <c r="F552" s="67">
        <f>IF($B552="",0,IF(LEFT($B552,1)="━",0,$C552*VLOOKUP($B552,'4. CÀI ĐẶT'!$A$2:$H$32,3,FALSE)))</f>
        <v/>
      </c>
      <c r="G552" s="67">
        <f>IF($B552="",0,IF(LEFT($B552,1)="━",0,$C552*VLOOKUP($B552,'4. CÀI ĐẶT'!$A$2:$H$32,4,FALSE)))</f>
        <v/>
      </c>
      <c r="H552" s="67">
        <f>IF($B552="",0,IF(LEFT($B552,1)="━",0,$C552*VLOOKUP($B552,'4. CÀI ĐẶT'!$A$2:$H$32,5,FALSE)))</f>
        <v/>
      </c>
      <c r="I552">
        <f>IF($B552="","",IF(LEFT($B552,1)="━","",VLOOKUP($B552,'4. CÀI ĐẶT'!$A$2:$H$32,6,FALSE)))</f>
        <v/>
      </c>
      <c r="J552" s="13">
        <f>IF($A552="","",EOMONTH($A552,0))</f>
        <v/>
      </c>
      <c r="K552" s="67">
        <f>IF($B552="",0,IF(LEFT($B552,1)="━",0,$C552*VLOOKUP($B552,'4. CÀI ĐẶT'!$A$2:$H$32,7,FALSE)))</f>
        <v/>
      </c>
    </row>
    <row r="553">
      <c r="A553" s="8" t="n"/>
      <c r="B553" s="9" t="n"/>
      <c r="C553" s="65" t="n"/>
      <c r="D553" s="9" t="n"/>
      <c r="E553" s="66">
        <f>IF($B553="","",IF(LEFT($B553,1)="━","⚠️ Chọn hạng mục cụ thể",$C553*VLOOKUP($B553,'4. CÀI ĐẶT'!$A$2:$H$32,2,FALSE)))</f>
        <v/>
      </c>
      <c r="F553" s="67">
        <f>IF($B553="",0,IF(LEFT($B553,1)="━",0,$C553*VLOOKUP($B553,'4. CÀI ĐẶT'!$A$2:$H$32,3,FALSE)))</f>
        <v/>
      </c>
      <c r="G553" s="67">
        <f>IF($B553="",0,IF(LEFT($B553,1)="━",0,$C553*VLOOKUP($B553,'4. CÀI ĐẶT'!$A$2:$H$32,4,FALSE)))</f>
        <v/>
      </c>
      <c r="H553" s="67">
        <f>IF($B553="",0,IF(LEFT($B553,1)="━",0,$C553*VLOOKUP($B553,'4. CÀI ĐẶT'!$A$2:$H$32,5,FALSE)))</f>
        <v/>
      </c>
      <c r="I553">
        <f>IF($B553="","",IF(LEFT($B553,1)="━","",VLOOKUP($B553,'4. CÀI ĐẶT'!$A$2:$H$32,6,FALSE)))</f>
        <v/>
      </c>
      <c r="J553" s="13">
        <f>IF($A553="","",EOMONTH($A553,0))</f>
        <v/>
      </c>
      <c r="K553" s="67">
        <f>IF($B553="",0,IF(LEFT($B553,1)="━",0,$C553*VLOOKUP($B553,'4. CÀI ĐẶT'!$A$2:$H$32,7,FALSE)))</f>
        <v/>
      </c>
    </row>
    <row r="554">
      <c r="A554" s="8" t="n"/>
      <c r="B554" s="9" t="n"/>
      <c r="C554" s="65" t="n"/>
      <c r="D554" s="9" t="n"/>
      <c r="E554" s="66">
        <f>IF($B554="","",IF(LEFT($B554,1)="━","⚠️ Chọn hạng mục cụ thể",$C554*VLOOKUP($B554,'4. CÀI ĐẶT'!$A$2:$H$32,2,FALSE)))</f>
        <v/>
      </c>
      <c r="F554" s="67">
        <f>IF($B554="",0,IF(LEFT($B554,1)="━",0,$C554*VLOOKUP($B554,'4. CÀI ĐẶT'!$A$2:$H$32,3,FALSE)))</f>
        <v/>
      </c>
      <c r="G554" s="67">
        <f>IF($B554="",0,IF(LEFT($B554,1)="━",0,$C554*VLOOKUP($B554,'4. CÀI ĐẶT'!$A$2:$H$32,4,FALSE)))</f>
        <v/>
      </c>
      <c r="H554" s="67">
        <f>IF($B554="",0,IF(LEFT($B554,1)="━",0,$C554*VLOOKUP($B554,'4. CÀI ĐẶT'!$A$2:$H$32,5,FALSE)))</f>
        <v/>
      </c>
      <c r="I554">
        <f>IF($B554="","",IF(LEFT($B554,1)="━","",VLOOKUP($B554,'4. CÀI ĐẶT'!$A$2:$H$32,6,FALSE)))</f>
        <v/>
      </c>
      <c r="J554" s="13">
        <f>IF($A554="","",EOMONTH($A554,0))</f>
        <v/>
      </c>
      <c r="K554" s="67">
        <f>IF($B554="",0,IF(LEFT($B554,1)="━",0,$C554*VLOOKUP($B554,'4. CÀI ĐẶT'!$A$2:$H$32,7,FALSE)))</f>
        <v/>
      </c>
    </row>
    <row r="555">
      <c r="A555" s="8" t="n"/>
      <c r="B555" s="9" t="n"/>
      <c r="C555" s="65" t="n"/>
      <c r="D555" s="9" t="n"/>
      <c r="E555" s="66">
        <f>IF($B555="","",IF(LEFT($B555,1)="━","⚠️ Chọn hạng mục cụ thể",$C555*VLOOKUP($B555,'4. CÀI ĐẶT'!$A$2:$H$32,2,FALSE)))</f>
        <v/>
      </c>
      <c r="F555" s="67">
        <f>IF($B555="",0,IF(LEFT($B555,1)="━",0,$C555*VLOOKUP($B555,'4. CÀI ĐẶT'!$A$2:$H$32,3,FALSE)))</f>
        <v/>
      </c>
      <c r="G555" s="67">
        <f>IF($B555="",0,IF(LEFT($B555,1)="━",0,$C555*VLOOKUP($B555,'4. CÀI ĐẶT'!$A$2:$H$32,4,FALSE)))</f>
        <v/>
      </c>
      <c r="H555" s="67">
        <f>IF($B555="",0,IF(LEFT($B555,1)="━",0,$C555*VLOOKUP($B555,'4. CÀI ĐẶT'!$A$2:$H$32,5,FALSE)))</f>
        <v/>
      </c>
      <c r="I555">
        <f>IF($B555="","",IF(LEFT($B555,1)="━","",VLOOKUP($B555,'4. CÀI ĐẶT'!$A$2:$H$32,6,FALSE)))</f>
        <v/>
      </c>
      <c r="J555" s="13">
        <f>IF($A555="","",EOMONTH($A555,0))</f>
        <v/>
      </c>
      <c r="K555" s="67">
        <f>IF($B555="",0,IF(LEFT($B555,1)="━",0,$C555*VLOOKUP($B555,'4. CÀI ĐẶT'!$A$2:$H$32,7,FALSE)))</f>
        <v/>
      </c>
    </row>
    <row r="556">
      <c r="A556" s="8" t="n"/>
      <c r="B556" s="9" t="n"/>
      <c r="C556" s="65" t="n"/>
      <c r="D556" s="9" t="n"/>
      <c r="E556" s="66">
        <f>IF($B556="","",IF(LEFT($B556,1)="━","⚠️ Chọn hạng mục cụ thể",$C556*VLOOKUP($B556,'4. CÀI ĐẶT'!$A$2:$H$32,2,FALSE)))</f>
        <v/>
      </c>
      <c r="F556" s="67">
        <f>IF($B556="",0,IF(LEFT($B556,1)="━",0,$C556*VLOOKUP($B556,'4. CÀI ĐẶT'!$A$2:$H$32,3,FALSE)))</f>
        <v/>
      </c>
      <c r="G556" s="67">
        <f>IF($B556="",0,IF(LEFT($B556,1)="━",0,$C556*VLOOKUP($B556,'4. CÀI ĐẶT'!$A$2:$H$32,4,FALSE)))</f>
        <v/>
      </c>
      <c r="H556" s="67">
        <f>IF($B556="",0,IF(LEFT($B556,1)="━",0,$C556*VLOOKUP($B556,'4. CÀI ĐẶT'!$A$2:$H$32,5,FALSE)))</f>
        <v/>
      </c>
      <c r="I556">
        <f>IF($B556="","",IF(LEFT($B556,1)="━","",VLOOKUP($B556,'4. CÀI ĐẶT'!$A$2:$H$32,6,FALSE)))</f>
        <v/>
      </c>
      <c r="J556" s="13">
        <f>IF($A556="","",EOMONTH($A556,0))</f>
        <v/>
      </c>
      <c r="K556" s="67">
        <f>IF($B556="",0,IF(LEFT($B556,1)="━",0,$C556*VLOOKUP($B556,'4. CÀI ĐẶT'!$A$2:$H$32,7,FALSE)))</f>
        <v/>
      </c>
    </row>
    <row r="557">
      <c r="A557" s="8" t="n"/>
      <c r="B557" s="9" t="n"/>
      <c r="C557" s="65" t="n"/>
      <c r="D557" s="9" t="n"/>
      <c r="E557" s="66">
        <f>IF($B557="","",IF(LEFT($B557,1)="━","⚠️ Chọn hạng mục cụ thể",$C557*VLOOKUP($B557,'4. CÀI ĐẶT'!$A$2:$H$32,2,FALSE)))</f>
        <v/>
      </c>
      <c r="F557" s="67">
        <f>IF($B557="",0,IF(LEFT($B557,1)="━",0,$C557*VLOOKUP($B557,'4. CÀI ĐẶT'!$A$2:$H$32,3,FALSE)))</f>
        <v/>
      </c>
      <c r="G557" s="67">
        <f>IF($B557="",0,IF(LEFT($B557,1)="━",0,$C557*VLOOKUP($B557,'4. CÀI ĐẶT'!$A$2:$H$32,4,FALSE)))</f>
        <v/>
      </c>
      <c r="H557" s="67">
        <f>IF($B557="",0,IF(LEFT($B557,1)="━",0,$C557*VLOOKUP($B557,'4. CÀI ĐẶT'!$A$2:$H$32,5,FALSE)))</f>
        <v/>
      </c>
      <c r="I557">
        <f>IF($B557="","",IF(LEFT($B557,1)="━","",VLOOKUP($B557,'4. CÀI ĐẶT'!$A$2:$H$32,6,FALSE)))</f>
        <v/>
      </c>
      <c r="J557" s="13">
        <f>IF($A557="","",EOMONTH($A557,0))</f>
        <v/>
      </c>
      <c r="K557" s="67">
        <f>IF($B557="",0,IF(LEFT($B557,1)="━",0,$C557*VLOOKUP($B557,'4. CÀI ĐẶT'!$A$2:$H$32,7,FALSE)))</f>
        <v/>
      </c>
    </row>
    <row r="558">
      <c r="A558" s="8" t="n"/>
      <c r="B558" s="9" t="n"/>
      <c r="C558" s="65" t="n"/>
      <c r="D558" s="9" t="n"/>
      <c r="E558" s="66">
        <f>IF($B558="","",IF(LEFT($B558,1)="━","⚠️ Chọn hạng mục cụ thể",$C558*VLOOKUP($B558,'4. CÀI ĐẶT'!$A$2:$H$32,2,FALSE)))</f>
        <v/>
      </c>
      <c r="F558" s="67">
        <f>IF($B558="",0,IF(LEFT($B558,1)="━",0,$C558*VLOOKUP($B558,'4. CÀI ĐẶT'!$A$2:$H$32,3,FALSE)))</f>
        <v/>
      </c>
      <c r="G558" s="67">
        <f>IF($B558="",0,IF(LEFT($B558,1)="━",0,$C558*VLOOKUP($B558,'4. CÀI ĐẶT'!$A$2:$H$32,4,FALSE)))</f>
        <v/>
      </c>
      <c r="H558" s="67">
        <f>IF($B558="",0,IF(LEFT($B558,1)="━",0,$C558*VLOOKUP($B558,'4. CÀI ĐẶT'!$A$2:$H$32,5,FALSE)))</f>
        <v/>
      </c>
      <c r="I558">
        <f>IF($B558="","",IF(LEFT($B558,1)="━","",VLOOKUP($B558,'4. CÀI ĐẶT'!$A$2:$H$32,6,FALSE)))</f>
        <v/>
      </c>
      <c r="J558" s="13">
        <f>IF($A558="","",EOMONTH($A558,0))</f>
        <v/>
      </c>
      <c r="K558" s="67">
        <f>IF($B558="",0,IF(LEFT($B558,1)="━",0,$C558*VLOOKUP($B558,'4. CÀI ĐẶT'!$A$2:$H$32,7,FALSE)))</f>
        <v/>
      </c>
    </row>
    <row r="559">
      <c r="A559" s="8" t="n"/>
      <c r="B559" s="9" t="n"/>
      <c r="C559" s="65" t="n"/>
      <c r="D559" s="9" t="n"/>
      <c r="E559" s="66">
        <f>IF($B559="","",IF(LEFT($B559,1)="━","⚠️ Chọn hạng mục cụ thể",$C559*VLOOKUP($B559,'4. CÀI ĐẶT'!$A$2:$H$32,2,FALSE)))</f>
        <v/>
      </c>
      <c r="F559" s="67">
        <f>IF($B559="",0,IF(LEFT($B559,1)="━",0,$C559*VLOOKUP($B559,'4. CÀI ĐẶT'!$A$2:$H$32,3,FALSE)))</f>
        <v/>
      </c>
      <c r="G559" s="67">
        <f>IF($B559="",0,IF(LEFT($B559,1)="━",0,$C559*VLOOKUP($B559,'4. CÀI ĐẶT'!$A$2:$H$32,4,FALSE)))</f>
        <v/>
      </c>
      <c r="H559" s="67">
        <f>IF($B559="",0,IF(LEFT($B559,1)="━",0,$C559*VLOOKUP($B559,'4. CÀI ĐẶT'!$A$2:$H$32,5,FALSE)))</f>
        <v/>
      </c>
      <c r="I559">
        <f>IF($B559="","",IF(LEFT($B559,1)="━","",VLOOKUP($B559,'4. CÀI ĐẶT'!$A$2:$H$32,6,FALSE)))</f>
        <v/>
      </c>
      <c r="J559" s="13">
        <f>IF($A559="","",EOMONTH($A559,0))</f>
        <v/>
      </c>
      <c r="K559" s="67">
        <f>IF($B559="",0,IF(LEFT($B559,1)="━",0,$C559*VLOOKUP($B559,'4. CÀI ĐẶT'!$A$2:$H$32,7,FALSE)))</f>
        <v/>
      </c>
    </row>
    <row r="560">
      <c r="A560" s="8" t="n"/>
      <c r="B560" s="9" t="n"/>
      <c r="C560" s="65" t="n"/>
      <c r="D560" s="9" t="n"/>
      <c r="E560" s="66">
        <f>IF($B560="","",IF(LEFT($B560,1)="━","⚠️ Chọn hạng mục cụ thể",$C560*VLOOKUP($B560,'4. CÀI ĐẶT'!$A$2:$H$32,2,FALSE)))</f>
        <v/>
      </c>
      <c r="F560" s="67">
        <f>IF($B560="",0,IF(LEFT($B560,1)="━",0,$C560*VLOOKUP($B560,'4. CÀI ĐẶT'!$A$2:$H$32,3,FALSE)))</f>
        <v/>
      </c>
      <c r="G560" s="67">
        <f>IF($B560="",0,IF(LEFT($B560,1)="━",0,$C560*VLOOKUP($B560,'4. CÀI ĐẶT'!$A$2:$H$32,4,FALSE)))</f>
        <v/>
      </c>
      <c r="H560" s="67">
        <f>IF($B560="",0,IF(LEFT($B560,1)="━",0,$C560*VLOOKUP($B560,'4. CÀI ĐẶT'!$A$2:$H$32,5,FALSE)))</f>
        <v/>
      </c>
      <c r="I560">
        <f>IF($B560="","",IF(LEFT($B560,1)="━","",VLOOKUP($B560,'4. CÀI ĐẶT'!$A$2:$H$32,6,FALSE)))</f>
        <v/>
      </c>
      <c r="J560" s="13">
        <f>IF($A560="","",EOMONTH($A560,0))</f>
        <v/>
      </c>
      <c r="K560" s="67">
        <f>IF($B560="",0,IF(LEFT($B560,1)="━",0,$C560*VLOOKUP($B560,'4. CÀI ĐẶT'!$A$2:$H$32,7,FALSE)))</f>
        <v/>
      </c>
    </row>
    <row r="561">
      <c r="A561" s="8" t="n"/>
      <c r="B561" s="9" t="n"/>
      <c r="C561" s="65" t="n"/>
      <c r="D561" s="9" t="n"/>
      <c r="E561" s="66">
        <f>IF($B561="","",IF(LEFT($B561,1)="━","⚠️ Chọn hạng mục cụ thể",$C561*VLOOKUP($B561,'4. CÀI ĐẶT'!$A$2:$H$32,2,FALSE)))</f>
        <v/>
      </c>
      <c r="F561" s="67">
        <f>IF($B561="",0,IF(LEFT($B561,1)="━",0,$C561*VLOOKUP($B561,'4. CÀI ĐẶT'!$A$2:$H$32,3,FALSE)))</f>
        <v/>
      </c>
      <c r="G561" s="67">
        <f>IF($B561="",0,IF(LEFT($B561,1)="━",0,$C561*VLOOKUP($B561,'4. CÀI ĐẶT'!$A$2:$H$32,4,FALSE)))</f>
        <v/>
      </c>
      <c r="H561" s="67">
        <f>IF($B561="",0,IF(LEFT($B561,1)="━",0,$C561*VLOOKUP($B561,'4. CÀI ĐẶT'!$A$2:$H$32,5,FALSE)))</f>
        <v/>
      </c>
      <c r="I561">
        <f>IF($B561="","",IF(LEFT($B561,1)="━","",VLOOKUP($B561,'4. CÀI ĐẶT'!$A$2:$H$32,6,FALSE)))</f>
        <v/>
      </c>
      <c r="J561" s="13">
        <f>IF($A561="","",EOMONTH($A561,0))</f>
        <v/>
      </c>
      <c r="K561" s="67">
        <f>IF($B561="",0,IF(LEFT($B561,1)="━",0,$C561*VLOOKUP($B561,'4. CÀI ĐẶT'!$A$2:$H$32,7,FALSE)))</f>
        <v/>
      </c>
    </row>
    <row r="562">
      <c r="A562" s="8" t="n"/>
      <c r="B562" s="9" t="n"/>
      <c r="C562" s="65" t="n"/>
      <c r="D562" s="9" t="n"/>
      <c r="E562" s="66">
        <f>IF($B562="","",IF(LEFT($B562,1)="━","⚠️ Chọn hạng mục cụ thể",$C562*VLOOKUP($B562,'4. CÀI ĐẶT'!$A$2:$H$32,2,FALSE)))</f>
        <v/>
      </c>
      <c r="F562" s="67">
        <f>IF($B562="",0,IF(LEFT($B562,1)="━",0,$C562*VLOOKUP($B562,'4. CÀI ĐẶT'!$A$2:$H$32,3,FALSE)))</f>
        <v/>
      </c>
      <c r="G562" s="67">
        <f>IF($B562="",0,IF(LEFT($B562,1)="━",0,$C562*VLOOKUP($B562,'4. CÀI ĐẶT'!$A$2:$H$32,4,FALSE)))</f>
        <v/>
      </c>
      <c r="H562" s="67">
        <f>IF($B562="",0,IF(LEFT($B562,1)="━",0,$C562*VLOOKUP($B562,'4. CÀI ĐẶT'!$A$2:$H$32,5,FALSE)))</f>
        <v/>
      </c>
      <c r="I562">
        <f>IF($B562="","",IF(LEFT($B562,1)="━","",VLOOKUP($B562,'4. CÀI ĐẶT'!$A$2:$H$32,6,FALSE)))</f>
        <v/>
      </c>
      <c r="J562" s="13">
        <f>IF($A562="","",EOMONTH($A562,0))</f>
        <v/>
      </c>
      <c r="K562" s="67">
        <f>IF($B562="",0,IF(LEFT($B562,1)="━",0,$C562*VLOOKUP($B562,'4. CÀI ĐẶT'!$A$2:$H$32,7,FALSE)))</f>
        <v/>
      </c>
    </row>
    <row r="563">
      <c r="A563" s="8" t="n"/>
      <c r="B563" s="9" t="n"/>
      <c r="C563" s="65" t="n"/>
      <c r="D563" s="9" t="n"/>
      <c r="E563" s="66">
        <f>IF($B563="","",IF(LEFT($B563,1)="━","⚠️ Chọn hạng mục cụ thể",$C563*VLOOKUP($B563,'4. CÀI ĐẶT'!$A$2:$H$32,2,FALSE)))</f>
        <v/>
      </c>
      <c r="F563" s="67">
        <f>IF($B563="",0,IF(LEFT($B563,1)="━",0,$C563*VLOOKUP($B563,'4. CÀI ĐẶT'!$A$2:$H$32,3,FALSE)))</f>
        <v/>
      </c>
      <c r="G563" s="67">
        <f>IF($B563="",0,IF(LEFT($B563,1)="━",0,$C563*VLOOKUP($B563,'4. CÀI ĐẶT'!$A$2:$H$32,4,FALSE)))</f>
        <v/>
      </c>
      <c r="H563" s="67">
        <f>IF($B563="",0,IF(LEFT($B563,1)="━",0,$C563*VLOOKUP($B563,'4. CÀI ĐẶT'!$A$2:$H$32,5,FALSE)))</f>
        <v/>
      </c>
      <c r="I563">
        <f>IF($B563="","",IF(LEFT($B563,1)="━","",VLOOKUP($B563,'4. CÀI ĐẶT'!$A$2:$H$32,6,FALSE)))</f>
        <v/>
      </c>
      <c r="J563" s="13">
        <f>IF($A563="","",EOMONTH($A563,0))</f>
        <v/>
      </c>
      <c r="K563" s="67">
        <f>IF($B563="",0,IF(LEFT($B563,1)="━",0,$C563*VLOOKUP($B563,'4. CÀI ĐẶT'!$A$2:$H$32,7,FALSE)))</f>
        <v/>
      </c>
    </row>
    <row r="564">
      <c r="A564" s="8" t="n"/>
      <c r="B564" s="9" t="n"/>
      <c r="C564" s="65" t="n"/>
      <c r="D564" s="9" t="n"/>
      <c r="E564" s="66">
        <f>IF($B564="","",IF(LEFT($B564,1)="━","⚠️ Chọn hạng mục cụ thể",$C564*VLOOKUP($B564,'4. CÀI ĐẶT'!$A$2:$H$32,2,FALSE)))</f>
        <v/>
      </c>
      <c r="F564" s="67">
        <f>IF($B564="",0,IF(LEFT($B564,1)="━",0,$C564*VLOOKUP($B564,'4. CÀI ĐẶT'!$A$2:$H$32,3,FALSE)))</f>
        <v/>
      </c>
      <c r="G564" s="67">
        <f>IF($B564="",0,IF(LEFT($B564,1)="━",0,$C564*VLOOKUP($B564,'4. CÀI ĐẶT'!$A$2:$H$32,4,FALSE)))</f>
        <v/>
      </c>
      <c r="H564" s="67">
        <f>IF($B564="",0,IF(LEFT($B564,1)="━",0,$C564*VLOOKUP($B564,'4. CÀI ĐẶT'!$A$2:$H$32,5,FALSE)))</f>
        <v/>
      </c>
      <c r="I564">
        <f>IF($B564="","",IF(LEFT($B564,1)="━","",VLOOKUP($B564,'4. CÀI ĐẶT'!$A$2:$H$32,6,FALSE)))</f>
        <v/>
      </c>
      <c r="J564" s="13">
        <f>IF($A564="","",EOMONTH($A564,0))</f>
        <v/>
      </c>
      <c r="K564" s="67">
        <f>IF($B564="",0,IF(LEFT($B564,1)="━",0,$C564*VLOOKUP($B564,'4. CÀI ĐẶT'!$A$2:$H$32,7,FALSE)))</f>
        <v/>
      </c>
    </row>
    <row r="565">
      <c r="A565" s="8" t="n"/>
      <c r="B565" s="9" t="n"/>
      <c r="C565" s="65" t="n"/>
      <c r="D565" s="9" t="n"/>
      <c r="E565" s="66">
        <f>IF($B565="","",IF(LEFT($B565,1)="━","⚠️ Chọn hạng mục cụ thể",$C565*VLOOKUP($B565,'4. CÀI ĐẶT'!$A$2:$H$32,2,FALSE)))</f>
        <v/>
      </c>
      <c r="F565" s="67">
        <f>IF($B565="",0,IF(LEFT($B565,1)="━",0,$C565*VLOOKUP($B565,'4. CÀI ĐẶT'!$A$2:$H$32,3,FALSE)))</f>
        <v/>
      </c>
      <c r="G565" s="67">
        <f>IF($B565="",0,IF(LEFT($B565,1)="━",0,$C565*VLOOKUP($B565,'4. CÀI ĐẶT'!$A$2:$H$32,4,FALSE)))</f>
        <v/>
      </c>
      <c r="H565" s="67">
        <f>IF($B565="",0,IF(LEFT($B565,1)="━",0,$C565*VLOOKUP($B565,'4. CÀI ĐẶT'!$A$2:$H$32,5,FALSE)))</f>
        <v/>
      </c>
      <c r="I565">
        <f>IF($B565="","",IF(LEFT($B565,1)="━","",VLOOKUP($B565,'4. CÀI ĐẶT'!$A$2:$H$32,6,FALSE)))</f>
        <v/>
      </c>
      <c r="J565" s="13">
        <f>IF($A565="","",EOMONTH($A565,0))</f>
        <v/>
      </c>
      <c r="K565" s="67">
        <f>IF($B565="",0,IF(LEFT($B565,1)="━",0,$C565*VLOOKUP($B565,'4. CÀI ĐẶT'!$A$2:$H$32,7,FALSE)))</f>
        <v/>
      </c>
    </row>
    <row r="566">
      <c r="A566" s="8" t="n"/>
      <c r="B566" s="9" t="n"/>
      <c r="C566" s="65" t="n"/>
      <c r="D566" s="9" t="n"/>
      <c r="E566" s="66">
        <f>IF($B566="","",IF(LEFT($B566,1)="━","⚠️ Chọn hạng mục cụ thể",$C566*VLOOKUP($B566,'4. CÀI ĐẶT'!$A$2:$H$32,2,FALSE)))</f>
        <v/>
      </c>
      <c r="F566" s="67">
        <f>IF($B566="",0,IF(LEFT($B566,1)="━",0,$C566*VLOOKUP($B566,'4. CÀI ĐẶT'!$A$2:$H$32,3,FALSE)))</f>
        <v/>
      </c>
      <c r="G566" s="67">
        <f>IF($B566="",0,IF(LEFT($B566,1)="━",0,$C566*VLOOKUP($B566,'4. CÀI ĐẶT'!$A$2:$H$32,4,FALSE)))</f>
        <v/>
      </c>
      <c r="H566" s="67">
        <f>IF($B566="",0,IF(LEFT($B566,1)="━",0,$C566*VLOOKUP($B566,'4. CÀI ĐẶT'!$A$2:$H$32,5,FALSE)))</f>
        <v/>
      </c>
      <c r="I566">
        <f>IF($B566="","",IF(LEFT($B566,1)="━","",VLOOKUP($B566,'4. CÀI ĐẶT'!$A$2:$H$32,6,FALSE)))</f>
        <v/>
      </c>
      <c r="J566" s="13">
        <f>IF($A566="","",EOMONTH($A566,0))</f>
        <v/>
      </c>
      <c r="K566" s="67">
        <f>IF($B566="",0,IF(LEFT($B566,1)="━",0,$C566*VLOOKUP($B566,'4. CÀI ĐẶT'!$A$2:$H$32,7,FALSE)))</f>
        <v/>
      </c>
    </row>
    <row r="567">
      <c r="A567" s="8" t="n"/>
      <c r="B567" s="9" t="n"/>
      <c r="C567" s="65" t="n"/>
      <c r="D567" s="9" t="n"/>
      <c r="E567" s="66">
        <f>IF($B567="","",IF(LEFT($B567,1)="━","⚠️ Chọn hạng mục cụ thể",$C567*VLOOKUP($B567,'4. CÀI ĐẶT'!$A$2:$H$32,2,FALSE)))</f>
        <v/>
      </c>
      <c r="F567" s="67">
        <f>IF($B567="",0,IF(LEFT($B567,1)="━",0,$C567*VLOOKUP($B567,'4. CÀI ĐẶT'!$A$2:$H$32,3,FALSE)))</f>
        <v/>
      </c>
      <c r="G567" s="67">
        <f>IF($B567="",0,IF(LEFT($B567,1)="━",0,$C567*VLOOKUP($B567,'4. CÀI ĐẶT'!$A$2:$H$32,4,FALSE)))</f>
        <v/>
      </c>
      <c r="H567" s="67">
        <f>IF($B567="",0,IF(LEFT($B567,1)="━",0,$C567*VLOOKUP($B567,'4. CÀI ĐẶT'!$A$2:$H$32,5,FALSE)))</f>
        <v/>
      </c>
      <c r="I567">
        <f>IF($B567="","",IF(LEFT($B567,1)="━","",VLOOKUP($B567,'4. CÀI ĐẶT'!$A$2:$H$32,6,FALSE)))</f>
        <v/>
      </c>
      <c r="J567" s="13">
        <f>IF($A567="","",EOMONTH($A567,0))</f>
        <v/>
      </c>
      <c r="K567" s="67">
        <f>IF($B567="",0,IF(LEFT($B567,1)="━",0,$C567*VLOOKUP($B567,'4. CÀI ĐẶT'!$A$2:$H$32,7,FALSE)))</f>
        <v/>
      </c>
    </row>
    <row r="568">
      <c r="A568" s="8" t="n"/>
      <c r="B568" s="9" t="n"/>
      <c r="C568" s="65" t="n"/>
      <c r="D568" s="9" t="n"/>
      <c r="E568" s="66">
        <f>IF($B568="","",IF(LEFT($B568,1)="━","⚠️ Chọn hạng mục cụ thể",$C568*VLOOKUP($B568,'4. CÀI ĐẶT'!$A$2:$H$32,2,FALSE)))</f>
        <v/>
      </c>
      <c r="F568" s="67">
        <f>IF($B568="",0,IF(LEFT($B568,1)="━",0,$C568*VLOOKUP($B568,'4. CÀI ĐẶT'!$A$2:$H$32,3,FALSE)))</f>
        <v/>
      </c>
      <c r="G568" s="67">
        <f>IF($B568="",0,IF(LEFT($B568,1)="━",0,$C568*VLOOKUP($B568,'4. CÀI ĐẶT'!$A$2:$H$32,4,FALSE)))</f>
        <v/>
      </c>
      <c r="H568" s="67">
        <f>IF($B568="",0,IF(LEFT($B568,1)="━",0,$C568*VLOOKUP($B568,'4. CÀI ĐẶT'!$A$2:$H$32,5,FALSE)))</f>
        <v/>
      </c>
      <c r="I568">
        <f>IF($B568="","",IF(LEFT($B568,1)="━","",VLOOKUP($B568,'4. CÀI ĐẶT'!$A$2:$H$32,6,FALSE)))</f>
        <v/>
      </c>
      <c r="J568" s="13">
        <f>IF($A568="","",EOMONTH($A568,0))</f>
        <v/>
      </c>
      <c r="K568" s="67">
        <f>IF($B568="",0,IF(LEFT($B568,1)="━",0,$C568*VLOOKUP($B568,'4. CÀI ĐẶT'!$A$2:$H$32,7,FALSE)))</f>
        <v/>
      </c>
    </row>
    <row r="569">
      <c r="A569" s="8" t="n"/>
      <c r="B569" s="9" t="n"/>
      <c r="C569" s="65" t="n"/>
      <c r="D569" s="9" t="n"/>
      <c r="E569" s="66">
        <f>IF($B569="","",IF(LEFT($B569,1)="━","⚠️ Chọn hạng mục cụ thể",$C569*VLOOKUP($B569,'4. CÀI ĐẶT'!$A$2:$H$32,2,FALSE)))</f>
        <v/>
      </c>
      <c r="F569" s="67">
        <f>IF($B569="",0,IF(LEFT($B569,1)="━",0,$C569*VLOOKUP($B569,'4. CÀI ĐẶT'!$A$2:$H$32,3,FALSE)))</f>
        <v/>
      </c>
      <c r="G569" s="67">
        <f>IF($B569="",0,IF(LEFT($B569,1)="━",0,$C569*VLOOKUP($B569,'4. CÀI ĐẶT'!$A$2:$H$32,4,FALSE)))</f>
        <v/>
      </c>
      <c r="H569" s="67">
        <f>IF($B569="",0,IF(LEFT($B569,1)="━",0,$C569*VLOOKUP($B569,'4. CÀI ĐẶT'!$A$2:$H$32,5,FALSE)))</f>
        <v/>
      </c>
      <c r="I569">
        <f>IF($B569="","",IF(LEFT($B569,1)="━","",VLOOKUP($B569,'4. CÀI ĐẶT'!$A$2:$H$32,6,FALSE)))</f>
        <v/>
      </c>
      <c r="J569" s="13">
        <f>IF($A569="","",EOMONTH($A569,0))</f>
        <v/>
      </c>
      <c r="K569" s="67">
        <f>IF($B569="",0,IF(LEFT($B569,1)="━",0,$C569*VLOOKUP($B569,'4. CÀI ĐẶT'!$A$2:$H$32,7,FALSE)))</f>
        <v/>
      </c>
    </row>
    <row r="570">
      <c r="A570" s="8" t="n"/>
      <c r="B570" s="9" t="n"/>
      <c r="C570" s="65" t="n"/>
      <c r="D570" s="9" t="n"/>
      <c r="E570" s="66">
        <f>IF($B570="","",IF(LEFT($B570,1)="━","⚠️ Chọn hạng mục cụ thể",$C570*VLOOKUP($B570,'4. CÀI ĐẶT'!$A$2:$H$32,2,FALSE)))</f>
        <v/>
      </c>
      <c r="F570" s="67">
        <f>IF($B570="",0,IF(LEFT($B570,1)="━",0,$C570*VLOOKUP($B570,'4. CÀI ĐẶT'!$A$2:$H$32,3,FALSE)))</f>
        <v/>
      </c>
      <c r="G570" s="67">
        <f>IF($B570="",0,IF(LEFT($B570,1)="━",0,$C570*VLOOKUP($B570,'4. CÀI ĐẶT'!$A$2:$H$32,4,FALSE)))</f>
        <v/>
      </c>
      <c r="H570" s="67">
        <f>IF($B570="",0,IF(LEFT($B570,1)="━",0,$C570*VLOOKUP($B570,'4. CÀI ĐẶT'!$A$2:$H$32,5,FALSE)))</f>
        <v/>
      </c>
      <c r="I570">
        <f>IF($B570="","",IF(LEFT($B570,1)="━","",VLOOKUP($B570,'4. CÀI ĐẶT'!$A$2:$H$32,6,FALSE)))</f>
        <v/>
      </c>
      <c r="J570" s="13">
        <f>IF($A570="","",EOMONTH($A570,0))</f>
        <v/>
      </c>
      <c r="K570" s="67">
        <f>IF($B570="",0,IF(LEFT($B570,1)="━",0,$C570*VLOOKUP($B570,'4. CÀI ĐẶT'!$A$2:$H$32,7,FALSE)))</f>
        <v/>
      </c>
    </row>
    <row r="571">
      <c r="A571" s="8" t="n"/>
      <c r="B571" s="9" t="n"/>
      <c r="C571" s="65" t="n"/>
      <c r="D571" s="9" t="n"/>
      <c r="E571" s="66">
        <f>IF($B571="","",IF(LEFT($B571,1)="━","⚠️ Chọn hạng mục cụ thể",$C571*VLOOKUP($B571,'4. CÀI ĐẶT'!$A$2:$H$32,2,FALSE)))</f>
        <v/>
      </c>
      <c r="F571" s="67">
        <f>IF($B571="",0,IF(LEFT($B571,1)="━",0,$C571*VLOOKUP($B571,'4. CÀI ĐẶT'!$A$2:$H$32,3,FALSE)))</f>
        <v/>
      </c>
      <c r="G571" s="67">
        <f>IF($B571="",0,IF(LEFT($B571,1)="━",0,$C571*VLOOKUP($B571,'4. CÀI ĐẶT'!$A$2:$H$32,4,FALSE)))</f>
        <v/>
      </c>
      <c r="H571" s="67">
        <f>IF($B571="",0,IF(LEFT($B571,1)="━",0,$C571*VLOOKUP($B571,'4. CÀI ĐẶT'!$A$2:$H$32,5,FALSE)))</f>
        <v/>
      </c>
      <c r="I571">
        <f>IF($B571="","",IF(LEFT($B571,1)="━","",VLOOKUP($B571,'4. CÀI ĐẶT'!$A$2:$H$32,6,FALSE)))</f>
        <v/>
      </c>
      <c r="J571" s="13">
        <f>IF($A571="","",EOMONTH($A571,0))</f>
        <v/>
      </c>
      <c r="K571" s="67">
        <f>IF($B571="",0,IF(LEFT($B571,1)="━",0,$C571*VLOOKUP($B571,'4. CÀI ĐẶT'!$A$2:$H$32,7,FALSE)))</f>
        <v/>
      </c>
    </row>
    <row r="572">
      <c r="A572" s="8" t="n"/>
      <c r="B572" s="9" t="n"/>
      <c r="C572" s="65" t="n"/>
      <c r="D572" s="9" t="n"/>
      <c r="E572" s="66">
        <f>IF($B572="","",IF(LEFT($B572,1)="━","⚠️ Chọn hạng mục cụ thể",$C572*VLOOKUP($B572,'4. CÀI ĐẶT'!$A$2:$H$32,2,FALSE)))</f>
        <v/>
      </c>
      <c r="F572" s="67">
        <f>IF($B572="",0,IF(LEFT($B572,1)="━",0,$C572*VLOOKUP($B572,'4. CÀI ĐẶT'!$A$2:$H$32,3,FALSE)))</f>
        <v/>
      </c>
      <c r="G572" s="67">
        <f>IF($B572="",0,IF(LEFT($B572,1)="━",0,$C572*VLOOKUP($B572,'4. CÀI ĐẶT'!$A$2:$H$32,4,FALSE)))</f>
        <v/>
      </c>
      <c r="H572" s="67">
        <f>IF($B572="",0,IF(LEFT($B572,1)="━",0,$C572*VLOOKUP($B572,'4. CÀI ĐẶT'!$A$2:$H$32,5,FALSE)))</f>
        <v/>
      </c>
      <c r="I572">
        <f>IF($B572="","",IF(LEFT($B572,1)="━","",VLOOKUP($B572,'4. CÀI ĐẶT'!$A$2:$H$32,6,FALSE)))</f>
        <v/>
      </c>
      <c r="J572" s="13">
        <f>IF($A572="","",EOMONTH($A572,0))</f>
        <v/>
      </c>
      <c r="K572" s="67">
        <f>IF($B572="",0,IF(LEFT($B572,1)="━",0,$C572*VLOOKUP($B572,'4. CÀI ĐẶT'!$A$2:$H$32,7,FALSE)))</f>
        <v/>
      </c>
    </row>
    <row r="573">
      <c r="A573" s="8" t="n"/>
      <c r="B573" s="9" t="n"/>
      <c r="C573" s="65" t="n"/>
      <c r="D573" s="9" t="n"/>
      <c r="E573" s="66">
        <f>IF($B573="","",IF(LEFT($B573,1)="━","⚠️ Chọn hạng mục cụ thể",$C573*VLOOKUP($B573,'4. CÀI ĐẶT'!$A$2:$H$32,2,FALSE)))</f>
        <v/>
      </c>
      <c r="F573" s="67">
        <f>IF($B573="",0,IF(LEFT($B573,1)="━",0,$C573*VLOOKUP($B573,'4. CÀI ĐẶT'!$A$2:$H$32,3,FALSE)))</f>
        <v/>
      </c>
      <c r="G573" s="67">
        <f>IF($B573="",0,IF(LEFT($B573,1)="━",0,$C573*VLOOKUP($B573,'4. CÀI ĐẶT'!$A$2:$H$32,4,FALSE)))</f>
        <v/>
      </c>
      <c r="H573" s="67">
        <f>IF($B573="",0,IF(LEFT($B573,1)="━",0,$C573*VLOOKUP($B573,'4. CÀI ĐẶT'!$A$2:$H$32,5,FALSE)))</f>
        <v/>
      </c>
      <c r="I573">
        <f>IF($B573="","",IF(LEFT($B573,1)="━","",VLOOKUP($B573,'4. CÀI ĐẶT'!$A$2:$H$32,6,FALSE)))</f>
        <v/>
      </c>
      <c r="J573" s="13">
        <f>IF($A573="","",EOMONTH($A573,0))</f>
        <v/>
      </c>
      <c r="K573" s="67">
        <f>IF($B573="",0,IF(LEFT($B573,1)="━",0,$C573*VLOOKUP($B573,'4. CÀI ĐẶT'!$A$2:$H$32,7,FALSE)))</f>
        <v/>
      </c>
    </row>
    <row r="574">
      <c r="A574" s="8" t="n"/>
      <c r="B574" s="9" t="n"/>
      <c r="C574" s="65" t="n"/>
      <c r="D574" s="9" t="n"/>
      <c r="E574" s="66">
        <f>IF($B574="","",IF(LEFT($B574,1)="━","⚠️ Chọn hạng mục cụ thể",$C574*VLOOKUP($B574,'4. CÀI ĐẶT'!$A$2:$H$32,2,FALSE)))</f>
        <v/>
      </c>
      <c r="F574" s="67">
        <f>IF($B574="",0,IF(LEFT($B574,1)="━",0,$C574*VLOOKUP($B574,'4. CÀI ĐẶT'!$A$2:$H$32,3,FALSE)))</f>
        <v/>
      </c>
      <c r="G574" s="67">
        <f>IF($B574="",0,IF(LEFT($B574,1)="━",0,$C574*VLOOKUP($B574,'4. CÀI ĐẶT'!$A$2:$H$32,4,FALSE)))</f>
        <v/>
      </c>
      <c r="H574" s="67">
        <f>IF($B574="",0,IF(LEFT($B574,1)="━",0,$C574*VLOOKUP($B574,'4. CÀI ĐẶT'!$A$2:$H$32,5,FALSE)))</f>
        <v/>
      </c>
      <c r="I574">
        <f>IF($B574="","",IF(LEFT($B574,1)="━","",VLOOKUP($B574,'4. CÀI ĐẶT'!$A$2:$H$32,6,FALSE)))</f>
        <v/>
      </c>
      <c r="J574" s="13">
        <f>IF($A574="","",EOMONTH($A574,0))</f>
        <v/>
      </c>
      <c r="K574" s="67">
        <f>IF($B574="",0,IF(LEFT($B574,1)="━",0,$C574*VLOOKUP($B574,'4. CÀI ĐẶT'!$A$2:$H$32,7,FALSE)))</f>
        <v/>
      </c>
    </row>
    <row r="575">
      <c r="A575" s="8" t="n"/>
      <c r="B575" s="9" t="n"/>
      <c r="C575" s="65" t="n"/>
      <c r="D575" s="9" t="n"/>
      <c r="E575" s="66">
        <f>IF($B575="","",IF(LEFT($B575,1)="━","⚠️ Chọn hạng mục cụ thể",$C575*VLOOKUP($B575,'4. CÀI ĐẶT'!$A$2:$H$32,2,FALSE)))</f>
        <v/>
      </c>
      <c r="F575" s="67">
        <f>IF($B575="",0,IF(LEFT($B575,1)="━",0,$C575*VLOOKUP($B575,'4. CÀI ĐẶT'!$A$2:$H$32,3,FALSE)))</f>
        <v/>
      </c>
      <c r="G575" s="67">
        <f>IF($B575="",0,IF(LEFT($B575,1)="━",0,$C575*VLOOKUP($B575,'4. CÀI ĐẶT'!$A$2:$H$32,4,FALSE)))</f>
        <v/>
      </c>
      <c r="H575" s="67">
        <f>IF($B575="",0,IF(LEFT($B575,1)="━",0,$C575*VLOOKUP($B575,'4. CÀI ĐẶT'!$A$2:$H$32,5,FALSE)))</f>
        <v/>
      </c>
      <c r="I575">
        <f>IF($B575="","",IF(LEFT($B575,1)="━","",VLOOKUP($B575,'4. CÀI ĐẶT'!$A$2:$H$32,6,FALSE)))</f>
        <v/>
      </c>
      <c r="J575" s="13">
        <f>IF($A575="","",EOMONTH($A575,0))</f>
        <v/>
      </c>
      <c r="K575" s="67">
        <f>IF($B575="",0,IF(LEFT($B575,1)="━",0,$C575*VLOOKUP($B575,'4. CÀI ĐẶT'!$A$2:$H$32,7,FALSE)))</f>
        <v/>
      </c>
    </row>
    <row r="576">
      <c r="A576" s="8" t="n"/>
      <c r="B576" s="9" t="n"/>
      <c r="C576" s="65" t="n"/>
      <c r="D576" s="9" t="n"/>
      <c r="E576" s="66">
        <f>IF($B576="","",IF(LEFT($B576,1)="━","⚠️ Chọn hạng mục cụ thể",$C576*VLOOKUP($B576,'4. CÀI ĐẶT'!$A$2:$H$32,2,FALSE)))</f>
        <v/>
      </c>
      <c r="F576" s="67">
        <f>IF($B576="",0,IF(LEFT($B576,1)="━",0,$C576*VLOOKUP($B576,'4. CÀI ĐẶT'!$A$2:$H$32,3,FALSE)))</f>
        <v/>
      </c>
      <c r="G576" s="67">
        <f>IF($B576="",0,IF(LEFT($B576,1)="━",0,$C576*VLOOKUP($B576,'4. CÀI ĐẶT'!$A$2:$H$32,4,FALSE)))</f>
        <v/>
      </c>
      <c r="H576" s="67">
        <f>IF($B576="",0,IF(LEFT($B576,1)="━",0,$C576*VLOOKUP($B576,'4. CÀI ĐẶT'!$A$2:$H$32,5,FALSE)))</f>
        <v/>
      </c>
      <c r="I576">
        <f>IF($B576="","",IF(LEFT($B576,1)="━","",VLOOKUP($B576,'4. CÀI ĐẶT'!$A$2:$H$32,6,FALSE)))</f>
        <v/>
      </c>
      <c r="J576" s="13">
        <f>IF($A576="","",EOMONTH($A576,0))</f>
        <v/>
      </c>
      <c r="K576" s="67">
        <f>IF($B576="",0,IF(LEFT($B576,1)="━",0,$C576*VLOOKUP($B576,'4. CÀI ĐẶT'!$A$2:$H$32,7,FALSE)))</f>
        <v/>
      </c>
    </row>
    <row r="577">
      <c r="A577" s="8" t="n"/>
      <c r="B577" s="9" t="n"/>
      <c r="C577" s="65" t="n"/>
      <c r="D577" s="9" t="n"/>
      <c r="E577" s="66">
        <f>IF($B577="","",IF(LEFT($B577,1)="━","⚠️ Chọn hạng mục cụ thể",$C577*VLOOKUP($B577,'4. CÀI ĐẶT'!$A$2:$H$32,2,FALSE)))</f>
        <v/>
      </c>
      <c r="F577" s="67">
        <f>IF($B577="",0,IF(LEFT($B577,1)="━",0,$C577*VLOOKUP($B577,'4. CÀI ĐẶT'!$A$2:$H$32,3,FALSE)))</f>
        <v/>
      </c>
      <c r="G577" s="67">
        <f>IF($B577="",0,IF(LEFT($B577,1)="━",0,$C577*VLOOKUP($B577,'4. CÀI ĐẶT'!$A$2:$H$32,4,FALSE)))</f>
        <v/>
      </c>
      <c r="H577" s="67">
        <f>IF($B577="",0,IF(LEFT($B577,1)="━",0,$C577*VLOOKUP($B577,'4. CÀI ĐẶT'!$A$2:$H$32,5,FALSE)))</f>
        <v/>
      </c>
      <c r="I577">
        <f>IF($B577="","",IF(LEFT($B577,1)="━","",VLOOKUP($B577,'4. CÀI ĐẶT'!$A$2:$H$32,6,FALSE)))</f>
        <v/>
      </c>
      <c r="J577" s="13">
        <f>IF($A577="","",EOMONTH($A577,0))</f>
        <v/>
      </c>
      <c r="K577" s="67">
        <f>IF($B577="",0,IF(LEFT($B577,1)="━",0,$C577*VLOOKUP($B577,'4. CÀI ĐẶT'!$A$2:$H$32,7,FALSE)))</f>
        <v/>
      </c>
    </row>
    <row r="578">
      <c r="A578" s="8" t="n"/>
      <c r="B578" s="9" t="n"/>
      <c r="C578" s="65" t="n"/>
      <c r="D578" s="9" t="n"/>
      <c r="E578" s="66">
        <f>IF($B578="","",IF(LEFT($B578,1)="━","⚠️ Chọn hạng mục cụ thể",$C578*VLOOKUP($B578,'4. CÀI ĐẶT'!$A$2:$H$32,2,FALSE)))</f>
        <v/>
      </c>
      <c r="F578" s="67">
        <f>IF($B578="",0,IF(LEFT($B578,1)="━",0,$C578*VLOOKUP($B578,'4. CÀI ĐẶT'!$A$2:$H$32,3,FALSE)))</f>
        <v/>
      </c>
      <c r="G578" s="67">
        <f>IF($B578="",0,IF(LEFT($B578,1)="━",0,$C578*VLOOKUP($B578,'4. CÀI ĐẶT'!$A$2:$H$32,4,FALSE)))</f>
        <v/>
      </c>
      <c r="H578" s="67">
        <f>IF($B578="",0,IF(LEFT($B578,1)="━",0,$C578*VLOOKUP($B578,'4. CÀI ĐẶT'!$A$2:$H$32,5,FALSE)))</f>
        <v/>
      </c>
      <c r="I578">
        <f>IF($B578="","",IF(LEFT($B578,1)="━","",VLOOKUP($B578,'4. CÀI ĐẶT'!$A$2:$H$32,6,FALSE)))</f>
        <v/>
      </c>
      <c r="J578" s="13">
        <f>IF($A578="","",EOMONTH($A578,0))</f>
        <v/>
      </c>
      <c r="K578" s="67">
        <f>IF($B578="",0,IF(LEFT($B578,1)="━",0,$C578*VLOOKUP($B578,'4. CÀI ĐẶT'!$A$2:$H$32,7,FALSE)))</f>
        <v/>
      </c>
    </row>
    <row r="579">
      <c r="A579" s="8" t="n"/>
      <c r="B579" s="9" t="n"/>
      <c r="C579" s="65" t="n"/>
      <c r="D579" s="9" t="n"/>
      <c r="E579" s="66">
        <f>IF($B579="","",IF(LEFT($B579,1)="━","⚠️ Chọn hạng mục cụ thể",$C579*VLOOKUP($B579,'4. CÀI ĐẶT'!$A$2:$H$32,2,FALSE)))</f>
        <v/>
      </c>
      <c r="F579" s="67">
        <f>IF($B579="",0,IF(LEFT($B579,1)="━",0,$C579*VLOOKUP($B579,'4. CÀI ĐẶT'!$A$2:$H$32,3,FALSE)))</f>
        <v/>
      </c>
      <c r="G579" s="67">
        <f>IF($B579="",0,IF(LEFT($B579,1)="━",0,$C579*VLOOKUP($B579,'4. CÀI ĐẶT'!$A$2:$H$32,4,FALSE)))</f>
        <v/>
      </c>
      <c r="H579" s="67">
        <f>IF($B579="",0,IF(LEFT($B579,1)="━",0,$C579*VLOOKUP($B579,'4. CÀI ĐẶT'!$A$2:$H$32,5,FALSE)))</f>
        <v/>
      </c>
      <c r="I579">
        <f>IF($B579="","",IF(LEFT($B579,1)="━","",VLOOKUP($B579,'4. CÀI ĐẶT'!$A$2:$H$32,6,FALSE)))</f>
        <v/>
      </c>
      <c r="J579" s="13">
        <f>IF($A579="","",EOMONTH($A579,0))</f>
        <v/>
      </c>
      <c r="K579" s="67">
        <f>IF($B579="",0,IF(LEFT($B579,1)="━",0,$C579*VLOOKUP($B579,'4. CÀI ĐẶT'!$A$2:$H$32,7,FALSE)))</f>
        <v/>
      </c>
    </row>
    <row r="580">
      <c r="A580" s="8" t="n"/>
      <c r="B580" s="9" t="n"/>
      <c r="C580" s="65" t="n"/>
      <c r="D580" s="9" t="n"/>
      <c r="E580" s="66">
        <f>IF($B580="","",IF(LEFT($B580,1)="━","⚠️ Chọn hạng mục cụ thể",$C580*VLOOKUP($B580,'4. CÀI ĐẶT'!$A$2:$H$32,2,FALSE)))</f>
        <v/>
      </c>
      <c r="F580" s="67">
        <f>IF($B580="",0,IF(LEFT($B580,1)="━",0,$C580*VLOOKUP($B580,'4. CÀI ĐẶT'!$A$2:$H$32,3,FALSE)))</f>
        <v/>
      </c>
      <c r="G580" s="67">
        <f>IF($B580="",0,IF(LEFT($B580,1)="━",0,$C580*VLOOKUP($B580,'4. CÀI ĐẶT'!$A$2:$H$32,4,FALSE)))</f>
        <v/>
      </c>
      <c r="H580" s="67">
        <f>IF($B580="",0,IF(LEFT($B580,1)="━",0,$C580*VLOOKUP($B580,'4. CÀI ĐẶT'!$A$2:$H$32,5,FALSE)))</f>
        <v/>
      </c>
      <c r="I580">
        <f>IF($B580="","",IF(LEFT($B580,1)="━","",VLOOKUP($B580,'4. CÀI ĐẶT'!$A$2:$H$32,6,FALSE)))</f>
        <v/>
      </c>
      <c r="J580" s="13">
        <f>IF($A580="","",EOMONTH($A580,0))</f>
        <v/>
      </c>
      <c r="K580" s="67">
        <f>IF($B580="",0,IF(LEFT($B580,1)="━",0,$C580*VLOOKUP($B580,'4. CÀI ĐẶT'!$A$2:$H$32,7,FALSE)))</f>
        <v/>
      </c>
    </row>
    <row r="581">
      <c r="A581" s="8" t="n"/>
      <c r="B581" s="9" t="n"/>
      <c r="C581" s="65" t="n"/>
      <c r="D581" s="9" t="n"/>
      <c r="E581" s="66">
        <f>IF($B581="","",IF(LEFT($B581,1)="━","⚠️ Chọn hạng mục cụ thể",$C581*VLOOKUP($B581,'4. CÀI ĐẶT'!$A$2:$H$32,2,FALSE)))</f>
        <v/>
      </c>
      <c r="F581" s="67">
        <f>IF($B581="",0,IF(LEFT($B581,1)="━",0,$C581*VLOOKUP($B581,'4. CÀI ĐẶT'!$A$2:$H$32,3,FALSE)))</f>
        <v/>
      </c>
      <c r="G581" s="67">
        <f>IF($B581="",0,IF(LEFT($B581,1)="━",0,$C581*VLOOKUP($B581,'4. CÀI ĐẶT'!$A$2:$H$32,4,FALSE)))</f>
        <v/>
      </c>
      <c r="H581" s="67">
        <f>IF($B581="",0,IF(LEFT($B581,1)="━",0,$C581*VLOOKUP($B581,'4. CÀI ĐẶT'!$A$2:$H$32,5,FALSE)))</f>
        <v/>
      </c>
      <c r="I581">
        <f>IF($B581="","",IF(LEFT($B581,1)="━","",VLOOKUP($B581,'4. CÀI ĐẶT'!$A$2:$H$32,6,FALSE)))</f>
        <v/>
      </c>
      <c r="J581" s="13">
        <f>IF($A581="","",EOMONTH($A581,0))</f>
        <v/>
      </c>
      <c r="K581" s="67">
        <f>IF($B581="",0,IF(LEFT($B581,1)="━",0,$C581*VLOOKUP($B581,'4. CÀI ĐẶT'!$A$2:$H$32,7,FALSE)))</f>
        <v/>
      </c>
    </row>
    <row r="582">
      <c r="A582" s="8" t="n"/>
      <c r="B582" s="9" t="n"/>
      <c r="C582" s="65" t="n"/>
      <c r="D582" s="9" t="n"/>
      <c r="E582" s="66">
        <f>IF($B582="","",IF(LEFT($B582,1)="━","⚠️ Chọn hạng mục cụ thể",$C582*VLOOKUP($B582,'4. CÀI ĐẶT'!$A$2:$H$32,2,FALSE)))</f>
        <v/>
      </c>
      <c r="F582" s="67">
        <f>IF($B582="",0,IF(LEFT($B582,1)="━",0,$C582*VLOOKUP($B582,'4. CÀI ĐẶT'!$A$2:$H$32,3,FALSE)))</f>
        <v/>
      </c>
      <c r="G582" s="67">
        <f>IF($B582="",0,IF(LEFT($B582,1)="━",0,$C582*VLOOKUP($B582,'4. CÀI ĐẶT'!$A$2:$H$32,4,FALSE)))</f>
        <v/>
      </c>
      <c r="H582" s="67">
        <f>IF($B582="",0,IF(LEFT($B582,1)="━",0,$C582*VLOOKUP($B582,'4. CÀI ĐẶT'!$A$2:$H$32,5,FALSE)))</f>
        <v/>
      </c>
      <c r="I582">
        <f>IF($B582="","",IF(LEFT($B582,1)="━","",VLOOKUP($B582,'4. CÀI ĐẶT'!$A$2:$H$32,6,FALSE)))</f>
        <v/>
      </c>
      <c r="J582" s="13">
        <f>IF($A582="","",EOMONTH($A582,0))</f>
        <v/>
      </c>
      <c r="K582" s="67">
        <f>IF($B582="",0,IF(LEFT($B582,1)="━",0,$C582*VLOOKUP($B582,'4. CÀI ĐẶT'!$A$2:$H$32,7,FALSE)))</f>
        <v/>
      </c>
    </row>
    <row r="583">
      <c r="A583" s="8" t="n"/>
      <c r="B583" s="9" t="n"/>
      <c r="C583" s="65" t="n"/>
      <c r="D583" s="9" t="n"/>
      <c r="E583" s="66">
        <f>IF($B583="","",IF(LEFT($B583,1)="━","⚠️ Chọn hạng mục cụ thể",$C583*VLOOKUP($B583,'4. CÀI ĐẶT'!$A$2:$H$32,2,FALSE)))</f>
        <v/>
      </c>
      <c r="F583" s="67">
        <f>IF($B583="",0,IF(LEFT($B583,1)="━",0,$C583*VLOOKUP($B583,'4. CÀI ĐẶT'!$A$2:$H$32,3,FALSE)))</f>
        <v/>
      </c>
      <c r="G583" s="67">
        <f>IF($B583="",0,IF(LEFT($B583,1)="━",0,$C583*VLOOKUP($B583,'4. CÀI ĐẶT'!$A$2:$H$32,4,FALSE)))</f>
        <v/>
      </c>
      <c r="H583" s="67">
        <f>IF($B583="",0,IF(LEFT($B583,1)="━",0,$C583*VLOOKUP($B583,'4. CÀI ĐẶT'!$A$2:$H$32,5,FALSE)))</f>
        <v/>
      </c>
      <c r="I583">
        <f>IF($B583="","",IF(LEFT($B583,1)="━","",VLOOKUP($B583,'4. CÀI ĐẶT'!$A$2:$H$32,6,FALSE)))</f>
        <v/>
      </c>
      <c r="J583" s="13">
        <f>IF($A583="","",EOMONTH($A583,0))</f>
        <v/>
      </c>
      <c r="K583" s="67">
        <f>IF($B583="",0,IF(LEFT($B583,1)="━",0,$C583*VLOOKUP($B583,'4. CÀI ĐẶT'!$A$2:$H$32,7,FALSE)))</f>
        <v/>
      </c>
    </row>
    <row r="584">
      <c r="A584" s="8" t="n"/>
      <c r="B584" s="9" t="n"/>
      <c r="C584" s="65" t="n"/>
      <c r="D584" s="9" t="n"/>
      <c r="E584" s="66">
        <f>IF($B584="","",IF(LEFT($B584,1)="━","⚠️ Chọn hạng mục cụ thể",$C584*VLOOKUP($B584,'4. CÀI ĐẶT'!$A$2:$H$32,2,FALSE)))</f>
        <v/>
      </c>
      <c r="F584" s="67">
        <f>IF($B584="",0,IF(LEFT($B584,1)="━",0,$C584*VLOOKUP($B584,'4. CÀI ĐẶT'!$A$2:$H$32,3,FALSE)))</f>
        <v/>
      </c>
      <c r="G584" s="67">
        <f>IF($B584="",0,IF(LEFT($B584,1)="━",0,$C584*VLOOKUP($B584,'4. CÀI ĐẶT'!$A$2:$H$32,4,FALSE)))</f>
        <v/>
      </c>
      <c r="H584" s="67">
        <f>IF($B584="",0,IF(LEFT($B584,1)="━",0,$C584*VLOOKUP($B584,'4. CÀI ĐẶT'!$A$2:$H$32,5,FALSE)))</f>
        <v/>
      </c>
      <c r="I584">
        <f>IF($B584="","",IF(LEFT($B584,1)="━","",VLOOKUP($B584,'4. CÀI ĐẶT'!$A$2:$H$32,6,FALSE)))</f>
        <v/>
      </c>
      <c r="J584" s="13">
        <f>IF($A584="","",EOMONTH($A584,0))</f>
        <v/>
      </c>
      <c r="K584" s="67">
        <f>IF($B584="",0,IF(LEFT($B584,1)="━",0,$C584*VLOOKUP($B584,'4. CÀI ĐẶT'!$A$2:$H$32,7,FALSE)))</f>
        <v/>
      </c>
    </row>
    <row r="585">
      <c r="A585" s="8" t="n"/>
      <c r="B585" s="9" t="n"/>
      <c r="C585" s="65" t="n"/>
      <c r="D585" s="9" t="n"/>
      <c r="E585" s="66">
        <f>IF($B585="","",IF(LEFT($B585,1)="━","⚠️ Chọn hạng mục cụ thể",$C585*VLOOKUP($B585,'4. CÀI ĐẶT'!$A$2:$H$32,2,FALSE)))</f>
        <v/>
      </c>
      <c r="F585" s="67">
        <f>IF($B585="",0,IF(LEFT($B585,1)="━",0,$C585*VLOOKUP($B585,'4. CÀI ĐẶT'!$A$2:$H$32,3,FALSE)))</f>
        <v/>
      </c>
      <c r="G585" s="67">
        <f>IF($B585="",0,IF(LEFT($B585,1)="━",0,$C585*VLOOKUP($B585,'4. CÀI ĐẶT'!$A$2:$H$32,4,FALSE)))</f>
        <v/>
      </c>
      <c r="H585" s="67">
        <f>IF($B585="",0,IF(LEFT($B585,1)="━",0,$C585*VLOOKUP($B585,'4. CÀI ĐẶT'!$A$2:$H$32,5,FALSE)))</f>
        <v/>
      </c>
      <c r="I585">
        <f>IF($B585="","",IF(LEFT($B585,1)="━","",VLOOKUP($B585,'4. CÀI ĐẶT'!$A$2:$H$32,6,FALSE)))</f>
        <v/>
      </c>
      <c r="J585" s="13">
        <f>IF($A585="","",EOMONTH($A585,0))</f>
        <v/>
      </c>
      <c r="K585" s="67">
        <f>IF($B585="",0,IF(LEFT($B585,1)="━",0,$C585*VLOOKUP($B585,'4. CÀI ĐẶT'!$A$2:$H$32,7,FALSE)))</f>
        <v/>
      </c>
    </row>
    <row r="586">
      <c r="A586" s="8" t="n"/>
      <c r="B586" s="9" t="n"/>
      <c r="C586" s="65" t="n"/>
      <c r="D586" s="9" t="n"/>
      <c r="E586" s="66">
        <f>IF($B586="","",IF(LEFT($B586,1)="━","⚠️ Chọn hạng mục cụ thể",$C586*VLOOKUP($B586,'4. CÀI ĐẶT'!$A$2:$H$32,2,FALSE)))</f>
        <v/>
      </c>
      <c r="F586" s="67">
        <f>IF($B586="",0,IF(LEFT($B586,1)="━",0,$C586*VLOOKUP($B586,'4. CÀI ĐẶT'!$A$2:$H$32,3,FALSE)))</f>
        <v/>
      </c>
      <c r="G586" s="67">
        <f>IF($B586="",0,IF(LEFT($B586,1)="━",0,$C586*VLOOKUP($B586,'4. CÀI ĐẶT'!$A$2:$H$32,4,FALSE)))</f>
        <v/>
      </c>
      <c r="H586" s="67">
        <f>IF($B586="",0,IF(LEFT($B586,1)="━",0,$C586*VLOOKUP($B586,'4. CÀI ĐẶT'!$A$2:$H$32,5,FALSE)))</f>
        <v/>
      </c>
      <c r="I586">
        <f>IF($B586="","",IF(LEFT($B586,1)="━","",VLOOKUP($B586,'4. CÀI ĐẶT'!$A$2:$H$32,6,FALSE)))</f>
        <v/>
      </c>
      <c r="J586" s="13">
        <f>IF($A586="","",EOMONTH($A586,0))</f>
        <v/>
      </c>
      <c r="K586" s="67">
        <f>IF($B586="",0,IF(LEFT($B586,1)="━",0,$C586*VLOOKUP($B586,'4. CÀI ĐẶT'!$A$2:$H$32,7,FALSE)))</f>
        <v/>
      </c>
    </row>
    <row r="587">
      <c r="A587" s="8" t="n"/>
      <c r="B587" s="9" t="n"/>
      <c r="C587" s="65" t="n"/>
      <c r="D587" s="9" t="n"/>
      <c r="E587" s="66">
        <f>IF($B587="","",IF(LEFT($B587,1)="━","⚠️ Chọn hạng mục cụ thể",$C587*VLOOKUP($B587,'4. CÀI ĐẶT'!$A$2:$H$32,2,FALSE)))</f>
        <v/>
      </c>
      <c r="F587" s="67">
        <f>IF($B587="",0,IF(LEFT($B587,1)="━",0,$C587*VLOOKUP($B587,'4. CÀI ĐẶT'!$A$2:$H$32,3,FALSE)))</f>
        <v/>
      </c>
      <c r="G587" s="67">
        <f>IF($B587="",0,IF(LEFT($B587,1)="━",0,$C587*VLOOKUP($B587,'4. CÀI ĐẶT'!$A$2:$H$32,4,FALSE)))</f>
        <v/>
      </c>
      <c r="H587" s="67">
        <f>IF($B587="",0,IF(LEFT($B587,1)="━",0,$C587*VLOOKUP($B587,'4. CÀI ĐẶT'!$A$2:$H$32,5,FALSE)))</f>
        <v/>
      </c>
      <c r="I587">
        <f>IF($B587="","",IF(LEFT($B587,1)="━","",VLOOKUP($B587,'4. CÀI ĐẶT'!$A$2:$H$32,6,FALSE)))</f>
        <v/>
      </c>
      <c r="J587" s="13">
        <f>IF($A587="","",EOMONTH($A587,0))</f>
        <v/>
      </c>
      <c r="K587" s="67">
        <f>IF($B587="",0,IF(LEFT($B587,1)="━",0,$C587*VLOOKUP($B587,'4. CÀI ĐẶT'!$A$2:$H$32,7,FALSE)))</f>
        <v/>
      </c>
    </row>
    <row r="588">
      <c r="A588" s="8" t="n"/>
      <c r="B588" s="9" t="n"/>
      <c r="C588" s="65" t="n"/>
      <c r="D588" s="9" t="n"/>
      <c r="E588" s="66">
        <f>IF($B588="","",IF(LEFT($B588,1)="━","⚠️ Chọn hạng mục cụ thể",$C588*VLOOKUP($B588,'4. CÀI ĐẶT'!$A$2:$H$32,2,FALSE)))</f>
        <v/>
      </c>
      <c r="F588" s="67">
        <f>IF($B588="",0,IF(LEFT($B588,1)="━",0,$C588*VLOOKUP($B588,'4. CÀI ĐẶT'!$A$2:$H$32,3,FALSE)))</f>
        <v/>
      </c>
      <c r="G588" s="67">
        <f>IF($B588="",0,IF(LEFT($B588,1)="━",0,$C588*VLOOKUP($B588,'4. CÀI ĐẶT'!$A$2:$H$32,4,FALSE)))</f>
        <v/>
      </c>
      <c r="H588" s="67">
        <f>IF($B588="",0,IF(LEFT($B588,1)="━",0,$C588*VLOOKUP($B588,'4. CÀI ĐẶT'!$A$2:$H$32,5,FALSE)))</f>
        <v/>
      </c>
      <c r="I588">
        <f>IF($B588="","",IF(LEFT($B588,1)="━","",VLOOKUP($B588,'4. CÀI ĐẶT'!$A$2:$H$32,6,FALSE)))</f>
        <v/>
      </c>
      <c r="J588" s="13">
        <f>IF($A588="","",EOMONTH($A588,0))</f>
        <v/>
      </c>
      <c r="K588" s="67">
        <f>IF($B588="",0,IF(LEFT($B588,1)="━",0,$C588*VLOOKUP($B588,'4. CÀI ĐẶT'!$A$2:$H$32,7,FALSE)))</f>
        <v/>
      </c>
    </row>
    <row r="589">
      <c r="A589" s="8" t="n"/>
      <c r="B589" s="9" t="n"/>
      <c r="C589" s="65" t="n"/>
      <c r="D589" s="9" t="n"/>
      <c r="E589" s="66">
        <f>IF($B589="","",IF(LEFT($B589,1)="━","⚠️ Chọn hạng mục cụ thể",$C589*VLOOKUP($B589,'4. CÀI ĐẶT'!$A$2:$H$32,2,FALSE)))</f>
        <v/>
      </c>
      <c r="F589" s="67">
        <f>IF($B589="",0,IF(LEFT($B589,1)="━",0,$C589*VLOOKUP($B589,'4. CÀI ĐẶT'!$A$2:$H$32,3,FALSE)))</f>
        <v/>
      </c>
      <c r="G589" s="67">
        <f>IF($B589="",0,IF(LEFT($B589,1)="━",0,$C589*VLOOKUP($B589,'4. CÀI ĐẶT'!$A$2:$H$32,4,FALSE)))</f>
        <v/>
      </c>
      <c r="H589" s="67">
        <f>IF($B589="",0,IF(LEFT($B589,1)="━",0,$C589*VLOOKUP($B589,'4. CÀI ĐẶT'!$A$2:$H$32,5,FALSE)))</f>
        <v/>
      </c>
      <c r="I589">
        <f>IF($B589="","",IF(LEFT($B589,1)="━","",VLOOKUP($B589,'4. CÀI ĐẶT'!$A$2:$H$32,6,FALSE)))</f>
        <v/>
      </c>
      <c r="J589" s="13">
        <f>IF($A589="","",EOMONTH($A589,0))</f>
        <v/>
      </c>
      <c r="K589" s="67">
        <f>IF($B589="",0,IF(LEFT($B589,1)="━",0,$C589*VLOOKUP($B589,'4. CÀI ĐẶT'!$A$2:$H$32,7,FALSE)))</f>
        <v/>
      </c>
    </row>
    <row r="590">
      <c r="A590" s="8" t="n"/>
      <c r="B590" s="9" t="n"/>
      <c r="C590" s="65" t="n"/>
      <c r="D590" s="9" t="n"/>
      <c r="E590" s="66">
        <f>IF($B590="","",IF(LEFT($B590,1)="━","⚠️ Chọn hạng mục cụ thể",$C590*VLOOKUP($B590,'4. CÀI ĐẶT'!$A$2:$H$32,2,FALSE)))</f>
        <v/>
      </c>
      <c r="F590" s="67">
        <f>IF($B590="",0,IF(LEFT($B590,1)="━",0,$C590*VLOOKUP($B590,'4. CÀI ĐẶT'!$A$2:$H$32,3,FALSE)))</f>
        <v/>
      </c>
      <c r="G590" s="67">
        <f>IF($B590="",0,IF(LEFT($B590,1)="━",0,$C590*VLOOKUP($B590,'4. CÀI ĐẶT'!$A$2:$H$32,4,FALSE)))</f>
        <v/>
      </c>
      <c r="H590" s="67">
        <f>IF($B590="",0,IF(LEFT($B590,1)="━",0,$C590*VLOOKUP($B590,'4. CÀI ĐẶT'!$A$2:$H$32,5,FALSE)))</f>
        <v/>
      </c>
      <c r="I590">
        <f>IF($B590="","",IF(LEFT($B590,1)="━","",VLOOKUP($B590,'4. CÀI ĐẶT'!$A$2:$H$32,6,FALSE)))</f>
        <v/>
      </c>
      <c r="J590" s="13">
        <f>IF($A590="","",EOMONTH($A590,0))</f>
        <v/>
      </c>
      <c r="K590" s="67">
        <f>IF($B590="",0,IF(LEFT($B590,1)="━",0,$C590*VLOOKUP($B590,'4. CÀI ĐẶT'!$A$2:$H$32,7,FALSE)))</f>
        <v/>
      </c>
    </row>
    <row r="591">
      <c r="A591" s="8" t="n"/>
      <c r="B591" s="9" t="n"/>
      <c r="C591" s="65" t="n"/>
      <c r="D591" s="9" t="n"/>
      <c r="E591" s="66">
        <f>IF($B591="","",IF(LEFT($B591,1)="━","⚠️ Chọn hạng mục cụ thể",$C591*VLOOKUP($B591,'4. CÀI ĐẶT'!$A$2:$H$32,2,FALSE)))</f>
        <v/>
      </c>
      <c r="F591" s="67">
        <f>IF($B591="",0,IF(LEFT($B591,1)="━",0,$C591*VLOOKUP($B591,'4. CÀI ĐẶT'!$A$2:$H$32,3,FALSE)))</f>
        <v/>
      </c>
      <c r="G591" s="67">
        <f>IF($B591="",0,IF(LEFT($B591,1)="━",0,$C591*VLOOKUP($B591,'4. CÀI ĐẶT'!$A$2:$H$32,4,FALSE)))</f>
        <v/>
      </c>
      <c r="H591" s="67">
        <f>IF($B591="",0,IF(LEFT($B591,1)="━",0,$C591*VLOOKUP($B591,'4. CÀI ĐẶT'!$A$2:$H$32,5,FALSE)))</f>
        <v/>
      </c>
      <c r="I591">
        <f>IF($B591="","",IF(LEFT($B591,1)="━","",VLOOKUP($B591,'4. CÀI ĐẶT'!$A$2:$H$32,6,FALSE)))</f>
        <v/>
      </c>
      <c r="J591" s="13">
        <f>IF($A591="","",EOMONTH($A591,0))</f>
        <v/>
      </c>
      <c r="K591" s="67">
        <f>IF($B591="",0,IF(LEFT($B591,1)="━",0,$C591*VLOOKUP($B591,'4. CÀI ĐẶT'!$A$2:$H$32,7,FALSE)))</f>
        <v/>
      </c>
    </row>
    <row r="592">
      <c r="A592" s="8" t="n"/>
      <c r="B592" s="9" t="n"/>
      <c r="C592" s="65" t="n"/>
      <c r="D592" s="9" t="n"/>
      <c r="E592" s="66">
        <f>IF($B592="","",IF(LEFT($B592,1)="━","⚠️ Chọn hạng mục cụ thể",$C592*VLOOKUP($B592,'4. CÀI ĐẶT'!$A$2:$H$32,2,FALSE)))</f>
        <v/>
      </c>
      <c r="F592" s="67">
        <f>IF($B592="",0,IF(LEFT($B592,1)="━",0,$C592*VLOOKUP($B592,'4. CÀI ĐẶT'!$A$2:$H$32,3,FALSE)))</f>
        <v/>
      </c>
      <c r="G592" s="67">
        <f>IF($B592="",0,IF(LEFT($B592,1)="━",0,$C592*VLOOKUP($B592,'4. CÀI ĐẶT'!$A$2:$H$32,4,FALSE)))</f>
        <v/>
      </c>
      <c r="H592" s="67">
        <f>IF($B592="",0,IF(LEFT($B592,1)="━",0,$C592*VLOOKUP($B592,'4. CÀI ĐẶT'!$A$2:$H$32,5,FALSE)))</f>
        <v/>
      </c>
      <c r="I592">
        <f>IF($B592="","",IF(LEFT($B592,1)="━","",VLOOKUP($B592,'4. CÀI ĐẶT'!$A$2:$H$32,6,FALSE)))</f>
        <v/>
      </c>
      <c r="J592" s="13">
        <f>IF($A592="","",EOMONTH($A592,0))</f>
        <v/>
      </c>
      <c r="K592" s="67">
        <f>IF($B592="",0,IF(LEFT($B592,1)="━",0,$C592*VLOOKUP($B592,'4. CÀI ĐẶT'!$A$2:$H$32,7,FALSE)))</f>
        <v/>
      </c>
    </row>
    <row r="593">
      <c r="A593" s="8" t="n"/>
      <c r="B593" s="9" t="n"/>
      <c r="C593" s="65" t="n"/>
      <c r="D593" s="9" t="n"/>
      <c r="E593" s="66">
        <f>IF($B593="","",IF(LEFT($B593,1)="━","⚠️ Chọn hạng mục cụ thể",$C593*VLOOKUP($B593,'4. CÀI ĐẶT'!$A$2:$H$32,2,FALSE)))</f>
        <v/>
      </c>
      <c r="F593" s="67">
        <f>IF($B593="",0,IF(LEFT($B593,1)="━",0,$C593*VLOOKUP($B593,'4. CÀI ĐẶT'!$A$2:$H$32,3,FALSE)))</f>
        <v/>
      </c>
      <c r="G593" s="67">
        <f>IF($B593="",0,IF(LEFT($B593,1)="━",0,$C593*VLOOKUP($B593,'4. CÀI ĐẶT'!$A$2:$H$32,4,FALSE)))</f>
        <v/>
      </c>
      <c r="H593" s="67">
        <f>IF($B593="",0,IF(LEFT($B593,1)="━",0,$C593*VLOOKUP($B593,'4. CÀI ĐẶT'!$A$2:$H$32,5,FALSE)))</f>
        <v/>
      </c>
      <c r="I593">
        <f>IF($B593="","",IF(LEFT($B593,1)="━","",VLOOKUP($B593,'4. CÀI ĐẶT'!$A$2:$H$32,6,FALSE)))</f>
        <v/>
      </c>
      <c r="J593" s="13">
        <f>IF($A593="","",EOMONTH($A593,0))</f>
        <v/>
      </c>
      <c r="K593" s="67">
        <f>IF($B593="",0,IF(LEFT($B593,1)="━",0,$C593*VLOOKUP($B593,'4. CÀI ĐẶT'!$A$2:$H$32,7,FALSE)))</f>
        <v/>
      </c>
    </row>
    <row r="594">
      <c r="A594" s="8" t="n"/>
      <c r="B594" s="9" t="n"/>
      <c r="C594" s="65" t="n"/>
      <c r="D594" s="9" t="n"/>
      <c r="E594" s="66">
        <f>IF($B594="","",IF(LEFT($B594,1)="━","⚠️ Chọn hạng mục cụ thể",$C594*VLOOKUP($B594,'4. CÀI ĐẶT'!$A$2:$H$32,2,FALSE)))</f>
        <v/>
      </c>
      <c r="F594" s="67">
        <f>IF($B594="",0,IF(LEFT($B594,1)="━",0,$C594*VLOOKUP($B594,'4. CÀI ĐẶT'!$A$2:$H$32,3,FALSE)))</f>
        <v/>
      </c>
      <c r="G594" s="67">
        <f>IF($B594="",0,IF(LEFT($B594,1)="━",0,$C594*VLOOKUP($B594,'4. CÀI ĐẶT'!$A$2:$H$32,4,FALSE)))</f>
        <v/>
      </c>
      <c r="H594" s="67">
        <f>IF($B594="",0,IF(LEFT($B594,1)="━",0,$C594*VLOOKUP($B594,'4. CÀI ĐẶT'!$A$2:$H$32,5,FALSE)))</f>
        <v/>
      </c>
      <c r="I594">
        <f>IF($B594="","",IF(LEFT($B594,1)="━","",VLOOKUP($B594,'4. CÀI ĐẶT'!$A$2:$H$32,6,FALSE)))</f>
        <v/>
      </c>
      <c r="J594" s="13">
        <f>IF($A594="","",EOMONTH($A594,0))</f>
        <v/>
      </c>
      <c r="K594" s="67">
        <f>IF($B594="",0,IF(LEFT($B594,1)="━",0,$C594*VLOOKUP($B594,'4. CÀI ĐẶT'!$A$2:$H$32,7,FALSE)))</f>
        <v/>
      </c>
    </row>
    <row r="595">
      <c r="A595" s="8" t="n"/>
      <c r="B595" s="9" t="n"/>
      <c r="C595" s="65" t="n"/>
      <c r="D595" s="9" t="n"/>
      <c r="E595" s="66">
        <f>IF($B595="","",IF(LEFT($B595,1)="━","⚠️ Chọn hạng mục cụ thể",$C595*VLOOKUP($B595,'4. CÀI ĐẶT'!$A$2:$H$32,2,FALSE)))</f>
        <v/>
      </c>
      <c r="F595" s="67">
        <f>IF($B595="",0,IF(LEFT($B595,1)="━",0,$C595*VLOOKUP($B595,'4. CÀI ĐẶT'!$A$2:$H$32,3,FALSE)))</f>
        <v/>
      </c>
      <c r="G595" s="67">
        <f>IF($B595="",0,IF(LEFT($B595,1)="━",0,$C595*VLOOKUP($B595,'4. CÀI ĐẶT'!$A$2:$H$32,4,FALSE)))</f>
        <v/>
      </c>
      <c r="H595" s="67">
        <f>IF($B595="",0,IF(LEFT($B595,1)="━",0,$C595*VLOOKUP($B595,'4. CÀI ĐẶT'!$A$2:$H$32,5,FALSE)))</f>
        <v/>
      </c>
      <c r="I595">
        <f>IF($B595="","",IF(LEFT($B595,1)="━","",VLOOKUP($B595,'4. CÀI ĐẶT'!$A$2:$H$32,6,FALSE)))</f>
        <v/>
      </c>
      <c r="J595" s="13">
        <f>IF($A595="","",EOMONTH($A595,0))</f>
        <v/>
      </c>
      <c r="K595" s="67">
        <f>IF($B595="",0,IF(LEFT($B595,1)="━",0,$C595*VLOOKUP($B595,'4. CÀI ĐẶT'!$A$2:$H$32,7,FALSE)))</f>
        <v/>
      </c>
    </row>
    <row r="596">
      <c r="A596" s="8" t="n"/>
      <c r="B596" s="9" t="n"/>
      <c r="C596" s="65" t="n"/>
      <c r="D596" s="9" t="n"/>
      <c r="E596" s="66">
        <f>IF($B596="","",IF(LEFT($B596,1)="━","⚠️ Chọn hạng mục cụ thể",$C596*VLOOKUP($B596,'4. CÀI ĐẶT'!$A$2:$H$32,2,FALSE)))</f>
        <v/>
      </c>
      <c r="F596" s="67">
        <f>IF($B596="",0,IF(LEFT($B596,1)="━",0,$C596*VLOOKUP($B596,'4. CÀI ĐẶT'!$A$2:$H$32,3,FALSE)))</f>
        <v/>
      </c>
      <c r="G596" s="67">
        <f>IF($B596="",0,IF(LEFT($B596,1)="━",0,$C596*VLOOKUP($B596,'4. CÀI ĐẶT'!$A$2:$H$32,4,FALSE)))</f>
        <v/>
      </c>
      <c r="H596" s="67">
        <f>IF($B596="",0,IF(LEFT($B596,1)="━",0,$C596*VLOOKUP($B596,'4. CÀI ĐẶT'!$A$2:$H$32,5,FALSE)))</f>
        <v/>
      </c>
      <c r="I596">
        <f>IF($B596="","",IF(LEFT($B596,1)="━","",VLOOKUP($B596,'4. CÀI ĐẶT'!$A$2:$H$32,6,FALSE)))</f>
        <v/>
      </c>
      <c r="J596" s="13">
        <f>IF($A596="","",EOMONTH($A596,0))</f>
        <v/>
      </c>
      <c r="K596" s="67">
        <f>IF($B596="",0,IF(LEFT($B596,1)="━",0,$C596*VLOOKUP($B596,'4. CÀI ĐẶT'!$A$2:$H$32,7,FALSE)))</f>
        <v/>
      </c>
    </row>
    <row r="597">
      <c r="A597" s="8" t="n"/>
      <c r="B597" s="9" t="n"/>
      <c r="C597" s="65" t="n"/>
      <c r="D597" s="9" t="n"/>
      <c r="E597" s="66">
        <f>IF($B597="","",IF(LEFT($B597,1)="━","⚠️ Chọn hạng mục cụ thể",$C597*VLOOKUP($B597,'4. CÀI ĐẶT'!$A$2:$H$32,2,FALSE)))</f>
        <v/>
      </c>
      <c r="F597" s="67">
        <f>IF($B597="",0,IF(LEFT($B597,1)="━",0,$C597*VLOOKUP($B597,'4. CÀI ĐẶT'!$A$2:$H$32,3,FALSE)))</f>
        <v/>
      </c>
      <c r="G597" s="67">
        <f>IF($B597="",0,IF(LEFT($B597,1)="━",0,$C597*VLOOKUP($B597,'4. CÀI ĐẶT'!$A$2:$H$32,4,FALSE)))</f>
        <v/>
      </c>
      <c r="H597" s="67">
        <f>IF($B597="",0,IF(LEFT($B597,1)="━",0,$C597*VLOOKUP($B597,'4. CÀI ĐẶT'!$A$2:$H$32,5,FALSE)))</f>
        <v/>
      </c>
      <c r="I597">
        <f>IF($B597="","",IF(LEFT($B597,1)="━","",VLOOKUP($B597,'4. CÀI ĐẶT'!$A$2:$H$32,6,FALSE)))</f>
        <v/>
      </c>
      <c r="J597" s="13">
        <f>IF($A597="","",EOMONTH($A597,0))</f>
        <v/>
      </c>
      <c r="K597" s="67">
        <f>IF($B597="",0,IF(LEFT($B597,1)="━",0,$C597*VLOOKUP($B597,'4. CÀI ĐẶT'!$A$2:$H$32,7,FALSE)))</f>
        <v/>
      </c>
    </row>
    <row r="598">
      <c r="A598" s="8" t="n"/>
      <c r="B598" s="9" t="n"/>
      <c r="C598" s="65" t="n"/>
      <c r="D598" s="9" t="n"/>
      <c r="E598" s="66">
        <f>IF($B598="","",IF(LEFT($B598,1)="━","⚠️ Chọn hạng mục cụ thể",$C598*VLOOKUP($B598,'4. CÀI ĐẶT'!$A$2:$H$32,2,FALSE)))</f>
        <v/>
      </c>
      <c r="F598" s="67">
        <f>IF($B598="",0,IF(LEFT($B598,1)="━",0,$C598*VLOOKUP($B598,'4. CÀI ĐẶT'!$A$2:$H$32,3,FALSE)))</f>
        <v/>
      </c>
      <c r="G598" s="67">
        <f>IF($B598="",0,IF(LEFT($B598,1)="━",0,$C598*VLOOKUP($B598,'4. CÀI ĐẶT'!$A$2:$H$32,4,FALSE)))</f>
        <v/>
      </c>
      <c r="H598" s="67">
        <f>IF($B598="",0,IF(LEFT($B598,1)="━",0,$C598*VLOOKUP($B598,'4. CÀI ĐẶT'!$A$2:$H$32,5,FALSE)))</f>
        <v/>
      </c>
      <c r="I598">
        <f>IF($B598="","",IF(LEFT($B598,1)="━","",VLOOKUP($B598,'4. CÀI ĐẶT'!$A$2:$H$32,6,FALSE)))</f>
        <v/>
      </c>
      <c r="J598" s="13">
        <f>IF($A598="","",EOMONTH($A598,0))</f>
        <v/>
      </c>
      <c r="K598" s="67">
        <f>IF($B598="",0,IF(LEFT($B598,1)="━",0,$C598*VLOOKUP($B598,'4. CÀI ĐẶT'!$A$2:$H$32,7,FALSE)))</f>
        <v/>
      </c>
    </row>
    <row r="599">
      <c r="A599" s="8" t="n"/>
      <c r="B599" s="9" t="n"/>
      <c r="C599" s="65" t="n"/>
      <c r="D599" s="9" t="n"/>
      <c r="E599" s="66">
        <f>IF($B599="","",IF(LEFT($B599,1)="━","⚠️ Chọn hạng mục cụ thể",$C599*VLOOKUP($B599,'4. CÀI ĐẶT'!$A$2:$H$32,2,FALSE)))</f>
        <v/>
      </c>
      <c r="F599" s="67">
        <f>IF($B599="",0,IF(LEFT($B599,1)="━",0,$C599*VLOOKUP($B599,'4. CÀI ĐẶT'!$A$2:$H$32,3,FALSE)))</f>
        <v/>
      </c>
      <c r="G599" s="67">
        <f>IF($B599="",0,IF(LEFT($B599,1)="━",0,$C599*VLOOKUP($B599,'4. CÀI ĐẶT'!$A$2:$H$32,4,FALSE)))</f>
        <v/>
      </c>
      <c r="H599" s="67">
        <f>IF($B599="",0,IF(LEFT($B599,1)="━",0,$C599*VLOOKUP($B599,'4. CÀI ĐẶT'!$A$2:$H$32,5,FALSE)))</f>
        <v/>
      </c>
      <c r="I599">
        <f>IF($B599="","",IF(LEFT($B599,1)="━","",VLOOKUP($B599,'4. CÀI ĐẶT'!$A$2:$H$32,6,FALSE)))</f>
        <v/>
      </c>
      <c r="J599" s="13">
        <f>IF($A599="","",EOMONTH($A599,0))</f>
        <v/>
      </c>
      <c r="K599" s="67">
        <f>IF($B599="",0,IF(LEFT($B599,1)="━",0,$C599*VLOOKUP($B599,'4. CÀI ĐẶT'!$A$2:$H$32,7,FALSE)))</f>
        <v/>
      </c>
    </row>
    <row r="600">
      <c r="A600" s="8" t="n"/>
      <c r="B600" s="9" t="n"/>
      <c r="C600" s="65" t="n"/>
      <c r="D600" s="9" t="n"/>
      <c r="E600" s="66">
        <f>IF($B600="","",IF(LEFT($B600,1)="━","⚠️ Chọn hạng mục cụ thể",$C600*VLOOKUP($B600,'4. CÀI ĐẶT'!$A$2:$H$32,2,FALSE)))</f>
        <v/>
      </c>
      <c r="F600" s="67">
        <f>IF($B600="",0,IF(LEFT($B600,1)="━",0,$C600*VLOOKUP($B600,'4. CÀI ĐẶT'!$A$2:$H$32,3,FALSE)))</f>
        <v/>
      </c>
      <c r="G600" s="67">
        <f>IF($B600="",0,IF(LEFT($B600,1)="━",0,$C600*VLOOKUP($B600,'4. CÀI ĐẶT'!$A$2:$H$32,4,FALSE)))</f>
        <v/>
      </c>
      <c r="H600" s="67">
        <f>IF($B600="",0,IF(LEFT($B600,1)="━",0,$C600*VLOOKUP($B600,'4. CÀI ĐẶT'!$A$2:$H$32,5,FALSE)))</f>
        <v/>
      </c>
      <c r="I600">
        <f>IF($B600="","",IF(LEFT($B600,1)="━","",VLOOKUP($B600,'4. CÀI ĐẶT'!$A$2:$H$32,6,FALSE)))</f>
        <v/>
      </c>
      <c r="J600" s="13">
        <f>IF($A600="","",EOMONTH($A600,0))</f>
        <v/>
      </c>
      <c r="K600" s="67">
        <f>IF($B600="",0,IF(LEFT($B600,1)="━",0,$C600*VLOOKUP($B600,'4. CÀI ĐẶT'!$A$2:$H$32,7,FALSE)))</f>
        <v/>
      </c>
    </row>
    <row r="601">
      <c r="A601" s="8" t="n"/>
      <c r="B601" s="9" t="n"/>
      <c r="C601" s="65" t="n"/>
      <c r="D601" s="9" t="n"/>
      <c r="E601" s="66">
        <f>IF($B601="","",IF(LEFT($B601,1)="━","⚠️ Chọn hạng mục cụ thể",$C601*VLOOKUP($B601,'4. CÀI ĐẶT'!$A$2:$H$32,2,FALSE)))</f>
        <v/>
      </c>
      <c r="F601" s="67">
        <f>IF($B601="",0,IF(LEFT($B601,1)="━",0,$C601*VLOOKUP($B601,'4. CÀI ĐẶT'!$A$2:$H$32,3,FALSE)))</f>
        <v/>
      </c>
      <c r="G601" s="67">
        <f>IF($B601="",0,IF(LEFT($B601,1)="━",0,$C601*VLOOKUP($B601,'4. CÀI ĐẶT'!$A$2:$H$32,4,FALSE)))</f>
        <v/>
      </c>
      <c r="H601" s="67">
        <f>IF($B601="",0,IF(LEFT($B601,1)="━",0,$C601*VLOOKUP($B601,'4. CÀI ĐẶT'!$A$2:$H$32,5,FALSE)))</f>
        <v/>
      </c>
      <c r="I601">
        <f>IF($B601="","",IF(LEFT($B601,1)="━","",VLOOKUP($B601,'4. CÀI ĐẶT'!$A$2:$H$32,6,FALSE)))</f>
        <v/>
      </c>
      <c r="J601" s="13">
        <f>IF($A601="","",EOMONTH($A601,0))</f>
        <v/>
      </c>
      <c r="K601" s="67">
        <f>IF($B601="",0,IF(LEFT($B601,1)="━",0,$C601*VLOOKUP($B601,'4. CÀI ĐẶT'!$A$2:$H$32,7,FALSE)))</f>
        <v/>
      </c>
    </row>
    <row r="602">
      <c r="A602" s="8" t="n"/>
      <c r="B602" s="9" t="n"/>
      <c r="C602" s="65" t="n"/>
      <c r="D602" s="9" t="n"/>
      <c r="E602" s="66">
        <f>IF($B602="","",IF(LEFT($B602,1)="━","⚠️ Chọn hạng mục cụ thể",$C602*VLOOKUP($B602,'4. CÀI ĐẶT'!$A$2:$H$32,2,FALSE)))</f>
        <v/>
      </c>
      <c r="F602" s="67">
        <f>IF($B602="",0,IF(LEFT($B602,1)="━",0,$C602*VLOOKUP($B602,'4. CÀI ĐẶT'!$A$2:$H$32,3,FALSE)))</f>
        <v/>
      </c>
      <c r="G602" s="67">
        <f>IF($B602="",0,IF(LEFT($B602,1)="━",0,$C602*VLOOKUP($B602,'4. CÀI ĐẶT'!$A$2:$H$32,4,FALSE)))</f>
        <v/>
      </c>
      <c r="H602" s="67">
        <f>IF($B602="",0,IF(LEFT($B602,1)="━",0,$C602*VLOOKUP($B602,'4. CÀI ĐẶT'!$A$2:$H$32,5,FALSE)))</f>
        <v/>
      </c>
      <c r="I602">
        <f>IF($B602="","",IF(LEFT($B602,1)="━","",VLOOKUP($B602,'4. CÀI ĐẶT'!$A$2:$H$32,6,FALSE)))</f>
        <v/>
      </c>
      <c r="J602" s="13">
        <f>IF($A602="","",EOMONTH($A602,0))</f>
        <v/>
      </c>
      <c r="K602" s="67">
        <f>IF($B602="",0,IF(LEFT($B602,1)="━",0,$C602*VLOOKUP($B602,'4. CÀI ĐẶT'!$A$2:$H$32,7,FALSE)))</f>
        <v/>
      </c>
    </row>
    <row r="603">
      <c r="A603" s="8" t="n"/>
      <c r="B603" s="9" t="n"/>
      <c r="C603" s="65" t="n"/>
      <c r="D603" s="9" t="n"/>
      <c r="E603" s="66">
        <f>IF($B603="","",IF(LEFT($B603,1)="━","⚠️ Chọn hạng mục cụ thể",$C603*VLOOKUP($B603,'4. CÀI ĐẶT'!$A$2:$H$32,2,FALSE)))</f>
        <v/>
      </c>
      <c r="F603" s="67">
        <f>IF($B603="",0,IF(LEFT($B603,1)="━",0,$C603*VLOOKUP($B603,'4. CÀI ĐẶT'!$A$2:$H$32,3,FALSE)))</f>
        <v/>
      </c>
      <c r="G603" s="67">
        <f>IF($B603="",0,IF(LEFT($B603,1)="━",0,$C603*VLOOKUP($B603,'4. CÀI ĐẶT'!$A$2:$H$32,4,FALSE)))</f>
        <v/>
      </c>
      <c r="H603" s="67">
        <f>IF($B603="",0,IF(LEFT($B603,1)="━",0,$C603*VLOOKUP($B603,'4. CÀI ĐẶT'!$A$2:$H$32,5,FALSE)))</f>
        <v/>
      </c>
      <c r="I603">
        <f>IF($B603="","",IF(LEFT($B603,1)="━","",VLOOKUP($B603,'4. CÀI ĐẶT'!$A$2:$H$32,6,FALSE)))</f>
        <v/>
      </c>
      <c r="J603" s="13">
        <f>IF($A603="","",EOMONTH($A603,0))</f>
        <v/>
      </c>
      <c r="K603" s="67">
        <f>IF($B603="",0,IF(LEFT($B603,1)="━",0,$C603*VLOOKUP($B603,'4. CÀI ĐẶT'!$A$2:$H$32,7,FALSE)))</f>
        <v/>
      </c>
    </row>
    <row r="604">
      <c r="A604" s="8" t="n"/>
      <c r="B604" s="9" t="n"/>
      <c r="C604" s="65" t="n"/>
      <c r="D604" s="9" t="n"/>
      <c r="E604" s="66">
        <f>IF($B604="","",IF(LEFT($B604,1)="━","⚠️ Chọn hạng mục cụ thể",$C604*VLOOKUP($B604,'4. CÀI ĐẶT'!$A$2:$H$32,2,FALSE)))</f>
        <v/>
      </c>
      <c r="F604" s="67">
        <f>IF($B604="",0,IF(LEFT($B604,1)="━",0,$C604*VLOOKUP($B604,'4. CÀI ĐẶT'!$A$2:$H$32,3,FALSE)))</f>
        <v/>
      </c>
      <c r="G604" s="67">
        <f>IF($B604="",0,IF(LEFT($B604,1)="━",0,$C604*VLOOKUP($B604,'4. CÀI ĐẶT'!$A$2:$H$32,4,FALSE)))</f>
        <v/>
      </c>
      <c r="H604" s="67">
        <f>IF($B604="",0,IF(LEFT($B604,1)="━",0,$C604*VLOOKUP($B604,'4. CÀI ĐẶT'!$A$2:$H$32,5,FALSE)))</f>
        <v/>
      </c>
      <c r="I604">
        <f>IF($B604="","",IF(LEFT($B604,1)="━","",VLOOKUP($B604,'4. CÀI ĐẶT'!$A$2:$H$32,6,FALSE)))</f>
        <v/>
      </c>
      <c r="J604" s="13">
        <f>IF($A604="","",EOMONTH($A604,0))</f>
        <v/>
      </c>
      <c r="K604" s="67">
        <f>IF($B604="",0,IF(LEFT($B604,1)="━",0,$C604*VLOOKUP($B604,'4. CÀI ĐẶT'!$A$2:$H$32,7,FALSE)))</f>
        <v/>
      </c>
    </row>
    <row r="605">
      <c r="A605" s="8" t="n"/>
      <c r="B605" s="9" t="n"/>
      <c r="C605" s="65" t="n"/>
      <c r="D605" s="9" t="n"/>
      <c r="E605" s="66">
        <f>IF($B605="","",IF(LEFT($B605,1)="━","⚠️ Chọn hạng mục cụ thể",$C605*VLOOKUP($B605,'4. CÀI ĐẶT'!$A$2:$H$32,2,FALSE)))</f>
        <v/>
      </c>
      <c r="F605" s="67">
        <f>IF($B605="",0,IF(LEFT($B605,1)="━",0,$C605*VLOOKUP($B605,'4. CÀI ĐẶT'!$A$2:$H$32,3,FALSE)))</f>
        <v/>
      </c>
      <c r="G605" s="67">
        <f>IF($B605="",0,IF(LEFT($B605,1)="━",0,$C605*VLOOKUP($B605,'4. CÀI ĐẶT'!$A$2:$H$32,4,FALSE)))</f>
        <v/>
      </c>
      <c r="H605" s="67">
        <f>IF($B605="",0,IF(LEFT($B605,1)="━",0,$C605*VLOOKUP($B605,'4. CÀI ĐẶT'!$A$2:$H$32,5,FALSE)))</f>
        <v/>
      </c>
      <c r="I605">
        <f>IF($B605="","",IF(LEFT($B605,1)="━","",VLOOKUP($B605,'4. CÀI ĐẶT'!$A$2:$H$32,6,FALSE)))</f>
        <v/>
      </c>
      <c r="J605" s="13">
        <f>IF($A605="","",EOMONTH($A605,0))</f>
        <v/>
      </c>
      <c r="K605" s="67">
        <f>IF($B605="",0,IF(LEFT($B605,1)="━",0,$C605*VLOOKUP($B605,'4. CÀI ĐẶT'!$A$2:$H$32,7,FALSE)))</f>
        <v/>
      </c>
    </row>
    <row r="606">
      <c r="A606" s="8" t="n"/>
      <c r="B606" s="9" t="n"/>
      <c r="C606" s="65" t="n"/>
      <c r="D606" s="9" t="n"/>
      <c r="E606" s="66">
        <f>IF($B606="","",IF(LEFT($B606,1)="━","⚠️ Chọn hạng mục cụ thể",$C606*VLOOKUP($B606,'4. CÀI ĐẶT'!$A$2:$H$32,2,FALSE)))</f>
        <v/>
      </c>
      <c r="F606" s="67">
        <f>IF($B606="",0,IF(LEFT($B606,1)="━",0,$C606*VLOOKUP($B606,'4. CÀI ĐẶT'!$A$2:$H$32,3,FALSE)))</f>
        <v/>
      </c>
      <c r="G606" s="67">
        <f>IF($B606="",0,IF(LEFT($B606,1)="━",0,$C606*VLOOKUP($B606,'4. CÀI ĐẶT'!$A$2:$H$32,4,FALSE)))</f>
        <v/>
      </c>
      <c r="H606" s="67">
        <f>IF($B606="",0,IF(LEFT($B606,1)="━",0,$C606*VLOOKUP($B606,'4. CÀI ĐẶT'!$A$2:$H$32,5,FALSE)))</f>
        <v/>
      </c>
      <c r="I606">
        <f>IF($B606="","",IF(LEFT($B606,1)="━","",VLOOKUP($B606,'4. CÀI ĐẶT'!$A$2:$H$32,6,FALSE)))</f>
        <v/>
      </c>
      <c r="J606" s="13">
        <f>IF($A606="","",EOMONTH($A606,0))</f>
        <v/>
      </c>
      <c r="K606" s="67">
        <f>IF($B606="",0,IF(LEFT($B606,1)="━",0,$C606*VLOOKUP($B606,'4. CÀI ĐẶT'!$A$2:$H$32,7,FALSE)))</f>
        <v/>
      </c>
    </row>
    <row r="607">
      <c r="A607" s="8" t="n"/>
      <c r="B607" s="9" t="n"/>
      <c r="C607" s="65" t="n"/>
      <c r="D607" s="9" t="n"/>
      <c r="E607" s="66">
        <f>IF($B607="","",IF(LEFT($B607,1)="━","⚠️ Chọn hạng mục cụ thể",$C607*VLOOKUP($B607,'4. CÀI ĐẶT'!$A$2:$H$32,2,FALSE)))</f>
        <v/>
      </c>
      <c r="F607" s="67">
        <f>IF($B607="",0,IF(LEFT($B607,1)="━",0,$C607*VLOOKUP($B607,'4. CÀI ĐẶT'!$A$2:$H$32,3,FALSE)))</f>
        <v/>
      </c>
      <c r="G607" s="67">
        <f>IF($B607="",0,IF(LEFT($B607,1)="━",0,$C607*VLOOKUP($B607,'4. CÀI ĐẶT'!$A$2:$H$32,4,FALSE)))</f>
        <v/>
      </c>
      <c r="H607" s="67">
        <f>IF($B607="",0,IF(LEFT($B607,1)="━",0,$C607*VLOOKUP($B607,'4. CÀI ĐẶT'!$A$2:$H$32,5,FALSE)))</f>
        <v/>
      </c>
      <c r="I607">
        <f>IF($B607="","",IF(LEFT($B607,1)="━","",VLOOKUP($B607,'4. CÀI ĐẶT'!$A$2:$H$32,6,FALSE)))</f>
        <v/>
      </c>
      <c r="J607" s="13">
        <f>IF($A607="","",EOMONTH($A607,0))</f>
        <v/>
      </c>
      <c r="K607" s="67">
        <f>IF($B607="",0,IF(LEFT($B607,1)="━",0,$C607*VLOOKUP($B607,'4. CÀI ĐẶT'!$A$2:$H$32,7,FALSE)))</f>
        <v/>
      </c>
    </row>
    <row r="608">
      <c r="A608" s="8" t="n"/>
      <c r="B608" s="9" t="n"/>
      <c r="C608" s="65" t="n"/>
      <c r="D608" s="9" t="n"/>
      <c r="E608" s="66">
        <f>IF($B608="","",IF(LEFT($B608,1)="━","⚠️ Chọn hạng mục cụ thể",$C608*VLOOKUP($B608,'4. CÀI ĐẶT'!$A$2:$H$32,2,FALSE)))</f>
        <v/>
      </c>
      <c r="F608" s="67">
        <f>IF($B608="",0,IF(LEFT($B608,1)="━",0,$C608*VLOOKUP($B608,'4. CÀI ĐẶT'!$A$2:$H$32,3,FALSE)))</f>
        <v/>
      </c>
      <c r="G608" s="67">
        <f>IF($B608="",0,IF(LEFT($B608,1)="━",0,$C608*VLOOKUP($B608,'4. CÀI ĐẶT'!$A$2:$H$32,4,FALSE)))</f>
        <v/>
      </c>
      <c r="H608" s="67">
        <f>IF($B608="",0,IF(LEFT($B608,1)="━",0,$C608*VLOOKUP($B608,'4. CÀI ĐẶT'!$A$2:$H$32,5,FALSE)))</f>
        <v/>
      </c>
      <c r="I608">
        <f>IF($B608="","",IF(LEFT($B608,1)="━","",VLOOKUP($B608,'4. CÀI ĐẶT'!$A$2:$H$32,6,FALSE)))</f>
        <v/>
      </c>
      <c r="J608" s="13">
        <f>IF($A608="","",EOMONTH($A608,0))</f>
        <v/>
      </c>
      <c r="K608" s="67">
        <f>IF($B608="",0,IF(LEFT($B608,1)="━",0,$C608*VLOOKUP($B608,'4. CÀI ĐẶT'!$A$2:$H$32,7,FALSE)))</f>
        <v/>
      </c>
    </row>
    <row r="609">
      <c r="A609" s="8" t="n"/>
      <c r="B609" s="9" t="n"/>
      <c r="C609" s="65" t="n"/>
      <c r="D609" s="9" t="n"/>
      <c r="E609" s="66">
        <f>IF($B609="","",IF(LEFT($B609,1)="━","⚠️ Chọn hạng mục cụ thể",$C609*VLOOKUP($B609,'4. CÀI ĐẶT'!$A$2:$H$32,2,FALSE)))</f>
        <v/>
      </c>
      <c r="F609" s="67">
        <f>IF($B609="",0,IF(LEFT($B609,1)="━",0,$C609*VLOOKUP($B609,'4. CÀI ĐẶT'!$A$2:$H$32,3,FALSE)))</f>
        <v/>
      </c>
      <c r="G609" s="67">
        <f>IF($B609="",0,IF(LEFT($B609,1)="━",0,$C609*VLOOKUP($B609,'4. CÀI ĐẶT'!$A$2:$H$32,4,FALSE)))</f>
        <v/>
      </c>
      <c r="H609" s="67">
        <f>IF($B609="",0,IF(LEFT($B609,1)="━",0,$C609*VLOOKUP($B609,'4. CÀI ĐẶT'!$A$2:$H$32,5,FALSE)))</f>
        <v/>
      </c>
      <c r="I609">
        <f>IF($B609="","",IF(LEFT($B609,1)="━","",VLOOKUP($B609,'4. CÀI ĐẶT'!$A$2:$H$32,6,FALSE)))</f>
        <v/>
      </c>
      <c r="J609" s="13">
        <f>IF($A609="","",EOMONTH($A609,0))</f>
        <v/>
      </c>
      <c r="K609" s="67">
        <f>IF($B609="",0,IF(LEFT($B609,1)="━",0,$C609*VLOOKUP($B609,'4. CÀI ĐẶT'!$A$2:$H$32,7,FALSE)))</f>
        <v/>
      </c>
    </row>
    <row r="610">
      <c r="A610" s="8" t="n"/>
      <c r="B610" s="9" t="n"/>
      <c r="C610" s="65" t="n"/>
      <c r="D610" s="9" t="n"/>
      <c r="E610" s="66">
        <f>IF($B610="","",IF(LEFT($B610,1)="━","⚠️ Chọn hạng mục cụ thể",$C610*VLOOKUP($B610,'4. CÀI ĐẶT'!$A$2:$H$32,2,FALSE)))</f>
        <v/>
      </c>
      <c r="F610" s="67">
        <f>IF($B610="",0,IF(LEFT($B610,1)="━",0,$C610*VLOOKUP($B610,'4. CÀI ĐẶT'!$A$2:$H$32,3,FALSE)))</f>
        <v/>
      </c>
      <c r="G610" s="67">
        <f>IF($B610="",0,IF(LEFT($B610,1)="━",0,$C610*VLOOKUP($B610,'4. CÀI ĐẶT'!$A$2:$H$32,4,FALSE)))</f>
        <v/>
      </c>
      <c r="H610" s="67">
        <f>IF($B610="",0,IF(LEFT($B610,1)="━",0,$C610*VLOOKUP($B610,'4. CÀI ĐẶT'!$A$2:$H$32,5,FALSE)))</f>
        <v/>
      </c>
      <c r="I610">
        <f>IF($B610="","",IF(LEFT($B610,1)="━","",VLOOKUP($B610,'4. CÀI ĐẶT'!$A$2:$H$32,6,FALSE)))</f>
        <v/>
      </c>
      <c r="J610" s="13">
        <f>IF($A610="","",EOMONTH($A610,0))</f>
        <v/>
      </c>
      <c r="K610" s="67">
        <f>IF($B610="",0,IF(LEFT($B610,1)="━",0,$C610*VLOOKUP($B610,'4. CÀI ĐẶT'!$A$2:$H$32,7,FALSE)))</f>
        <v/>
      </c>
    </row>
    <row r="611">
      <c r="A611" s="8" t="n"/>
      <c r="B611" s="9" t="n"/>
      <c r="C611" s="65" t="n"/>
      <c r="D611" s="9" t="n"/>
      <c r="E611" s="66">
        <f>IF($B611="","",IF(LEFT($B611,1)="━","⚠️ Chọn hạng mục cụ thể",$C611*VLOOKUP($B611,'4. CÀI ĐẶT'!$A$2:$H$32,2,FALSE)))</f>
        <v/>
      </c>
      <c r="F611" s="67">
        <f>IF($B611="",0,IF(LEFT($B611,1)="━",0,$C611*VLOOKUP($B611,'4. CÀI ĐẶT'!$A$2:$H$32,3,FALSE)))</f>
        <v/>
      </c>
      <c r="G611" s="67">
        <f>IF($B611="",0,IF(LEFT($B611,1)="━",0,$C611*VLOOKUP($B611,'4. CÀI ĐẶT'!$A$2:$H$32,4,FALSE)))</f>
        <v/>
      </c>
      <c r="H611" s="67">
        <f>IF($B611="",0,IF(LEFT($B611,1)="━",0,$C611*VLOOKUP($B611,'4. CÀI ĐẶT'!$A$2:$H$32,5,FALSE)))</f>
        <v/>
      </c>
      <c r="I611">
        <f>IF($B611="","",IF(LEFT($B611,1)="━","",VLOOKUP($B611,'4. CÀI ĐẶT'!$A$2:$H$32,6,FALSE)))</f>
        <v/>
      </c>
      <c r="J611" s="13">
        <f>IF($A611="","",EOMONTH($A611,0))</f>
        <v/>
      </c>
      <c r="K611" s="67">
        <f>IF($B611="",0,IF(LEFT($B611,1)="━",0,$C611*VLOOKUP($B611,'4. CÀI ĐẶT'!$A$2:$H$32,7,FALSE)))</f>
        <v/>
      </c>
    </row>
    <row r="612">
      <c r="A612" s="8" t="n"/>
      <c r="B612" s="9" t="n"/>
      <c r="C612" s="65" t="n"/>
      <c r="D612" s="9" t="n"/>
      <c r="E612" s="66">
        <f>IF($B612="","",IF(LEFT($B612,1)="━","⚠️ Chọn hạng mục cụ thể",$C612*VLOOKUP($B612,'4. CÀI ĐẶT'!$A$2:$H$32,2,FALSE)))</f>
        <v/>
      </c>
      <c r="F612" s="67">
        <f>IF($B612="",0,IF(LEFT($B612,1)="━",0,$C612*VLOOKUP($B612,'4. CÀI ĐẶT'!$A$2:$H$32,3,FALSE)))</f>
        <v/>
      </c>
      <c r="G612" s="67">
        <f>IF($B612="",0,IF(LEFT($B612,1)="━",0,$C612*VLOOKUP($B612,'4. CÀI ĐẶT'!$A$2:$H$32,4,FALSE)))</f>
        <v/>
      </c>
      <c r="H612" s="67">
        <f>IF($B612="",0,IF(LEFT($B612,1)="━",0,$C612*VLOOKUP($B612,'4. CÀI ĐẶT'!$A$2:$H$32,5,FALSE)))</f>
        <v/>
      </c>
      <c r="I612">
        <f>IF($B612="","",IF(LEFT($B612,1)="━","",VLOOKUP($B612,'4. CÀI ĐẶT'!$A$2:$H$32,6,FALSE)))</f>
        <v/>
      </c>
      <c r="J612" s="13">
        <f>IF($A612="","",EOMONTH($A612,0))</f>
        <v/>
      </c>
      <c r="K612" s="67">
        <f>IF($B612="",0,IF(LEFT($B612,1)="━",0,$C612*VLOOKUP($B612,'4. CÀI ĐẶT'!$A$2:$H$32,7,FALSE)))</f>
        <v/>
      </c>
    </row>
    <row r="613">
      <c r="A613" s="8" t="n"/>
      <c r="B613" s="9" t="n"/>
      <c r="C613" s="65" t="n"/>
      <c r="D613" s="9" t="n"/>
      <c r="E613" s="66">
        <f>IF($B613="","",IF(LEFT($B613,1)="━","⚠️ Chọn hạng mục cụ thể",$C613*VLOOKUP($B613,'4. CÀI ĐẶT'!$A$2:$H$32,2,FALSE)))</f>
        <v/>
      </c>
      <c r="F613" s="67">
        <f>IF($B613="",0,IF(LEFT($B613,1)="━",0,$C613*VLOOKUP($B613,'4. CÀI ĐẶT'!$A$2:$H$32,3,FALSE)))</f>
        <v/>
      </c>
      <c r="G613" s="67">
        <f>IF($B613="",0,IF(LEFT($B613,1)="━",0,$C613*VLOOKUP($B613,'4. CÀI ĐẶT'!$A$2:$H$32,4,FALSE)))</f>
        <v/>
      </c>
      <c r="H613" s="67">
        <f>IF($B613="",0,IF(LEFT($B613,1)="━",0,$C613*VLOOKUP($B613,'4. CÀI ĐẶT'!$A$2:$H$32,5,FALSE)))</f>
        <v/>
      </c>
      <c r="I613">
        <f>IF($B613="","",IF(LEFT($B613,1)="━","",VLOOKUP($B613,'4. CÀI ĐẶT'!$A$2:$H$32,6,FALSE)))</f>
        <v/>
      </c>
      <c r="J613" s="13">
        <f>IF($A613="","",EOMONTH($A613,0))</f>
        <v/>
      </c>
      <c r="K613" s="67">
        <f>IF($B613="",0,IF(LEFT($B613,1)="━",0,$C613*VLOOKUP($B613,'4. CÀI ĐẶT'!$A$2:$H$32,7,FALSE)))</f>
        <v/>
      </c>
    </row>
    <row r="614">
      <c r="A614" s="8" t="n"/>
      <c r="B614" s="9" t="n"/>
      <c r="C614" s="65" t="n"/>
      <c r="D614" s="9" t="n"/>
      <c r="E614" s="66">
        <f>IF($B614="","",IF(LEFT($B614,1)="━","⚠️ Chọn hạng mục cụ thể",$C614*VLOOKUP($B614,'4. CÀI ĐẶT'!$A$2:$H$32,2,FALSE)))</f>
        <v/>
      </c>
      <c r="F614" s="67">
        <f>IF($B614="",0,IF(LEFT($B614,1)="━",0,$C614*VLOOKUP($B614,'4. CÀI ĐẶT'!$A$2:$H$32,3,FALSE)))</f>
        <v/>
      </c>
      <c r="G614" s="67">
        <f>IF($B614="",0,IF(LEFT($B614,1)="━",0,$C614*VLOOKUP($B614,'4. CÀI ĐẶT'!$A$2:$H$32,4,FALSE)))</f>
        <v/>
      </c>
      <c r="H614" s="67">
        <f>IF($B614="",0,IF(LEFT($B614,1)="━",0,$C614*VLOOKUP($B614,'4. CÀI ĐẶT'!$A$2:$H$32,5,FALSE)))</f>
        <v/>
      </c>
      <c r="I614">
        <f>IF($B614="","",IF(LEFT($B614,1)="━","",VLOOKUP($B614,'4. CÀI ĐẶT'!$A$2:$H$32,6,FALSE)))</f>
        <v/>
      </c>
      <c r="J614" s="13">
        <f>IF($A614="","",EOMONTH($A614,0))</f>
        <v/>
      </c>
      <c r="K614" s="67">
        <f>IF($B614="",0,IF(LEFT($B614,1)="━",0,$C614*VLOOKUP($B614,'4. CÀI ĐẶT'!$A$2:$H$32,7,FALSE)))</f>
        <v/>
      </c>
    </row>
    <row r="615">
      <c r="A615" s="8" t="n"/>
      <c r="B615" s="9" t="n"/>
      <c r="C615" s="65" t="n"/>
      <c r="D615" s="9" t="n"/>
      <c r="E615" s="66">
        <f>IF($B615="","",IF(LEFT($B615,1)="━","⚠️ Chọn hạng mục cụ thể",$C615*VLOOKUP($B615,'4. CÀI ĐẶT'!$A$2:$H$32,2,FALSE)))</f>
        <v/>
      </c>
      <c r="F615" s="67">
        <f>IF($B615="",0,IF(LEFT($B615,1)="━",0,$C615*VLOOKUP($B615,'4. CÀI ĐẶT'!$A$2:$H$32,3,FALSE)))</f>
        <v/>
      </c>
      <c r="G615" s="67">
        <f>IF($B615="",0,IF(LEFT($B615,1)="━",0,$C615*VLOOKUP($B615,'4. CÀI ĐẶT'!$A$2:$H$32,4,FALSE)))</f>
        <v/>
      </c>
      <c r="H615" s="67">
        <f>IF($B615="",0,IF(LEFT($B615,1)="━",0,$C615*VLOOKUP($B615,'4. CÀI ĐẶT'!$A$2:$H$32,5,FALSE)))</f>
        <v/>
      </c>
      <c r="I615">
        <f>IF($B615="","",IF(LEFT($B615,1)="━","",VLOOKUP($B615,'4. CÀI ĐẶT'!$A$2:$H$32,6,FALSE)))</f>
        <v/>
      </c>
      <c r="J615" s="13">
        <f>IF($A615="","",EOMONTH($A615,0))</f>
        <v/>
      </c>
      <c r="K615" s="67">
        <f>IF($B615="",0,IF(LEFT($B615,1)="━",0,$C615*VLOOKUP($B615,'4. CÀI ĐẶT'!$A$2:$H$32,7,FALSE)))</f>
        <v/>
      </c>
    </row>
    <row r="616">
      <c r="A616" s="8" t="n"/>
      <c r="B616" s="9" t="n"/>
      <c r="C616" s="65" t="n"/>
      <c r="D616" s="9" t="n"/>
      <c r="E616" s="66">
        <f>IF($B616="","",IF(LEFT($B616,1)="━","⚠️ Chọn hạng mục cụ thể",$C616*VLOOKUP($B616,'4. CÀI ĐẶT'!$A$2:$H$32,2,FALSE)))</f>
        <v/>
      </c>
      <c r="F616" s="67">
        <f>IF($B616="",0,IF(LEFT($B616,1)="━",0,$C616*VLOOKUP($B616,'4. CÀI ĐẶT'!$A$2:$H$32,3,FALSE)))</f>
        <v/>
      </c>
      <c r="G616" s="67">
        <f>IF($B616="",0,IF(LEFT($B616,1)="━",0,$C616*VLOOKUP($B616,'4. CÀI ĐẶT'!$A$2:$H$32,4,FALSE)))</f>
        <v/>
      </c>
      <c r="H616" s="67">
        <f>IF($B616="",0,IF(LEFT($B616,1)="━",0,$C616*VLOOKUP($B616,'4. CÀI ĐẶT'!$A$2:$H$32,5,FALSE)))</f>
        <v/>
      </c>
      <c r="I616">
        <f>IF($B616="","",IF(LEFT($B616,1)="━","",VLOOKUP($B616,'4. CÀI ĐẶT'!$A$2:$H$32,6,FALSE)))</f>
        <v/>
      </c>
      <c r="J616" s="13">
        <f>IF($A616="","",EOMONTH($A616,0))</f>
        <v/>
      </c>
      <c r="K616" s="67">
        <f>IF($B616="",0,IF(LEFT($B616,1)="━",0,$C616*VLOOKUP($B616,'4. CÀI ĐẶT'!$A$2:$H$32,7,FALSE)))</f>
        <v/>
      </c>
    </row>
    <row r="617">
      <c r="A617" s="8" t="n"/>
      <c r="B617" s="9" t="n"/>
      <c r="C617" s="65" t="n"/>
      <c r="D617" s="9" t="n"/>
      <c r="E617" s="66">
        <f>IF($B617="","",IF(LEFT($B617,1)="━","⚠️ Chọn hạng mục cụ thể",$C617*VLOOKUP($B617,'4. CÀI ĐẶT'!$A$2:$H$32,2,FALSE)))</f>
        <v/>
      </c>
      <c r="F617" s="67">
        <f>IF($B617="",0,IF(LEFT($B617,1)="━",0,$C617*VLOOKUP($B617,'4. CÀI ĐẶT'!$A$2:$H$32,3,FALSE)))</f>
        <v/>
      </c>
      <c r="G617" s="67">
        <f>IF($B617="",0,IF(LEFT($B617,1)="━",0,$C617*VLOOKUP($B617,'4. CÀI ĐẶT'!$A$2:$H$32,4,FALSE)))</f>
        <v/>
      </c>
      <c r="H617" s="67">
        <f>IF($B617="",0,IF(LEFT($B617,1)="━",0,$C617*VLOOKUP($B617,'4. CÀI ĐẶT'!$A$2:$H$32,5,FALSE)))</f>
        <v/>
      </c>
      <c r="I617">
        <f>IF($B617="","",IF(LEFT($B617,1)="━","",VLOOKUP($B617,'4. CÀI ĐẶT'!$A$2:$H$32,6,FALSE)))</f>
        <v/>
      </c>
      <c r="J617" s="13">
        <f>IF($A617="","",EOMONTH($A617,0))</f>
        <v/>
      </c>
      <c r="K617" s="67">
        <f>IF($B617="",0,IF(LEFT($B617,1)="━",0,$C617*VLOOKUP($B617,'4. CÀI ĐẶT'!$A$2:$H$32,7,FALSE)))</f>
        <v/>
      </c>
    </row>
    <row r="618">
      <c r="A618" s="8" t="n"/>
      <c r="B618" s="9" t="n"/>
      <c r="C618" s="65" t="n"/>
      <c r="D618" s="9" t="n"/>
      <c r="E618" s="66">
        <f>IF($B618="","",IF(LEFT($B618,1)="━","⚠️ Chọn hạng mục cụ thể",$C618*VLOOKUP($B618,'4. CÀI ĐẶT'!$A$2:$H$32,2,FALSE)))</f>
        <v/>
      </c>
      <c r="F618" s="67">
        <f>IF($B618="",0,IF(LEFT($B618,1)="━",0,$C618*VLOOKUP($B618,'4. CÀI ĐẶT'!$A$2:$H$32,3,FALSE)))</f>
        <v/>
      </c>
      <c r="G618" s="67">
        <f>IF($B618="",0,IF(LEFT($B618,1)="━",0,$C618*VLOOKUP($B618,'4. CÀI ĐẶT'!$A$2:$H$32,4,FALSE)))</f>
        <v/>
      </c>
      <c r="H618" s="67">
        <f>IF($B618="",0,IF(LEFT($B618,1)="━",0,$C618*VLOOKUP($B618,'4. CÀI ĐẶT'!$A$2:$H$32,5,FALSE)))</f>
        <v/>
      </c>
      <c r="I618">
        <f>IF($B618="","",IF(LEFT($B618,1)="━","",VLOOKUP($B618,'4. CÀI ĐẶT'!$A$2:$H$32,6,FALSE)))</f>
        <v/>
      </c>
      <c r="J618" s="13">
        <f>IF($A618="","",EOMONTH($A618,0))</f>
        <v/>
      </c>
      <c r="K618" s="67">
        <f>IF($B618="",0,IF(LEFT($B618,1)="━",0,$C618*VLOOKUP($B618,'4. CÀI ĐẶT'!$A$2:$H$32,7,FALSE)))</f>
        <v/>
      </c>
    </row>
    <row r="619">
      <c r="A619" s="8" t="n"/>
      <c r="B619" s="9" t="n"/>
      <c r="C619" s="65" t="n"/>
      <c r="D619" s="9" t="n"/>
      <c r="E619" s="66">
        <f>IF($B619="","",IF(LEFT($B619,1)="━","⚠️ Chọn hạng mục cụ thể",$C619*VLOOKUP($B619,'4. CÀI ĐẶT'!$A$2:$H$32,2,FALSE)))</f>
        <v/>
      </c>
      <c r="F619" s="67">
        <f>IF($B619="",0,IF(LEFT($B619,1)="━",0,$C619*VLOOKUP($B619,'4. CÀI ĐẶT'!$A$2:$H$32,3,FALSE)))</f>
        <v/>
      </c>
      <c r="G619" s="67">
        <f>IF($B619="",0,IF(LEFT($B619,1)="━",0,$C619*VLOOKUP($B619,'4. CÀI ĐẶT'!$A$2:$H$32,4,FALSE)))</f>
        <v/>
      </c>
      <c r="H619" s="67">
        <f>IF($B619="",0,IF(LEFT($B619,1)="━",0,$C619*VLOOKUP($B619,'4. CÀI ĐẶT'!$A$2:$H$32,5,FALSE)))</f>
        <v/>
      </c>
      <c r="I619">
        <f>IF($B619="","",IF(LEFT($B619,1)="━","",VLOOKUP($B619,'4. CÀI ĐẶT'!$A$2:$H$32,6,FALSE)))</f>
        <v/>
      </c>
      <c r="J619" s="13">
        <f>IF($A619="","",EOMONTH($A619,0))</f>
        <v/>
      </c>
      <c r="K619" s="67">
        <f>IF($B619="",0,IF(LEFT($B619,1)="━",0,$C619*VLOOKUP($B619,'4. CÀI ĐẶT'!$A$2:$H$32,7,FALSE)))</f>
        <v/>
      </c>
    </row>
    <row r="620">
      <c r="A620" s="8" t="n"/>
      <c r="B620" s="9" t="n"/>
      <c r="C620" s="65" t="n"/>
      <c r="D620" s="9" t="n"/>
      <c r="E620" s="66">
        <f>IF($B620="","",IF(LEFT($B620,1)="━","⚠️ Chọn hạng mục cụ thể",$C620*VLOOKUP($B620,'4. CÀI ĐẶT'!$A$2:$H$32,2,FALSE)))</f>
        <v/>
      </c>
      <c r="F620" s="67">
        <f>IF($B620="",0,IF(LEFT($B620,1)="━",0,$C620*VLOOKUP($B620,'4. CÀI ĐẶT'!$A$2:$H$32,3,FALSE)))</f>
        <v/>
      </c>
      <c r="G620" s="67">
        <f>IF($B620="",0,IF(LEFT($B620,1)="━",0,$C620*VLOOKUP($B620,'4. CÀI ĐẶT'!$A$2:$H$32,4,FALSE)))</f>
        <v/>
      </c>
      <c r="H620" s="67">
        <f>IF($B620="",0,IF(LEFT($B620,1)="━",0,$C620*VLOOKUP($B620,'4. CÀI ĐẶT'!$A$2:$H$32,5,FALSE)))</f>
        <v/>
      </c>
      <c r="I620">
        <f>IF($B620="","",IF(LEFT($B620,1)="━","",VLOOKUP($B620,'4. CÀI ĐẶT'!$A$2:$H$32,6,FALSE)))</f>
        <v/>
      </c>
      <c r="J620" s="13">
        <f>IF($A620="","",EOMONTH($A620,0))</f>
        <v/>
      </c>
      <c r="K620" s="67">
        <f>IF($B620="",0,IF(LEFT($B620,1)="━",0,$C620*VLOOKUP($B620,'4. CÀI ĐẶT'!$A$2:$H$32,7,FALSE)))</f>
        <v/>
      </c>
    </row>
    <row r="621">
      <c r="A621" s="8" t="n"/>
      <c r="B621" s="9" t="n"/>
      <c r="C621" s="65" t="n"/>
      <c r="D621" s="9" t="n"/>
      <c r="E621" s="66">
        <f>IF($B621="","",IF(LEFT($B621,1)="━","⚠️ Chọn hạng mục cụ thể",$C621*VLOOKUP($B621,'4. CÀI ĐẶT'!$A$2:$H$32,2,FALSE)))</f>
        <v/>
      </c>
      <c r="F621" s="67">
        <f>IF($B621="",0,IF(LEFT($B621,1)="━",0,$C621*VLOOKUP($B621,'4. CÀI ĐẶT'!$A$2:$H$32,3,FALSE)))</f>
        <v/>
      </c>
      <c r="G621" s="67">
        <f>IF($B621="",0,IF(LEFT($B621,1)="━",0,$C621*VLOOKUP($B621,'4. CÀI ĐẶT'!$A$2:$H$32,4,FALSE)))</f>
        <v/>
      </c>
      <c r="H621" s="67">
        <f>IF($B621="",0,IF(LEFT($B621,1)="━",0,$C621*VLOOKUP($B621,'4. CÀI ĐẶT'!$A$2:$H$32,5,FALSE)))</f>
        <v/>
      </c>
      <c r="I621">
        <f>IF($B621="","",IF(LEFT($B621,1)="━","",VLOOKUP($B621,'4. CÀI ĐẶT'!$A$2:$H$32,6,FALSE)))</f>
        <v/>
      </c>
      <c r="J621" s="13">
        <f>IF($A621="","",EOMONTH($A621,0))</f>
        <v/>
      </c>
      <c r="K621" s="67">
        <f>IF($B621="",0,IF(LEFT($B621,1)="━",0,$C621*VLOOKUP($B621,'4. CÀI ĐẶT'!$A$2:$H$32,7,FALSE)))</f>
        <v/>
      </c>
    </row>
    <row r="622">
      <c r="A622" s="8" t="n"/>
      <c r="B622" s="9" t="n"/>
      <c r="C622" s="65" t="n"/>
      <c r="D622" s="9" t="n"/>
      <c r="E622" s="66">
        <f>IF($B622="","",IF(LEFT($B622,1)="━","⚠️ Chọn hạng mục cụ thể",$C622*VLOOKUP($B622,'4. CÀI ĐẶT'!$A$2:$H$32,2,FALSE)))</f>
        <v/>
      </c>
      <c r="F622" s="67">
        <f>IF($B622="",0,IF(LEFT($B622,1)="━",0,$C622*VLOOKUP($B622,'4. CÀI ĐẶT'!$A$2:$H$32,3,FALSE)))</f>
        <v/>
      </c>
      <c r="G622" s="67">
        <f>IF($B622="",0,IF(LEFT($B622,1)="━",0,$C622*VLOOKUP($B622,'4. CÀI ĐẶT'!$A$2:$H$32,4,FALSE)))</f>
        <v/>
      </c>
      <c r="H622" s="67">
        <f>IF($B622="",0,IF(LEFT($B622,1)="━",0,$C622*VLOOKUP($B622,'4. CÀI ĐẶT'!$A$2:$H$32,5,FALSE)))</f>
        <v/>
      </c>
      <c r="I622">
        <f>IF($B622="","",IF(LEFT($B622,1)="━","",VLOOKUP($B622,'4. CÀI ĐẶT'!$A$2:$H$32,6,FALSE)))</f>
        <v/>
      </c>
      <c r="J622" s="13">
        <f>IF($A622="","",EOMONTH($A622,0))</f>
        <v/>
      </c>
      <c r="K622" s="67">
        <f>IF($B622="",0,IF(LEFT($B622,1)="━",0,$C622*VLOOKUP($B622,'4. CÀI ĐẶT'!$A$2:$H$32,7,FALSE)))</f>
        <v/>
      </c>
    </row>
    <row r="623">
      <c r="A623" s="8" t="n"/>
      <c r="B623" s="9" t="n"/>
      <c r="C623" s="65" t="n"/>
      <c r="D623" s="9" t="n"/>
      <c r="E623" s="66">
        <f>IF($B623="","",IF(LEFT($B623,1)="━","⚠️ Chọn hạng mục cụ thể",$C623*VLOOKUP($B623,'4. CÀI ĐẶT'!$A$2:$H$32,2,FALSE)))</f>
        <v/>
      </c>
      <c r="F623" s="67">
        <f>IF($B623="",0,IF(LEFT($B623,1)="━",0,$C623*VLOOKUP($B623,'4. CÀI ĐẶT'!$A$2:$H$32,3,FALSE)))</f>
        <v/>
      </c>
      <c r="G623" s="67">
        <f>IF($B623="",0,IF(LEFT($B623,1)="━",0,$C623*VLOOKUP($B623,'4. CÀI ĐẶT'!$A$2:$H$32,4,FALSE)))</f>
        <v/>
      </c>
      <c r="H623" s="67">
        <f>IF($B623="",0,IF(LEFT($B623,1)="━",0,$C623*VLOOKUP($B623,'4. CÀI ĐẶT'!$A$2:$H$32,5,FALSE)))</f>
        <v/>
      </c>
      <c r="I623">
        <f>IF($B623="","",IF(LEFT($B623,1)="━","",VLOOKUP($B623,'4. CÀI ĐẶT'!$A$2:$H$32,6,FALSE)))</f>
        <v/>
      </c>
      <c r="J623" s="13">
        <f>IF($A623="","",EOMONTH($A623,0))</f>
        <v/>
      </c>
      <c r="K623" s="67">
        <f>IF($B623="",0,IF(LEFT($B623,1)="━",0,$C623*VLOOKUP($B623,'4. CÀI ĐẶT'!$A$2:$H$32,7,FALSE)))</f>
        <v/>
      </c>
    </row>
    <row r="624">
      <c r="A624" s="8" t="n"/>
      <c r="B624" s="9" t="n"/>
      <c r="C624" s="65" t="n"/>
      <c r="D624" s="9" t="n"/>
      <c r="E624" s="66">
        <f>IF($B624="","",IF(LEFT($B624,1)="━","⚠️ Chọn hạng mục cụ thể",$C624*VLOOKUP($B624,'4. CÀI ĐẶT'!$A$2:$H$32,2,FALSE)))</f>
        <v/>
      </c>
      <c r="F624" s="67">
        <f>IF($B624="",0,IF(LEFT($B624,1)="━",0,$C624*VLOOKUP($B624,'4. CÀI ĐẶT'!$A$2:$H$32,3,FALSE)))</f>
        <v/>
      </c>
      <c r="G624" s="67">
        <f>IF($B624="",0,IF(LEFT($B624,1)="━",0,$C624*VLOOKUP($B624,'4. CÀI ĐẶT'!$A$2:$H$32,4,FALSE)))</f>
        <v/>
      </c>
      <c r="H624" s="67">
        <f>IF($B624="",0,IF(LEFT($B624,1)="━",0,$C624*VLOOKUP($B624,'4. CÀI ĐẶT'!$A$2:$H$32,5,FALSE)))</f>
        <v/>
      </c>
      <c r="I624">
        <f>IF($B624="","",IF(LEFT($B624,1)="━","",VLOOKUP($B624,'4. CÀI ĐẶT'!$A$2:$H$32,6,FALSE)))</f>
        <v/>
      </c>
      <c r="J624" s="13">
        <f>IF($A624="","",EOMONTH($A624,0))</f>
        <v/>
      </c>
      <c r="K624" s="67">
        <f>IF($B624="",0,IF(LEFT($B624,1)="━",0,$C624*VLOOKUP($B624,'4. CÀI ĐẶT'!$A$2:$H$32,7,FALSE)))</f>
        <v/>
      </c>
    </row>
    <row r="625">
      <c r="A625" s="8" t="n"/>
      <c r="B625" s="9" t="n"/>
      <c r="C625" s="65" t="n"/>
      <c r="D625" s="9" t="n"/>
      <c r="E625" s="66">
        <f>IF($B625="","",IF(LEFT($B625,1)="━","⚠️ Chọn hạng mục cụ thể",$C625*VLOOKUP($B625,'4. CÀI ĐẶT'!$A$2:$H$32,2,FALSE)))</f>
        <v/>
      </c>
      <c r="F625" s="67">
        <f>IF($B625="",0,IF(LEFT($B625,1)="━",0,$C625*VLOOKUP($B625,'4. CÀI ĐẶT'!$A$2:$H$32,3,FALSE)))</f>
        <v/>
      </c>
      <c r="G625" s="67">
        <f>IF($B625="",0,IF(LEFT($B625,1)="━",0,$C625*VLOOKUP($B625,'4. CÀI ĐẶT'!$A$2:$H$32,4,FALSE)))</f>
        <v/>
      </c>
      <c r="H625" s="67">
        <f>IF($B625="",0,IF(LEFT($B625,1)="━",0,$C625*VLOOKUP($B625,'4. CÀI ĐẶT'!$A$2:$H$32,5,FALSE)))</f>
        <v/>
      </c>
      <c r="I625">
        <f>IF($B625="","",IF(LEFT($B625,1)="━","",VLOOKUP($B625,'4. CÀI ĐẶT'!$A$2:$H$32,6,FALSE)))</f>
        <v/>
      </c>
      <c r="J625" s="13">
        <f>IF($A625="","",EOMONTH($A625,0))</f>
        <v/>
      </c>
      <c r="K625" s="67">
        <f>IF($B625="",0,IF(LEFT($B625,1)="━",0,$C625*VLOOKUP($B625,'4. CÀI ĐẶT'!$A$2:$H$32,7,FALSE)))</f>
        <v/>
      </c>
    </row>
    <row r="626">
      <c r="A626" s="8" t="n"/>
      <c r="B626" s="9" t="n"/>
      <c r="C626" s="65" t="n"/>
      <c r="D626" s="9" t="n"/>
      <c r="E626" s="66">
        <f>IF($B626="","",IF(LEFT($B626,1)="━","⚠️ Chọn hạng mục cụ thể",$C626*VLOOKUP($B626,'4. CÀI ĐẶT'!$A$2:$H$32,2,FALSE)))</f>
        <v/>
      </c>
      <c r="F626" s="67">
        <f>IF($B626="",0,IF(LEFT($B626,1)="━",0,$C626*VLOOKUP($B626,'4. CÀI ĐẶT'!$A$2:$H$32,3,FALSE)))</f>
        <v/>
      </c>
      <c r="G626" s="67">
        <f>IF($B626="",0,IF(LEFT($B626,1)="━",0,$C626*VLOOKUP($B626,'4. CÀI ĐẶT'!$A$2:$H$32,4,FALSE)))</f>
        <v/>
      </c>
      <c r="H626" s="67">
        <f>IF($B626="",0,IF(LEFT($B626,1)="━",0,$C626*VLOOKUP($B626,'4. CÀI ĐẶT'!$A$2:$H$32,5,FALSE)))</f>
        <v/>
      </c>
      <c r="I626">
        <f>IF($B626="","",IF(LEFT($B626,1)="━","",VLOOKUP($B626,'4. CÀI ĐẶT'!$A$2:$H$32,6,FALSE)))</f>
        <v/>
      </c>
      <c r="J626" s="13">
        <f>IF($A626="","",EOMONTH($A626,0))</f>
        <v/>
      </c>
      <c r="K626" s="67">
        <f>IF($B626="",0,IF(LEFT($B626,1)="━",0,$C626*VLOOKUP($B626,'4. CÀI ĐẶT'!$A$2:$H$32,7,FALSE)))</f>
        <v/>
      </c>
    </row>
    <row r="627">
      <c r="A627" s="8" t="n"/>
      <c r="B627" s="9" t="n"/>
      <c r="C627" s="65" t="n"/>
      <c r="D627" s="9" t="n"/>
      <c r="E627" s="66">
        <f>IF($B627="","",IF(LEFT($B627,1)="━","⚠️ Chọn hạng mục cụ thể",$C627*VLOOKUP($B627,'4. CÀI ĐẶT'!$A$2:$H$32,2,FALSE)))</f>
        <v/>
      </c>
      <c r="F627" s="67">
        <f>IF($B627="",0,IF(LEFT($B627,1)="━",0,$C627*VLOOKUP($B627,'4. CÀI ĐẶT'!$A$2:$H$32,3,FALSE)))</f>
        <v/>
      </c>
      <c r="G627" s="67">
        <f>IF($B627="",0,IF(LEFT($B627,1)="━",0,$C627*VLOOKUP($B627,'4. CÀI ĐẶT'!$A$2:$H$32,4,FALSE)))</f>
        <v/>
      </c>
      <c r="H627" s="67">
        <f>IF($B627="",0,IF(LEFT($B627,1)="━",0,$C627*VLOOKUP($B627,'4. CÀI ĐẶT'!$A$2:$H$32,5,FALSE)))</f>
        <v/>
      </c>
      <c r="I627">
        <f>IF($B627="","",IF(LEFT($B627,1)="━","",VLOOKUP($B627,'4. CÀI ĐẶT'!$A$2:$H$32,6,FALSE)))</f>
        <v/>
      </c>
      <c r="J627" s="13">
        <f>IF($A627="","",EOMONTH($A627,0))</f>
        <v/>
      </c>
      <c r="K627" s="67">
        <f>IF($B627="",0,IF(LEFT($B627,1)="━",0,$C627*VLOOKUP($B627,'4. CÀI ĐẶT'!$A$2:$H$32,7,FALSE)))</f>
        <v/>
      </c>
    </row>
    <row r="628">
      <c r="A628" s="8" t="n"/>
      <c r="B628" s="9" t="n"/>
      <c r="C628" s="65" t="n"/>
      <c r="D628" s="9" t="n"/>
      <c r="E628" s="66">
        <f>IF($B628="","",IF(LEFT($B628,1)="━","⚠️ Chọn hạng mục cụ thể",$C628*VLOOKUP($B628,'4. CÀI ĐẶT'!$A$2:$H$32,2,FALSE)))</f>
        <v/>
      </c>
      <c r="F628" s="67">
        <f>IF($B628="",0,IF(LEFT($B628,1)="━",0,$C628*VLOOKUP($B628,'4. CÀI ĐẶT'!$A$2:$H$32,3,FALSE)))</f>
        <v/>
      </c>
      <c r="G628" s="67">
        <f>IF($B628="",0,IF(LEFT($B628,1)="━",0,$C628*VLOOKUP($B628,'4. CÀI ĐẶT'!$A$2:$H$32,4,FALSE)))</f>
        <v/>
      </c>
      <c r="H628" s="67">
        <f>IF($B628="",0,IF(LEFT($B628,1)="━",0,$C628*VLOOKUP($B628,'4. CÀI ĐẶT'!$A$2:$H$32,5,FALSE)))</f>
        <v/>
      </c>
      <c r="I628">
        <f>IF($B628="","",IF(LEFT($B628,1)="━","",VLOOKUP($B628,'4. CÀI ĐẶT'!$A$2:$H$32,6,FALSE)))</f>
        <v/>
      </c>
      <c r="J628" s="13">
        <f>IF($A628="","",EOMONTH($A628,0))</f>
        <v/>
      </c>
      <c r="K628" s="67">
        <f>IF($B628="",0,IF(LEFT($B628,1)="━",0,$C628*VLOOKUP($B628,'4. CÀI ĐẶT'!$A$2:$H$32,7,FALSE)))</f>
        <v/>
      </c>
    </row>
    <row r="629">
      <c r="A629" s="8" t="n"/>
      <c r="B629" s="9" t="n"/>
      <c r="C629" s="65" t="n"/>
      <c r="D629" s="9" t="n"/>
      <c r="E629" s="66">
        <f>IF($B629="","",IF(LEFT($B629,1)="━","⚠️ Chọn hạng mục cụ thể",$C629*VLOOKUP($B629,'4. CÀI ĐẶT'!$A$2:$H$32,2,FALSE)))</f>
        <v/>
      </c>
      <c r="F629" s="67">
        <f>IF($B629="",0,IF(LEFT($B629,1)="━",0,$C629*VLOOKUP($B629,'4. CÀI ĐẶT'!$A$2:$H$32,3,FALSE)))</f>
        <v/>
      </c>
      <c r="G629" s="67">
        <f>IF($B629="",0,IF(LEFT($B629,1)="━",0,$C629*VLOOKUP($B629,'4. CÀI ĐẶT'!$A$2:$H$32,4,FALSE)))</f>
        <v/>
      </c>
      <c r="H629" s="67">
        <f>IF($B629="",0,IF(LEFT($B629,1)="━",0,$C629*VLOOKUP($B629,'4. CÀI ĐẶT'!$A$2:$H$32,5,FALSE)))</f>
        <v/>
      </c>
      <c r="I629">
        <f>IF($B629="","",IF(LEFT($B629,1)="━","",VLOOKUP($B629,'4. CÀI ĐẶT'!$A$2:$H$32,6,FALSE)))</f>
        <v/>
      </c>
      <c r="J629" s="13">
        <f>IF($A629="","",EOMONTH($A629,0))</f>
        <v/>
      </c>
      <c r="K629" s="67">
        <f>IF($B629="",0,IF(LEFT($B629,1)="━",0,$C629*VLOOKUP($B629,'4. CÀI ĐẶT'!$A$2:$H$32,7,FALSE)))</f>
        <v/>
      </c>
    </row>
    <row r="630">
      <c r="A630" s="8" t="n"/>
      <c r="B630" s="9" t="n"/>
      <c r="C630" s="65" t="n"/>
      <c r="D630" s="9" t="n"/>
      <c r="E630" s="66">
        <f>IF($B630="","",IF(LEFT($B630,1)="━","⚠️ Chọn hạng mục cụ thể",$C630*VLOOKUP($B630,'4. CÀI ĐẶT'!$A$2:$H$32,2,FALSE)))</f>
        <v/>
      </c>
      <c r="F630" s="67">
        <f>IF($B630="",0,IF(LEFT($B630,1)="━",0,$C630*VLOOKUP($B630,'4. CÀI ĐẶT'!$A$2:$H$32,3,FALSE)))</f>
        <v/>
      </c>
      <c r="G630" s="67">
        <f>IF($B630="",0,IF(LEFT($B630,1)="━",0,$C630*VLOOKUP($B630,'4. CÀI ĐẶT'!$A$2:$H$32,4,FALSE)))</f>
        <v/>
      </c>
      <c r="H630" s="67">
        <f>IF($B630="",0,IF(LEFT($B630,1)="━",0,$C630*VLOOKUP($B630,'4. CÀI ĐẶT'!$A$2:$H$32,5,FALSE)))</f>
        <v/>
      </c>
      <c r="I630">
        <f>IF($B630="","",IF(LEFT($B630,1)="━","",VLOOKUP($B630,'4. CÀI ĐẶT'!$A$2:$H$32,6,FALSE)))</f>
        <v/>
      </c>
      <c r="J630" s="13">
        <f>IF($A630="","",EOMONTH($A630,0))</f>
        <v/>
      </c>
      <c r="K630" s="67">
        <f>IF($B630="",0,IF(LEFT($B630,1)="━",0,$C630*VLOOKUP($B630,'4. CÀI ĐẶT'!$A$2:$H$32,7,FALSE)))</f>
        <v/>
      </c>
    </row>
    <row r="631">
      <c r="A631" s="8" t="n"/>
      <c r="B631" s="9" t="n"/>
      <c r="C631" s="65" t="n"/>
      <c r="D631" s="9" t="n"/>
      <c r="E631" s="66">
        <f>IF($B631="","",IF(LEFT($B631,1)="━","⚠️ Chọn hạng mục cụ thể",$C631*VLOOKUP($B631,'4. CÀI ĐẶT'!$A$2:$H$32,2,FALSE)))</f>
        <v/>
      </c>
      <c r="F631" s="67">
        <f>IF($B631="",0,IF(LEFT($B631,1)="━",0,$C631*VLOOKUP($B631,'4. CÀI ĐẶT'!$A$2:$H$32,3,FALSE)))</f>
        <v/>
      </c>
      <c r="G631" s="67">
        <f>IF($B631="",0,IF(LEFT($B631,1)="━",0,$C631*VLOOKUP($B631,'4. CÀI ĐẶT'!$A$2:$H$32,4,FALSE)))</f>
        <v/>
      </c>
      <c r="H631" s="67">
        <f>IF($B631="",0,IF(LEFT($B631,1)="━",0,$C631*VLOOKUP($B631,'4. CÀI ĐẶT'!$A$2:$H$32,5,FALSE)))</f>
        <v/>
      </c>
      <c r="I631">
        <f>IF($B631="","",IF(LEFT($B631,1)="━","",VLOOKUP($B631,'4. CÀI ĐẶT'!$A$2:$H$32,6,FALSE)))</f>
        <v/>
      </c>
      <c r="J631" s="13">
        <f>IF($A631="","",EOMONTH($A631,0))</f>
        <v/>
      </c>
      <c r="K631" s="67">
        <f>IF($B631="",0,IF(LEFT($B631,1)="━",0,$C631*VLOOKUP($B631,'4. CÀI ĐẶT'!$A$2:$H$32,7,FALSE)))</f>
        <v/>
      </c>
    </row>
    <row r="632">
      <c r="A632" s="8" t="n"/>
      <c r="B632" s="9" t="n"/>
      <c r="C632" s="65" t="n"/>
      <c r="D632" s="9" t="n"/>
      <c r="E632" s="66">
        <f>IF($B632="","",IF(LEFT($B632,1)="━","⚠️ Chọn hạng mục cụ thể",$C632*VLOOKUP($B632,'4. CÀI ĐẶT'!$A$2:$H$32,2,FALSE)))</f>
        <v/>
      </c>
      <c r="F632" s="67">
        <f>IF($B632="",0,IF(LEFT($B632,1)="━",0,$C632*VLOOKUP($B632,'4. CÀI ĐẶT'!$A$2:$H$32,3,FALSE)))</f>
        <v/>
      </c>
      <c r="G632" s="67">
        <f>IF($B632="",0,IF(LEFT($B632,1)="━",0,$C632*VLOOKUP($B632,'4. CÀI ĐẶT'!$A$2:$H$32,4,FALSE)))</f>
        <v/>
      </c>
      <c r="H632" s="67">
        <f>IF($B632="",0,IF(LEFT($B632,1)="━",0,$C632*VLOOKUP($B632,'4. CÀI ĐẶT'!$A$2:$H$32,5,FALSE)))</f>
        <v/>
      </c>
      <c r="I632">
        <f>IF($B632="","",IF(LEFT($B632,1)="━","",VLOOKUP($B632,'4. CÀI ĐẶT'!$A$2:$H$32,6,FALSE)))</f>
        <v/>
      </c>
      <c r="J632" s="13">
        <f>IF($A632="","",EOMONTH($A632,0))</f>
        <v/>
      </c>
      <c r="K632" s="67">
        <f>IF($B632="",0,IF(LEFT($B632,1)="━",0,$C632*VLOOKUP($B632,'4. CÀI ĐẶT'!$A$2:$H$32,7,FALSE)))</f>
        <v/>
      </c>
    </row>
    <row r="633">
      <c r="A633" s="8" t="n"/>
      <c r="B633" s="9" t="n"/>
      <c r="C633" s="65" t="n"/>
      <c r="D633" s="9" t="n"/>
      <c r="E633" s="66">
        <f>IF($B633="","",IF(LEFT($B633,1)="━","⚠️ Chọn hạng mục cụ thể",$C633*VLOOKUP($B633,'4. CÀI ĐẶT'!$A$2:$H$32,2,FALSE)))</f>
        <v/>
      </c>
      <c r="F633" s="67">
        <f>IF($B633="",0,IF(LEFT($B633,1)="━",0,$C633*VLOOKUP($B633,'4. CÀI ĐẶT'!$A$2:$H$32,3,FALSE)))</f>
        <v/>
      </c>
      <c r="G633" s="67">
        <f>IF($B633="",0,IF(LEFT($B633,1)="━",0,$C633*VLOOKUP($B633,'4. CÀI ĐẶT'!$A$2:$H$32,4,FALSE)))</f>
        <v/>
      </c>
      <c r="H633" s="67">
        <f>IF($B633="",0,IF(LEFT($B633,1)="━",0,$C633*VLOOKUP($B633,'4. CÀI ĐẶT'!$A$2:$H$32,5,FALSE)))</f>
        <v/>
      </c>
      <c r="I633">
        <f>IF($B633="","",IF(LEFT($B633,1)="━","",VLOOKUP($B633,'4. CÀI ĐẶT'!$A$2:$H$32,6,FALSE)))</f>
        <v/>
      </c>
      <c r="J633" s="13">
        <f>IF($A633="","",EOMONTH($A633,0))</f>
        <v/>
      </c>
      <c r="K633" s="67">
        <f>IF($B633="",0,IF(LEFT($B633,1)="━",0,$C633*VLOOKUP($B633,'4. CÀI ĐẶT'!$A$2:$H$32,7,FALSE)))</f>
        <v/>
      </c>
    </row>
    <row r="634">
      <c r="A634" s="8" t="n"/>
      <c r="B634" s="9" t="n"/>
      <c r="C634" s="65" t="n"/>
      <c r="D634" s="9" t="n"/>
      <c r="E634" s="66">
        <f>IF($B634="","",IF(LEFT($B634,1)="━","⚠️ Chọn hạng mục cụ thể",$C634*VLOOKUP($B634,'4. CÀI ĐẶT'!$A$2:$H$32,2,FALSE)))</f>
        <v/>
      </c>
      <c r="F634" s="67">
        <f>IF($B634="",0,IF(LEFT($B634,1)="━",0,$C634*VLOOKUP($B634,'4. CÀI ĐẶT'!$A$2:$H$32,3,FALSE)))</f>
        <v/>
      </c>
      <c r="G634" s="67">
        <f>IF($B634="",0,IF(LEFT($B634,1)="━",0,$C634*VLOOKUP($B634,'4. CÀI ĐẶT'!$A$2:$H$32,4,FALSE)))</f>
        <v/>
      </c>
      <c r="H634" s="67">
        <f>IF($B634="",0,IF(LEFT($B634,1)="━",0,$C634*VLOOKUP($B634,'4. CÀI ĐẶT'!$A$2:$H$32,5,FALSE)))</f>
        <v/>
      </c>
      <c r="I634">
        <f>IF($B634="","",IF(LEFT($B634,1)="━","",VLOOKUP($B634,'4. CÀI ĐẶT'!$A$2:$H$32,6,FALSE)))</f>
        <v/>
      </c>
      <c r="J634" s="13">
        <f>IF($A634="","",EOMONTH($A634,0))</f>
        <v/>
      </c>
      <c r="K634" s="67">
        <f>IF($B634="",0,IF(LEFT($B634,1)="━",0,$C634*VLOOKUP($B634,'4. CÀI ĐẶT'!$A$2:$H$32,7,FALSE)))</f>
        <v/>
      </c>
    </row>
    <row r="635">
      <c r="A635" s="8" t="n"/>
      <c r="B635" s="9" t="n"/>
      <c r="C635" s="65" t="n"/>
      <c r="D635" s="9" t="n"/>
      <c r="E635" s="66">
        <f>IF($B635="","",IF(LEFT($B635,1)="━","⚠️ Chọn hạng mục cụ thể",$C635*VLOOKUP($B635,'4. CÀI ĐẶT'!$A$2:$H$32,2,FALSE)))</f>
        <v/>
      </c>
      <c r="F635" s="67">
        <f>IF($B635="",0,IF(LEFT($B635,1)="━",0,$C635*VLOOKUP($B635,'4. CÀI ĐẶT'!$A$2:$H$32,3,FALSE)))</f>
        <v/>
      </c>
      <c r="G635" s="67">
        <f>IF($B635="",0,IF(LEFT($B635,1)="━",0,$C635*VLOOKUP($B635,'4. CÀI ĐẶT'!$A$2:$H$32,4,FALSE)))</f>
        <v/>
      </c>
      <c r="H635" s="67">
        <f>IF($B635="",0,IF(LEFT($B635,1)="━",0,$C635*VLOOKUP($B635,'4. CÀI ĐẶT'!$A$2:$H$32,5,FALSE)))</f>
        <v/>
      </c>
      <c r="I635">
        <f>IF($B635="","",IF(LEFT($B635,1)="━","",VLOOKUP($B635,'4. CÀI ĐẶT'!$A$2:$H$32,6,FALSE)))</f>
        <v/>
      </c>
      <c r="J635" s="13">
        <f>IF($A635="","",EOMONTH($A635,0))</f>
        <v/>
      </c>
      <c r="K635" s="67">
        <f>IF($B635="",0,IF(LEFT($B635,1)="━",0,$C635*VLOOKUP($B635,'4. CÀI ĐẶT'!$A$2:$H$32,7,FALSE)))</f>
        <v/>
      </c>
    </row>
    <row r="636">
      <c r="A636" s="8" t="n"/>
      <c r="B636" s="9" t="n"/>
      <c r="C636" s="65" t="n"/>
      <c r="D636" s="9" t="n"/>
      <c r="E636" s="66">
        <f>IF($B636="","",IF(LEFT($B636,1)="━","⚠️ Chọn hạng mục cụ thể",$C636*VLOOKUP($B636,'4. CÀI ĐẶT'!$A$2:$H$32,2,FALSE)))</f>
        <v/>
      </c>
      <c r="F636" s="67">
        <f>IF($B636="",0,IF(LEFT($B636,1)="━",0,$C636*VLOOKUP($B636,'4. CÀI ĐẶT'!$A$2:$H$32,3,FALSE)))</f>
        <v/>
      </c>
      <c r="G636" s="67">
        <f>IF($B636="",0,IF(LEFT($B636,1)="━",0,$C636*VLOOKUP($B636,'4. CÀI ĐẶT'!$A$2:$H$32,4,FALSE)))</f>
        <v/>
      </c>
      <c r="H636" s="67">
        <f>IF($B636="",0,IF(LEFT($B636,1)="━",0,$C636*VLOOKUP($B636,'4. CÀI ĐẶT'!$A$2:$H$32,5,FALSE)))</f>
        <v/>
      </c>
      <c r="I636">
        <f>IF($B636="","",IF(LEFT($B636,1)="━","",VLOOKUP($B636,'4. CÀI ĐẶT'!$A$2:$H$32,6,FALSE)))</f>
        <v/>
      </c>
      <c r="J636" s="13">
        <f>IF($A636="","",EOMONTH($A636,0))</f>
        <v/>
      </c>
      <c r="K636" s="67">
        <f>IF($B636="",0,IF(LEFT($B636,1)="━",0,$C636*VLOOKUP($B636,'4. CÀI ĐẶT'!$A$2:$H$32,7,FALSE)))</f>
        <v/>
      </c>
    </row>
    <row r="637">
      <c r="A637" s="8" t="n"/>
      <c r="B637" s="9" t="n"/>
      <c r="C637" s="65" t="n"/>
      <c r="D637" s="9" t="n"/>
      <c r="E637" s="66">
        <f>IF($B637="","",IF(LEFT($B637,1)="━","⚠️ Chọn hạng mục cụ thể",$C637*VLOOKUP($B637,'4. CÀI ĐẶT'!$A$2:$H$32,2,FALSE)))</f>
        <v/>
      </c>
      <c r="F637" s="67">
        <f>IF($B637="",0,IF(LEFT($B637,1)="━",0,$C637*VLOOKUP($B637,'4. CÀI ĐẶT'!$A$2:$H$32,3,FALSE)))</f>
        <v/>
      </c>
      <c r="G637" s="67">
        <f>IF($B637="",0,IF(LEFT($B637,1)="━",0,$C637*VLOOKUP($B637,'4. CÀI ĐẶT'!$A$2:$H$32,4,FALSE)))</f>
        <v/>
      </c>
      <c r="H637" s="67">
        <f>IF($B637="",0,IF(LEFT($B637,1)="━",0,$C637*VLOOKUP($B637,'4. CÀI ĐẶT'!$A$2:$H$32,5,FALSE)))</f>
        <v/>
      </c>
      <c r="I637">
        <f>IF($B637="","",IF(LEFT($B637,1)="━","",VLOOKUP($B637,'4. CÀI ĐẶT'!$A$2:$H$32,6,FALSE)))</f>
        <v/>
      </c>
      <c r="J637" s="13">
        <f>IF($A637="","",EOMONTH($A637,0))</f>
        <v/>
      </c>
      <c r="K637" s="67">
        <f>IF($B637="",0,IF(LEFT($B637,1)="━",0,$C637*VLOOKUP($B637,'4. CÀI ĐẶT'!$A$2:$H$32,7,FALSE)))</f>
        <v/>
      </c>
    </row>
    <row r="638">
      <c r="A638" s="8" t="n"/>
      <c r="B638" s="9" t="n"/>
      <c r="C638" s="65" t="n"/>
      <c r="D638" s="9" t="n"/>
      <c r="E638" s="66">
        <f>IF($B638="","",IF(LEFT($B638,1)="━","⚠️ Chọn hạng mục cụ thể",$C638*VLOOKUP($B638,'4. CÀI ĐẶT'!$A$2:$H$32,2,FALSE)))</f>
        <v/>
      </c>
      <c r="F638" s="67">
        <f>IF($B638="",0,IF(LEFT($B638,1)="━",0,$C638*VLOOKUP($B638,'4. CÀI ĐẶT'!$A$2:$H$32,3,FALSE)))</f>
        <v/>
      </c>
      <c r="G638" s="67">
        <f>IF($B638="",0,IF(LEFT($B638,1)="━",0,$C638*VLOOKUP($B638,'4. CÀI ĐẶT'!$A$2:$H$32,4,FALSE)))</f>
        <v/>
      </c>
      <c r="H638" s="67">
        <f>IF($B638="",0,IF(LEFT($B638,1)="━",0,$C638*VLOOKUP($B638,'4. CÀI ĐẶT'!$A$2:$H$32,5,FALSE)))</f>
        <v/>
      </c>
      <c r="I638">
        <f>IF($B638="","",IF(LEFT($B638,1)="━","",VLOOKUP($B638,'4. CÀI ĐẶT'!$A$2:$H$32,6,FALSE)))</f>
        <v/>
      </c>
      <c r="J638" s="13">
        <f>IF($A638="","",EOMONTH($A638,0))</f>
        <v/>
      </c>
      <c r="K638" s="67">
        <f>IF($B638="",0,IF(LEFT($B638,1)="━",0,$C638*VLOOKUP($B638,'4. CÀI ĐẶT'!$A$2:$H$32,7,FALSE)))</f>
        <v/>
      </c>
    </row>
    <row r="639">
      <c r="A639" s="8" t="n"/>
      <c r="B639" s="9" t="n"/>
      <c r="C639" s="65" t="n"/>
      <c r="D639" s="9" t="n"/>
      <c r="E639" s="66">
        <f>IF($B639="","",IF(LEFT($B639,1)="━","⚠️ Chọn hạng mục cụ thể",$C639*VLOOKUP($B639,'4. CÀI ĐẶT'!$A$2:$H$32,2,FALSE)))</f>
        <v/>
      </c>
      <c r="F639" s="67">
        <f>IF($B639="",0,IF(LEFT($B639,1)="━",0,$C639*VLOOKUP($B639,'4. CÀI ĐẶT'!$A$2:$H$32,3,FALSE)))</f>
        <v/>
      </c>
      <c r="G639" s="67">
        <f>IF($B639="",0,IF(LEFT($B639,1)="━",0,$C639*VLOOKUP($B639,'4. CÀI ĐẶT'!$A$2:$H$32,4,FALSE)))</f>
        <v/>
      </c>
      <c r="H639" s="67">
        <f>IF($B639="",0,IF(LEFT($B639,1)="━",0,$C639*VLOOKUP($B639,'4. CÀI ĐẶT'!$A$2:$H$32,5,FALSE)))</f>
        <v/>
      </c>
      <c r="I639">
        <f>IF($B639="","",IF(LEFT($B639,1)="━","",VLOOKUP($B639,'4. CÀI ĐẶT'!$A$2:$H$32,6,FALSE)))</f>
        <v/>
      </c>
      <c r="J639" s="13">
        <f>IF($A639="","",EOMONTH($A639,0))</f>
        <v/>
      </c>
      <c r="K639" s="67">
        <f>IF($B639="",0,IF(LEFT($B639,1)="━",0,$C639*VLOOKUP($B639,'4. CÀI ĐẶT'!$A$2:$H$32,7,FALSE)))</f>
        <v/>
      </c>
    </row>
    <row r="640">
      <c r="A640" s="8" t="n"/>
      <c r="B640" s="9" t="n"/>
      <c r="C640" s="65" t="n"/>
      <c r="D640" s="9" t="n"/>
      <c r="E640" s="66">
        <f>IF($B640="","",IF(LEFT($B640,1)="━","⚠️ Chọn hạng mục cụ thể",$C640*VLOOKUP($B640,'4. CÀI ĐẶT'!$A$2:$H$32,2,FALSE)))</f>
        <v/>
      </c>
      <c r="F640" s="67">
        <f>IF($B640="",0,IF(LEFT($B640,1)="━",0,$C640*VLOOKUP($B640,'4. CÀI ĐẶT'!$A$2:$H$32,3,FALSE)))</f>
        <v/>
      </c>
      <c r="G640" s="67">
        <f>IF($B640="",0,IF(LEFT($B640,1)="━",0,$C640*VLOOKUP($B640,'4. CÀI ĐẶT'!$A$2:$H$32,4,FALSE)))</f>
        <v/>
      </c>
      <c r="H640" s="67">
        <f>IF($B640="",0,IF(LEFT($B640,1)="━",0,$C640*VLOOKUP($B640,'4. CÀI ĐẶT'!$A$2:$H$32,5,FALSE)))</f>
        <v/>
      </c>
      <c r="I640">
        <f>IF($B640="","",IF(LEFT($B640,1)="━","",VLOOKUP($B640,'4. CÀI ĐẶT'!$A$2:$H$32,6,FALSE)))</f>
        <v/>
      </c>
      <c r="J640" s="13">
        <f>IF($A640="","",EOMONTH($A640,0))</f>
        <v/>
      </c>
      <c r="K640" s="67">
        <f>IF($B640="",0,IF(LEFT($B640,1)="━",0,$C640*VLOOKUP($B640,'4. CÀI ĐẶT'!$A$2:$H$32,7,FALSE)))</f>
        <v/>
      </c>
    </row>
    <row r="641">
      <c r="A641" s="8" t="n"/>
      <c r="B641" s="9" t="n"/>
      <c r="C641" s="65" t="n"/>
      <c r="D641" s="9" t="n"/>
      <c r="E641" s="66">
        <f>IF($B641="","",IF(LEFT($B641,1)="━","⚠️ Chọn hạng mục cụ thể",$C641*VLOOKUP($B641,'4. CÀI ĐẶT'!$A$2:$H$32,2,FALSE)))</f>
        <v/>
      </c>
      <c r="F641" s="67">
        <f>IF($B641="",0,IF(LEFT($B641,1)="━",0,$C641*VLOOKUP($B641,'4. CÀI ĐẶT'!$A$2:$H$32,3,FALSE)))</f>
        <v/>
      </c>
      <c r="G641" s="67">
        <f>IF($B641="",0,IF(LEFT($B641,1)="━",0,$C641*VLOOKUP($B641,'4. CÀI ĐẶT'!$A$2:$H$32,4,FALSE)))</f>
        <v/>
      </c>
      <c r="H641" s="67">
        <f>IF($B641="",0,IF(LEFT($B641,1)="━",0,$C641*VLOOKUP($B641,'4. CÀI ĐẶT'!$A$2:$H$32,5,FALSE)))</f>
        <v/>
      </c>
      <c r="I641">
        <f>IF($B641="","",IF(LEFT($B641,1)="━","",VLOOKUP($B641,'4. CÀI ĐẶT'!$A$2:$H$32,6,FALSE)))</f>
        <v/>
      </c>
      <c r="J641" s="13">
        <f>IF($A641="","",EOMONTH($A641,0))</f>
        <v/>
      </c>
      <c r="K641" s="67">
        <f>IF($B641="",0,IF(LEFT($B641,1)="━",0,$C641*VLOOKUP($B641,'4. CÀI ĐẶT'!$A$2:$H$32,7,FALSE)))</f>
        <v/>
      </c>
    </row>
    <row r="642">
      <c r="A642" s="8" t="n"/>
      <c r="B642" s="9" t="n"/>
      <c r="C642" s="65" t="n"/>
      <c r="D642" s="9" t="n"/>
      <c r="E642" s="66">
        <f>IF($B642="","",IF(LEFT($B642,1)="━","⚠️ Chọn hạng mục cụ thể",$C642*VLOOKUP($B642,'4. CÀI ĐẶT'!$A$2:$H$32,2,FALSE)))</f>
        <v/>
      </c>
      <c r="F642" s="67">
        <f>IF($B642="",0,IF(LEFT($B642,1)="━",0,$C642*VLOOKUP($B642,'4. CÀI ĐẶT'!$A$2:$H$32,3,FALSE)))</f>
        <v/>
      </c>
      <c r="G642" s="67">
        <f>IF($B642="",0,IF(LEFT($B642,1)="━",0,$C642*VLOOKUP($B642,'4. CÀI ĐẶT'!$A$2:$H$32,4,FALSE)))</f>
        <v/>
      </c>
      <c r="H642" s="67">
        <f>IF($B642="",0,IF(LEFT($B642,1)="━",0,$C642*VLOOKUP($B642,'4. CÀI ĐẶT'!$A$2:$H$32,5,FALSE)))</f>
        <v/>
      </c>
      <c r="I642">
        <f>IF($B642="","",IF(LEFT($B642,1)="━","",VLOOKUP($B642,'4. CÀI ĐẶT'!$A$2:$H$32,6,FALSE)))</f>
        <v/>
      </c>
      <c r="J642" s="13">
        <f>IF($A642="","",EOMONTH($A642,0))</f>
        <v/>
      </c>
      <c r="K642" s="67">
        <f>IF($B642="",0,IF(LEFT($B642,1)="━",0,$C642*VLOOKUP($B642,'4. CÀI ĐẶT'!$A$2:$H$32,7,FALSE)))</f>
        <v/>
      </c>
    </row>
    <row r="643">
      <c r="A643" s="8" t="n"/>
      <c r="B643" s="9" t="n"/>
      <c r="C643" s="65" t="n"/>
      <c r="D643" s="9" t="n"/>
      <c r="E643" s="66">
        <f>IF($B643="","",IF(LEFT($B643,1)="━","⚠️ Chọn hạng mục cụ thể",$C643*VLOOKUP($B643,'4. CÀI ĐẶT'!$A$2:$H$32,2,FALSE)))</f>
        <v/>
      </c>
      <c r="F643" s="67">
        <f>IF($B643="",0,IF(LEFT($B643,1)="━",0,$C643*VLOOKUP($B643,'4. CÀI ĐẶT'!$A$2:$H$32,3,FALSE)))</f>
        <v/>
      </c>
      <c r="G643" s="67">
        <f>IF($B643="",0,IF(LEFT($B643,1)="━",0,$C643*VLOOKUP($B643,'4. CÀI ĐẶT'!$A$2:$H$32,4,FALSE)))</f>
        <v/>
      </c>
      <c r="H643" s="67">
        <f>IF($B643="",0,IF(LEFT($B643,1)="━",0,$C643*VLOOKUP($B643,'4. CÀI ĐẶT'!$A$2:$H$32,5,FALSE)))</f>
        <v/>
      </c>
      <c r="I643">
        <f>IF($B643="","",IF(LEFT($B643,1)="━","",VLOOKUP($B643,'4. CÀI ĐẶT'!$A$2:$H$32,6,FALSE)))</f>
        <v/>
      </c>
      <c r="J643" s="13">
        <f>IF($A643="","",EOMONTH($A643,0))</f>
        <v/>
      </c>
      <c r="K643" s="67">
        <f>IF($B643="",0,IF(LEFT($B643,1)="━",0,$C643*VLOOKUP($B643,'4. CÀI ĐẶT'!$A$2:$H$32,7,FALSE)))</f>
        <v/>
      </c>
    </row>
    <row r="644">
      <c r="A644" s="8" t="n"/>
      <c r="B644" s="9" t="n"/>
      <c r="C644" s="65" t="n"/>
      <c r="D644" s="9" t="n"/>
      <c r="E644" s="66">
        <f>IF($B644="","",IF(LEFT($B644,1)="━","⚠️ Chọn hạng mục cụ thể",$C644*VLOOKUP($B644,'4. CÀI ĐẶT'!$A$2:$H$32,2,FALSE)))</f>
        <v/>
      </c>
      <c r="F644" s="67">
        <f>IF($B644="",0,IF(LEFT($B644,1)="━",0,$C644*VLOOKUP($B644,'4. CÀI ĐẶT'!$A$2:$H$32,3,FALSE)))</f>
        <v/>
      </c>
      <c r="G644" s="67">
        <f>IF($B644="",0,IF(LEFT($B644,1)="━",0,$C644*VLOOKUP($B644,'4. CÀI ĐẶT'!$A$2:$H$32,4,FALSE)))</f>
        <v/>
      </c>
      <c r="H644" s="67">
        <f>IF($B644="",0,IF(LEFT($B644,1)="━",0,$C644*VLOOKUP($B644,'4. CÀI ĐẶT'!$A$2:$H$32,5,FALSE)))</f>
        <v/>
      </c>
      <c r="I644">
        <f>IF($B644="","",IF(LEFT($B644,1)="━","",VLOOKUP($B644,'4. CÀI ĐẶT'!$A$2:$H$32,6,FALSE)))</f>
        <v/>
      </c>
      <c r="J644" s="13">
        <f>IF($A644="","",EOMONTH($A644,0))</f>
        <v/>
      </c>
      <c r="K644" s="67">
        <f>IF($B644="",0,IF(LEFT($B644,1)="━",0,$C644*VLOOKUP($B644,'4. CÀI ĐẶT'!$A$2:$H$32,7,FALSE)))</f>
        <v/>
      </c>
    </row>
    <row r="645">
      <c r="A645" s="8" t="n"/>
      <c r="B645" s="9" t="n"/>
      <c r="C645" s="65" t="n"/>
      <c r="D645" s="9" t="n"/>
      <c r="E645" s="66">
        <f>IF($B645="","",IF(LEFT($B645,1)="━","⚠️ Chọn hạng mục cụ thể",$C645*VLOOKUP($B645,'4. CÀI ĐẶT'!$A$2:$H$32,2,FALSE)))</f>
        <v/>
      </c>
      <c r="F645" s="67">
        <f>IF($B645="",0,IF(LEFT($B645,1)="━",0,$C645*VLOOKUP($B645,'4. CÀI ĐẶT'!$A$2:$H$32,3,FALSE)))</f>
        <v/>
      </c>
      <c r="G645" s="67">
        <f>IF($B645="",0,IF(LEFT($B645,1)="━",0,$C645*VLOOKUP($B645,'4. CÀI ĐẶT'!$A$2:$H$32,4,FALSE)))</f>
        <v/>
      </c>
      <c r="H645" s="67">
        <f>IF($B645="",0,IF(LEFT($B645,1)="━",0,$C645*VLOOKUP($B645,'4. CÀI ĐẶT'!$A$2:$H$32,5,FALSE)))</f>
        <v/>
      </c>
      <c r="I645">
        <f>IF($B645="","",IF(LEFT($B645,1)="━","",VLOOKUP($B645,'4. CÀI ĐẶT'!$A$2:$H$32,6,FALSE)))</f>
        <v/>
      </c>
      <c r="J645" s="13">
        <f>IF($A645="","",EOMONTH($A645,0))</f>
        <v/>
      </c>
      <c r="K645" s="67">
        <f>IF($B645="",0,IF(LEFT($B645,1)="━",0,$C645*VLOOKUP($B645,'4. CÀI ĐẶT'!$A$2:$H$32,7,FALSE)))</f>
        <v/>
      </c>
    </row>
    <row r="646">
      <c r="A646" s="8" t="n"/>
      <c r="B646" s="9" t="n"/>
      <c r="C646" s="65" t="n"/>
      <c r="D646" s="9" t="n"/>
      <c r="E646" s="66">
        <f>IF($B646="","",IF(LEFT($B646,1)="━","⚠️ Chọn hạng mục cụ thể",$C646*VLOOKUP($B646,'4. CÀI ĐẶT'!$A$2:$H$32,2,FALSE)))</f>
        <v/>
      </c>
      <c r="F646" s="67">
        <f>IF($B646="",0,IF(LEFT($B646,1)="━",0,$C646*VLOOKUP($B646,'4. CÀI ĐẶT'!$A$2:$H$32,3,FALSE)))</f>
        <v/>
      </c>
      <c r="G646" s="67">
        <f>IF($B646="",0,IF(LEFT($B646,1)="━",0,$C646*VLOOKUP($B646,'4. CÀI ĐẶT'!$A$2:$H$32,4,FALSE)))</f>
        <v/>
      </c>
      <c r="H646" s="67">
        <f>IF($B646="",0,IF(LEFT($B646,1)="━",0,$C646*VLOOKUP($B646,'4. CÀI ĐẶT'!$A$2:$H$32,5,FALSE)))</f>
        <v/>
      </c>
      <c r="I646">
        <f>IF($B646="","",IF(LEFT($B646,1)="━","",VLOOKUP($B646,'4. CÀI ĐẶT'!$A$2:$H$32,6,FALSE)))</f>
        <v/>
      </c>
      <c r="J646" s="13">
        <f>IF($A646="","",EOMONTH($A646,0))</f>
        <v/>
      </c>
      <c r="K646" s="67">
        <f>IF($B646="",0,IF(LEFT($B646,1)="━",0,$C646*VLOOKUP($B646,'4. CÀI ĐẶT'!$A$2:$H$32,7,FALSE)))</f>
        <v/>
      </c>
    </row>
    <row r="647">
      <c r="A647" s="8" t="n"/>
      <c r="B647" s="9" t="n"/>
      <c r="C647" s="65" t="n"/>
      <c r="D647" s="9" t="n"/>
      <c r="E647" s="66">
        <f>IF($B647="","",IF(LEFT($B647,1)="━","⚠️ Chọn hạng mục cụ thể",$C647*VLOOKUP($B647,'4. CÀI ĐẶT'!$A$2:$H$32,2,FALSE)))</f>
        <v/>
      </c>
      <c r="F647" s="67">
        <f>IF($B647="",0,IF(LEFT($B647,1)="━",0,$C647*VLOOKUP($B647,'4. CÀI ĐẶT'!$A$2:$H$32,3,FALSE)))</f>
        <v/>
      </c>
      <c r="G647" s="67">
        <f>IF($B647="",0,IF(LEFT($B647,1)="━",0,$C647*VLOOKUP($B647,'4. CÀI ĐẶT'!$A$2:$H$32,4,FALSE)))</f>
        <v/>
      </c>
      <c r="H647" s="67">
        <f>IF($B647="",0,IF(LEFT($B647,1)="━",0,$C647*VLOOKUP($B647,'4. CÀI ĐẶT'!$A$2:$H$32,5,FALSE)))</f>
        <v/>
      </c>
      <c r="I647">
        <f>IF($B647="","",IF(LEFT($B647,1)="━","",VLOOKUP($B647,'4. CÀI ĐẶT'!$A$2:$H$32,6,FALSE)))</f>
        <v/>
      </c>
      <c r="J647" s="13">
        <f>IF($A647="","",EOMONTH($A647,0))</f>
        <v/>
      </c>
      <c r="K647" s="67">
        <f>IF($B647="",0,IF(LEFT($B647,1)="━",0,$C647*VLOOKUP($B647,'4. CÀI ĐẶT'!$A$2:$H$32,7,FALSE)))</f>
        <v/>
      </c>
    </row>
    <row r="648">
      <c r="A648" s="8" t="n"/>
      <c r="B648" s="9" t="n"/>
      <c r="C648" s="65" t="n"/>
      <c r="D648" s="9" t="n"/>
      <c r="E648" s="66">
        <f>IF($B648="","",IF(LEFT($B648,1)="━","⚠️ Chọn hạng mục cụ thể",$C648*VLOOKUP($B648,'4. CÀI ĐẶT'!$A$2:$H$32,2,FALSE)))</f>
        <v/>
      </c>
      <c r="F648" s="67">
        <f>IF($B648="",0,IF(LEFT($B648,1)="━",0,$C648*VLOOKUP($B648,'4. CÀI ĐẶT'!$A$2:$H$32,3,FALSE)))</f>
        <v/>
      </c>
      <c r="G648" s="67">
        <f>IF($B648="",0,IF(LEFT($B648,1)="━",0,$C648*VLOOKUP($B648,'4. CÀI ĐẶT'!$A$2:$H$32,4,FALSE)))</f>
        <v/>
      </c>
      <c r="H648" s="67">
        <f>IF($B648="",0,IF(LEFT($B648,1)="━",0,$C648*VLOOKUP($B648,'4. CÀI ĐẶT'!$A$2:$H$32,5,FALSE)))</f>
        <v/>
      </c>
      <c r="I648">
        <f>IF($B648="","",IF(LEFT($B648,1)="━","",VLOOKUP($B648,'4. CÀI ĐẶT'!$A$2:$H$32,6,FALSE)))</f>
        <v/>
      </c>
      <c r="J648" s="13">
        <f>IF($A648="","",EOMONTH($A648,0))</f>
        <v/>
      </c>
      <c r="K648" s="67">
        <f>IF($B648="",0,IF(LEFT($B648,1)="━",0,$C648*VLOOKUP($B648,'4. CÀI ĐẶT'!$A$2:$H$32,7,FALSE)))</f>
        <v/>
      </c>
    </row>
    <row r="649">
      <c r="A649" s="8" t="n"/>
      <c r="B649" s="9" t="n"/>
      <c r="C649" s="65" t="n"/>
      <c r="D649" s="9" t="n"/>
      <c r="E649" s="66">
        <f>IF($B649="","",IF(LEFT($B649,1)="━","⚠️ Chọn hạng mục cụ thể",$C649*VLOOKUP($B649,'4. CÀI ĐẶT'!$A$2:$H$32,2,FALSE)))</f>
        <v/>
      </c>
      <c r="F649" s="67">
        <f>IF($B649="",0,IF(LEFT($B649,1)="━",0,$C649*VLOOKUP($B649,'4. CÀI ĐẶT'!$A$2:$H$32,3,FALSE)))</f>
        <v/>
      </c>
      <c r="G649" s="67">
        <f>IF($B649="",0,IF(LEFT($B649,1)="━",0,$C649*VLOOKUP($B649,'4. CÀI ĐẶT'!$A$2:$H$32,4,FALSE)))</f>
        <v/>
      </c>
      <c r="H649" s="67">
        <f>IF($B649="",0,IF(LEFT($B649,1)="━",0,$C649*VLOOKUP($B649,'4. CÀI ĐẶT'!$A$2:$H$32,5,FALSE)))</f>
        <v/>
      </c>
      <c r="I649">
        <f>IF($B649="","",IF(LEFT($B649,1)="━","",VLOOKUP($B649,'4. CÀI ĐẶT'!$A$2:$H$32,6,FALSE)))</f>
        <v/>
      </c>
      <c r="J649" s="13">
        <f>IF($A649="","",EOMONTH($A649,0))</f>
        <v/>
      </c>
      <c r="K649" s="67">
        <f>IF($B649="",0,IF(LEFT($B649,1)="━",0,$C649*VLOOKUP($B649,'4. CÀI ĐẶT'!$A$2:$H$32,7,FALSE)))</f>
        <v/>
      </c>
    </row>
    <row r="650">
      <c r="A650" s="8" t="n"/>
      <c r="B650" s="9" t="n"/>
      <c r="C650" s="65" t="n"/>
      <c r="D650" s="9" t="n"/>
      <c r="E650" s="66">
        <f>IF($B650="","",IF(LEFT($B650,1)="━","⚠️ Chọn hạng mục cụ thể",$C650*VLOOKUP($B650,'4. CÀI ĐẶT'!$A$2:$H$32,2,FALSE)))</f>
        <v/>
      </c>
      <c r="F650" s="67">
        <f>IF($B650="",0,IF(LEFT($B650,1)="━",0,$C650*VLOOKUP($B650,'4. CÀI ĐẶT'!$A$2:$H$32,3,FALSE)))</f>
        <v/>
      </c>
      <c r="G650" s="67">
        <f>IF($B650="",0,IF(LEFT($B650,1)="━",0,$C650*VLOOKUP($B650,'4. CÀI ĐẶT'!$A$2:$H$32,4,FALSE)))</f>
        <v/>
      </c>
      <c r="H650" s="67">
        <f>IF($B650="",0,IF(LEFT($B650,1)="━",0,$C650*VLOOKUP($B650,'4. CÀI ĐẶT'!$A$2:$H$32,5,FALSE)))</f>
        <v/>
      </c>
      <c r="I650">
        <f>IF($B650="","",IF(LEFT($B650,1)="━","",VLOOKUP($B650,'4. CÀI ĐẶT'!$A$2:$H$32,6,FALSE)))</f>
        <v/>
      </c>
      <c r="J650" s="13">
        <f>IF($A650="","",EOMONTH($A650,0))</f>
        <v/>
      </c>
      <c r="K650" s="67">
        <f>IF($B650="",0,IF(LEFT($B650,1)="━",0,$C650*VLOOKUP($B650,'4. CÀI ĐẶT'!$A$2:$H$32,7,FALSE)))</f>
        <v/>
      </c>
    </row>
    <row r="651">
      <c r="A651" s="8" t="n"/>
      <c r="B651" s="9" t="n"/>
      <c r="C651" s="65" t="n"/>
      <c r="D651" s="9" t="n"/>
      <c r="E651" s="66">
        <f>IF($B651="","",IF(LEFT($B651,1)="━","⚠️ Chọn hạng mục cụ thể",$C651*VLOOKUP($B651,'4. CÀI ĐẶT'!$A$2:$H$32,2,FALSE)))</f>
        <v/>
      </c>
      <c r="F651" s="67">
        <f>IF($B651="",0,IF(LEFT($B651,1)="━",0,$C651*VLOOKUP($B651,'4. CÀI ĐẶT'!$A$2:$H$32,3,FALSE)))</f>
        <v/>
      </c>
      <c r="G651" s="67">
        <f>IF($B651="",0,IF(LEFT($B651,1)="━",0,$C651*VLOOKUP($B651,'4. CÀI ĐẶT'!$A$2:$H$32,4,FALSE)))</f>
        <v/>
      </c>
      <c r="H651" s="67">
        <f>IF($B651="",0,IF(LEFT($B651,1)="━",0,$C651*VLOOKUP($B651,'4. CÀI ĐẶT'!$A$2:$H$32,5,FALSE)))</f>
        <v/>
      </c>
      <c r="I651">
        <f>IF($B651="","",IF(LEFT($B651,1)="━","",VLOOKUP($B651,'4. CÀI ĐẶT'!$A$2:$H$32,6,FALSE)))</f>
        <v/>
      </c>
      <c r="J651" s="13">
        <f>IF($A651="","",EOMONTH($A651,0))</f>
        <v/>
      </c>
      <c r="K651" s="67">
        <f>IF($B651="",0,IF(LEFT($B651,1)="━",0,$C651*VLOOKUP($B651,'4. CÀI ĐẶT'!$A$2:$H$32,7,FALSE)))</f>
        <v/>
      </c>
    </row>
    <row r="652">
      <c r="A652" s="8" t="n"/>
      <c r="B652" s="9" t="n"/>
      <c r="C652" s="65" t="n"/>
      <c r="D652" s="9" t="n"/>
      <c r="E652" s="66">
        <f>IF($B652="","",IF(LEFT($B652,1)="━","⚠️ Chọn hạng mục cụ thể",$C652*VLOOKUP($B652,'4. CÀI ĐẶT'!$A$2:$H$32,2,FALSE)))</f>
        <v/>
      </c>
      <c r="F652" s="67">
        <f>IF($B652="",0,IF(LEFT($B652,1)="━",0,$C652*VLOOKUP($B652,'4. CÀI ĐẶT'!$A$2:$H$32,3,FALSE)))</f>
        <v/>
      </c>
      <c r="G652" s="67">
        <f>IF($B652="",0,IF(LEFT($B652,1)="━",0,$C652*VLOOKUP($B652,'4. CÀI ĐẶT'!$A$2:$H$32,4,FALSE)))</f>
        <v/>
      </c>
      <c r="H652" s="67">
        <f>IF($B652="",0,IF(LEFT($B652,1)="━",0,$C652*VLOOKUP($B652,'4. CÀI ĐẶT'!$A$2:$H$32,5,FALSE)))</f>
        <v/>
      </c>
      <c r="I652">
        <f>IF($B652="","",IF(LEFT($B652,1)="━","",VLOOKUP($B652,'4. CÀI ĐẶT'!$A$2:$H$32,6,FALSE)))</f>
        <v/>
      </c>
      <c r="J652" s="13">
        <f>IF($A652="","",EOMONTH($A652,0))</f>
        <v/>
      </c>
      <c r="K652" s="67">
        <f>IF($B652="",0,IF(LEFT($B652,1)="━",0,$C652*VLOOKUP($B652,'4. CÀI ĐẶT'!$A$2:$H$32,7,FALSE)))</f>
        <v/>
      </c>
    </row>
    <row r="653">
      <c r="A653" s="8" t="n"/>
      <c r="B653" s="9" t="n"/>
      <c r="C653" s="65" t="n"/>
      <c r="D653" s="9" t="n"/>
      <c r="E653" s="66">
        <f>IF($B653="","",IF(LEFT($B653,1)="━","⚠️ Chọn hạng mục cụ thể",$C653*VLOOKUP($B653,'4. CÀI ĐẶT'!$A$2:$H$32,2,FALSE)))</f>
        <v/>
      </c>
      <c r="F653" s="67">
        <f>IF($B653="",0,IF(LEFT($B653,1)="━",0,$C653*VLOOKUP($B653,'4. CÀI ĐẶT'!$A$2:$H$32,3,FALSE)))</f>
        <v/>
      </c>
      <c r="G653" s="67">
        <f>IF($B653="",0,IF(LEFT($B653,1)="━",0,$C653*VLOOKUP($B653,'4. CÀI ĐẶT'!$A$2:$H$32,4,FALSE)))</f>
        <v/>
      </c>
      <c r="H653" s="67">
        <f>IF($B653="",0,IF(LEFT($B653,1)="━",0,$C653*VLOOKUP($B653,'4. CÀI ĐẶT'!$A$2:$H$32,5,FALSE)))</f>
        <v/>
      </c>
      <c r="I653">
        <f>IF($B653="","",IF(LEFT($B653,1)="━","",VLOOKUP($B653,'4. CÀI ĐẶT'!$A$2:$H$32,6,FALSE)))</f>
        <v/>
      </c>
      <c r="J653" s="13">
        <f>IF($A653="","",EOMONTH($A653,0))</f>
        <v/>
      </c>
      <c r="K653" s="67">
        <f>IF($B653="",0,IF(LEFT($B653,1)="━",0,$C653*VLOOKUP($B653,'4. CÀI ĐẶT'!$A$2:$H$32,7,FALSE)))</f>
        <v/>
      </c>
    </row>
    <row r="654">
      <c r="A654" s="8" t="n"/>
      <c r="B654" s="9" t="n"/>
      <c r="C654" s="65" t="n"/>
      <c r="D654" s="9" t="n"/>
      <c r="E654" s="66">
        <f>IF($B654="","",IF(LEFT($B654,1)="━","⚠️ Chọn hạng mục cụ thể",$C654*VLOOKUP($B654,'4. CÀI ĐẶT'!$A$2:$H$32,2,FALSE)))</f>
        <v/>
      </c>
      <c r="F654" s="67">
        <f>IF($B654="",0,IF(LEFT($B654,1)="━",0,$C654*VLOOKUP($B654,'4. CÀI ĐẶT'!$A$2:$H$32,3,FALSE)))</f>
        <v/>
      </c>
      <c r="G654" s="67">
        <f>IF($B654="",0,IF(LEFT($B654,1)="━",0,$C654*VLOOKUP($B654,'4. CÀI ĐẶT'!$A$2:$H$32,4,FALSE)))</f>
        <v/>
      </c>
      <c r="H654" s="67">
        <f>IF($B654="",0,IF(LEFT($B654,1)="━",0,$C654*VLOOKUP($B654,'4. CÀI ĐẶT'!$A$2:$H$32,5,FALSE)))</f>
        <v/>
      </c>
      <c r="I654">
        <f>IF($B654="","",IF(LEFT($B654,1)="━","",VLOOKUP($B654,'4. CÀI ĐẶT'!$A$2:$H$32,6,FALSE)))</f>
        <v/>
      </c>
      <c r="J654" s="13">
        <f>IF($A654="","",EOMONTH($A654,0))</f>
        <v/>
      </c>
      <c r="K654" s="67">
        <f>IF($B654="",0,IF(LEFT($B654,1)="━",0,$C654*VLOOKUP($B654,'4. CÀI ĐẶT'!$A$2:$H$32,7,FALSE)))</f>
        <v/>
      </c>
    </row>
    <row r="655">
      <c r="A655" s="8" t="n"/>
      <c r="B655" s="9" t="n"/>
      <c r="C655" s="65" t="n"/>
      <c r="D655" s="9" t="n"/>
      <c r="E655" s="66">
        <f>IF($B655="","",IF(LEFT($B655,1)="━","⚠️ Chọn hạng mục cụ thể",$C655*VLOOKUP($B655,'4. CÀI ĐẶT'!$A$2:$H$32,2,FALSE)))</f>
        <v/>
      </c>
      <c r="F655" s="67">
        <f>IF($B655="",0,IF(LEFT($B655,1)="━",0,$C655*VLOOKUP($B655,'4. CÀI ĐẶT'!$A$2:$H$32,3,FALSE)))</f>
        <v/>
      </c>
      <c r="G655" s="67">
        <f>IF($B655="",0,IF(LEFT($B655,1)="━",0,$C655*VLOOKUP($B655,'4. CÀI ĐẶT'!$A$2:$H$32,4,FALSE)))</f>
        <v/>
      </c>
      <c r="H655" s="67">
        <f>IF($B655="",0,IF(LEFT($B655,1)="━",0,$C655*VLOOKUP($B655,'4. CÀI ĐẶT'!$A$2:$H$32,5,FALSE)))</f>
        <v/>
      </c>
      <c r="I655">
        <f>IF($B655="","",IF(LEFT($B655,1)="━","",VLOOKUP($B655,'4. CÀI ĐẶT'!$A$2:$H$32,6,FALSE)))</f>
        <v/>
      </c>
      <c r="J655" s="13">
        <f>IF($A655="","",EOMONTH($A655,0))</f>
        <v/>
      </c>
      <c r="K655" s="67">
        <f>IF($B655="",0,IF(LEFT($B655,1)="━",0,$C655*VLOOKUP($B655,'4. CÀI ĐẶT'!$A$2:$H$32,7,FALSE)))</f>
        <v/>
      </c>
    </row>
    <row r="656">
      <c r="A656" s="8" t="n"/>
      <c r="B656" s="9" t="n"/>
      <c r="C656" s="65" t="n"/>
      <c r="D656" s="9" t="n"/>
      <c r="E656" s="66">
        <f>IF($B656="","",IF(LEFT($B656,1)="━","⚠️ Chọn hạng mục cụ thể",$C656*VLOOKUP($B656,'4. CÀI ĐẶT'!$A$2:$H$32,2,FALSE)))</f>
        <v/>
      </c>
      <c r="F656" s="67">
        <f>IF($B656="",0,IF(LEFT($B656,1)="━",0,$C656*VLOOKUP($B656,'4. CÀI ĐẶT'!$A$2:$H$32,3,FALSE)))</f>
        <v/>
      </c>
      <c r="G656" s="67">
        <f>IF($B656="",0,IF(LEFT($B656,1)="━",0,$C656*VLOOKUP($B656,'4. CÀI ĐẶT'!$A$2:$H$32,4,FALSE)))</f>
        <v/>
      </c>
      <c r="H656" s="67">
        <f>IF($B656="",0,IF(LEFT($B656,1)="━",0,$C656*VLOOKUP($B656,'4. CÀI ĐẶT'!$A$2:$H$32,5,FALSE)))</f>
        <v/>
      </c>
      <c r="I656">
        <f>IF($B656="","",IF(LEFT($B656,1)="━","",VLOOKUP($B656,'4. CÀI ĐẶT'!$A$2:$H$32,6,FALSE)))</f>
        <v/>
      </c>
      <c r="J656" s="13">
        <f>IF($A656="","",EOMONTH($A656,0))</f>
        <v/>
      </c>
      <c r="K656" s="67">
        <f>IF($B656="",0,IF(LEFT($B656,1)="━",0,$C656*VLOOKUP($B656,'4. CÀI ĐẶT'!$A$2:$H$32,7,FALSE)))</f>
        <v/>
      </c>
    </row>
    <row r="657">
      <c r="A657" s="8" t="n"/>
      <c r="B657" s="9" t="n"/>
      <c r="C657" s="65" t="n"/>
      <c r="D657" s="9" t="n"/>
      <c r="E657" s="66">
        <f>IF($B657="","",IF(LEFT($B657,1)="━","⚠️ Chọn hạng mục cụ thể",$C657*VLOOKUP($B657,'4. CÀI ĐẶT'!$A$2:$H$32,2,FALSE)))</f>
        <v/>
      </c>
      <c r="F657" s="67">
        <f>IF($B657="",0,IF(LEFT($B657,1)="━",0,$C657*VLOOKUP($B657,'4. CÀI ĐẶT'!$A$2:$H$32,3,FALSE)))</f>
        <v/>
      </c>
      <c r="G657" s="67">
        <f>IF($B657="",0,IF(LEFT($B657,1)="━",0,$C657*VLOOKUP($B657,'4. CÀI ĐẶT'!$A$2:$H$32,4,FALSE)))</f>
        <v/>
      </c>
      <c r="H657" s="67">
        <f>IF($B657="",0,IF(LEFT($B657,1)="━",0,$C657*VLOOKUP($B657,'4. CÀI ĐẶT'!$A$2:$H$32,5,FALSE)))</f>
        <v/>
      </c>
      <c r="I657">
        <f>IF($B657="","",IF(LEFT($B657,1)="━","",VLOOKUP($B657,'4. CÀI ĐẶT'!$A$2:$H$32,6,FALSE)))</f>
        <v/>
      </c>
      <c r="J657" s="13">
        <f>IF($A657="","",EOMONTH($A657,0))</f>
        <v/>
      </c>
      <c r="K657" s="67">
        <f>IF($B657="",0,IF(LEFT($B657,1)="━",0,$C657*VLOOKUP($B657,'4. CÀI ĐẶT'!$A$2:$H$32,7,FALSE)))</f>
        <v/>
      </c>
    </row>
    <row r="658">
      <c r="A658" s="8" t="n"/>
      <c r="B658" s="9" t="n"/>
      <c r="C658" s="65" t="n"/>
      <c r="D658" s="9" t="n"/>
      <c r="E658" s="66">
        <f>IF($B658="","",IF(LEFT($B658,1)="━","⚠️ Chọn hạng mục cụ thể",$C658*VLOOKUP($B658,'4. CÀI ĐẶT'!$A$2:$H$32,2,FALSE)))</f>
        <v/>
      </c>
      <c r="F658" s="67">
        <f>IF($B658="",0,IF(LEFT($B658,1)="━",0,$C658*VLOOKUP($B658,'4. CÀI ĐẶT'!$A$2:$H$32,3,FALSE)))</f>
        <v/>
      </c>
      <c r="G658" s="67">
        <f>IF($B658="",0,IF(LEFT($B658,1)="━",0,$C658*VLOOKUP($B658,'4. CÀI ĐẶT'!$A$2:$H$32,4,FALSE)))</f>
        <v/>
      </c>
      <c r="H658" s="67">
        <f>IF($B658="",0,IF(LEFT($B658,1)="━",0,$C658*VLOOKUP($B658,'4. CÀI ĐẶT'!$A$2:$H$32,5,FALSE)))</f>
        <v/>
      </c>
      <c r="I658">
        <f>IF($B658="","",IF(LEFT($B658,1)="━","",VLOOKUP($B658,'4. CÀI ĐẶT'!$A$2:$H$32,6,FALSE)))</f>
        <v/>
      </c>
      <c r="J658" s="13">
        <f>IF($A658="","",EOMONTH($A658,0))</f>
        <v/>
      </c>
      <c r="K658" s="67">
        <f>IF($B658="",0,IF(LEFT($B658,1)="━",0,$C658*VLOOKUP($B658,'4. CÀI ĐẶT'!$A$2:$H$32,7,FALSE)))</f>
        <v/>
      </c>
    </row>
    <row r="659">
      <c r="A659" s="8" t="n"/>
      <c r="B659" s="9" t="n"/>
      <c r="C659" s="65" t="n"/>
      <c r="D659" s="9" t="n"/>
      <c r="E659" s="66">
        <f>IF($B659="","",IF(LEFT($B659,1)="━","⚠️ Chọn hạng mục cụ thể",$C659*VLOOKUP($B659,'4. CÀI ĐẶT'!$A$2:$H$32,2,FALSE)))</f>
        <v/>
      </c>
      <c r="F659" s="67">
        <f>IF($B659="",0,IF(LEFT($B659,1)="━",0,$C659*VLOOKUP($B659,'4. CÀI ĐẶT'!$A$2:$H$32,3,FALSE)))</f>
        <v/>
      </c>
      <c r="G659" s="67">
        <f>IF($B659="",0,IF(LEFT($B659,1)="━",0,$C659*VLOOKUP($B659,'4. CÀI ĐẶT'!$A$2:$H$32,4,FALSE)))</f>
        <v/>
      </c>
      <c r="H659" s="67">
        <f>IF($B659="",0,IF(LEFT($B659,1)="━",0,$C659*VLOOKUP($B659,'4. CÀI ĐẶT'!$A$2:$H$32,5,FALSE)))</f>
        <v/>
      </c>
      <c r="I659">
        <f>IF($B659="","",IF(LEFT($B659,1)="━","",VLOOKUP($B659,'4. CÀI ĐẶT'!$A$2:$H$32,6,FALSE)))</f>
        <v/>
      </c>
      <c r="J659" s="13">
        <f>IF($A659="","",EOMONTH($A659,0))</f>
        <v/>
      </c>
      <c r="K659" s="67">
        <f>IF($B659="",0,IF(LEFT($B659,1)="━",0,$C659*VLOOKUP($B659,'4. CÀI ĐẶT'!$A$2:$H$32,7,FALSE)))</f>
        <v/>
      </c>
    </row>
    <row r="660">
      <c r="A660" s="8" t="n"/>
      <c r="B660" s="9" t="n"/>
      <c r="C660" s="65" t="n"/>
      <c r="D660" s="9" t="n"/>
      <c r="E660" s="66">
        <f>IF($B660="","",IF(LEFT($B660,1)="━","⚠️ Chọn hạng mục cụ thể",$C660*VLOOKUP($B660,'4. CÀI ĐẶT'!$A$2:$H$32,2,FALSE)))</f>
        <v/>
      </c>
      <c r="F660" s="67">
        <f>IF($B660="",0,IF(LEFT($B660,1)="━",0,$C660*VLOOKUP($B660,'4. CÀI ĐẶT'!$A$2:$H$32,3,FALSE)))</f>
        <v/>
      </c>
      <c r="G660" s="67">
        <f>IF($B660="",0,IF(LEFT($B660,1)="━",0,$C660*VLOOKUP($B660,'4. CÀI ĐẶT'!$A$2:$H$32,4,FALSE)))</f>
        <v/>
      </c>
      <c r="H660" s="67">
        <f>IF($B660="",0,IF(LEFT($B660,1)="━",0,$C660*VLOOKUP($B660,'4. CÀI ĐẶT'!$A$2:$H$32,5,FALSE)))</f>
        <v/>
      </c>
      <c r="I660">
        <f>IF($B660="","",IF(LEFT($B660,1)="━","",VLOOKUP($B660,'4. CÀI ĐẶT'!$A$2:$H$32,6,FALSE)))</f>
        <v/>
      </c>
      <c r="J660" s="13">
        <f>IF($A660="","",EOMONTH($A660,0))</f>
        <v/>
      </c>
      <c r="K660" s="67">
        <f>IF($B660="",0,IF(LEFT($B660,1)="━",0,$C660*VLOOKUP($B660,'4. CÀI ĐẶT'!$A$2:$H$32,7,FALSE)))</f>
        <v/>
      </c>
    </row>
    <row r="661">
      <c r="A661" s="8" t="n"/>
      <c r="B661" s="9" t="n"/>
      <c r="C661" s="65" t="n"/>
      <c r="D661" s="9" t="n"/>
      <c r="E661" s="66">
        <f>IF($B661="","",IF(LEFT($B661,1)="━","⚠️ Chọn hạng mục cụ thể",$C661*VLOOKUP($B661,'4. CÀI ĐẶT'!$A$2:$H$32,2,FALSE)))</f>
        <v/>
      </c>
      <c r="F661" s="67">
        <f>IF($B661="",0,IF(LEFT($B661,1)="━",0,$C661*VLOOKUP($B661,'4. CÀI ĐẶT'!$A$2:$H$32,3,FALSE)))</f>
        <v/>
      </c>
      <c r="G661" s="67">
        <f>IF($B661="",0,IF(LEFT($B661,1)="━",0,$C661*VLOOKUP($B661,'4. CÀI ĐẶT'!$A$2:$H$32,4,FALSE)))</f>
        <v/>
      </c>
      <c r="H661" s="67">
        <f>IF($B661="",0,IF(LEFT($B661,1)="━",0,$C661*VLOOKUP($B661,'4. CÀI ĐẶT'!$A$2:$H$32,5,FALSE)))</f>
        <v/>
      </c>
      <c r="I661">
        <f>IF($B661="","",IF(LEFT($B661,1)="━","",VLOOKUP($B661,'4. CÀI ĐẶT'!$A$2:$H$32,6,FALSE)))</f>
        <v/>
      </c>
      <c r="J661" s="13">
        <f>IF($A661="","",EOMONTH($A661,0))</f>
        <v/>
      </c>
      <c r="K661" s="67">
        <f>IF($B661="",0,IF(LEFT($B661,1)="━",0,$C661*VLOOKUP($B661,'4. CÀI ĐẶT'!$A$2:$H$32,7,FALSE)))</f>
        <v/>
      </c>
    </row>
    <row r="662">
      <c r="A662" s="8" t="n"/>
      <c r="B662" s="9" t="n"/>
      <c r="C662" s="65" t="n"/>
      <c r="D662" s="9" t="n"/>
      <c r="E662" s="66">
        <f>IF($B662="","",IF(LEFT($B662,1)="━","⚠️ Chọn hạng mục cụ thể",$C662*VLOOKUP($B662,'4. CÀI ĐẶT'!$A$2:$H$32,2,FALSE)))</f>
        <v/>
      </c>
      <c r="F662" s="67">
        <f>IF($B662="",0,IF(LEFT($B662,1)="━",0,$C662*VLOOKUP($B662,'4. CÀI ĐẶT'!$A$2:$H$32,3,FALSE)))</f>
        <v/>
      </c>
      <c r="G662" s="67">
        <f>IF($B662="",0,IF(LEFT($B662,1)="━",0,$C662*VLOOKUP($B662,'4. CÀI ĐẶT'!$A$2:$H$32,4,FALSE)))</f>
        <v/>
      </c>
      <c r="H662" s="67">
        <f>IF($B662="",0,IF(LEFT($B662,1)="━",0,$C662*VLOOKUP($B662,'4. CÀI ĐẶT'!$A$2:$H$32,5,FALSE)))</f>
        <v/>
      </c>
      <c r="I662">
        <f>IF($B662="","",IF(LEFT($B662,1)="━","",VLOOKUP($B662,'4. CÀI ĐẶT'!$A$2:$H$32,6,FALSE)))</f>
        <v/>
      </c>
      <c r="J662" s="13">
        <f>IF($A662="","",EOMONTH($A662,0))</f>
        <v/>
      </c>
      <c r="K662" s="67">
        <f>IF($B662="",0,IF(LEFT($B662,1)="━",0,$C662*VLOOKUP($B662,'4. CÀI ĐẶT'!$A$2:$H$32,7,FALSE)))</f>
        <v/>
      </c>
    </row>
    <row r="663">
      <c r="A663" s="8" t="n"/>
      <c r="B663" s="9" t="n"/>
      <c r="C663" s="65" t="n"/>
      <c r="D663" s="9" t="n"/>
      <c r="E663" s="66">
        <f>IF($B663="","",IF(LEFT($B663,1)="━","⚠️ Chọn hạng mục cụ thể",$C663*VLOOKUP($B663,'4. CÀI ĐẶT'!$A$2:$H$32,2,FALSE)))</f>
        <v/>
      </c>
      <c r="F663" s="67">
        <f>IF($B663="",0,IF(LEFT($B663,1)="━",0,$C663*VLOOKUP($B663,'4. CÀI ĐẶT'!$A$2:$H$32,3,FALSE)))</f>
        <v/>
      </c>
      <c r="G663" s="67">
        <f>IF($B663="",0,IF(LEFT($B663,1)="━",0,$C663*VLOOKUP($B663,'4. CÀI ĐẶT'!$A$2:$H$32,4,FALSE)))</f>
        <v/>
      </c>
      <c r="H663" s="67">
        <f>IF($B663="",0,IF(LEFT($B663,1)="━",0,$C663*VLOOKUP($B663,'4. CÀI ĐẶT'!$A$2:$H$32,5,FALSE)))</f>
        <v/>
      </c>
      <c r="I663">
        <f>IF($B663="","",IF(LEFT($B663,1)="━","",VLOOKUP($B663,'4. CÀI ĐẶT'!$A$2:$H$32,6,FALSE)))</f>
        <v/>
      </c>
      <c r="J663" s="13">
        <f>IF($A663="","",EOMONTH($A663,0))</f>
        <v/>
      </c>
      <c r="K663" s="67">
        <f>IF($B663="",0,IF(LEFT($B663,1)="━",0,$C663*VLOOKUP($B663,'4. CÀI ĐẶT'!$A$2:$H$32,7,FALSE)))</f>
        <v/>
      </c>
    </row>
    <row r="664">
      <c r="A664" s="8" t="n"/>
      <c r="B664" s="9" t="n"/>
      <c r="C664" s="65" t="n"/>
      <c r="D664" s="9" t="n"/>
      <c r="E664" s="66">
        <f>IF($B664="","",IF(LEFT($B664,1)="━","⚠️ Chọn hạng mục cụ thể",$C664*VLOOKUP($B664,'4. CÀI ĐẶT'!$A$2:$H$32,2,FALSE)))</f>
        <v/>
      </c>
      <c r="F664" s="67">
        <f>IF($B664="",0,IF(LEFT($B664,1)="━",0,$C664*VLOOKUP($B664,'4. CÀI ĐẶT'!$A$2:$H$32,3,FALSE)))</f>
        <v/>
      </c>
      <c r="G664" s="67">
        <f>IF($B664="",0,IF(LEFT($B664,1)="━",0,$C664*VLOOKUP($B664,'4. CÀI ĐẶT'!$A$2:$H$32,4,FALSE)))</f>
        <v/>
      </c>
      <c r="H664" s="67">
        <f>IF($B664="",0,IF(LEFT($B664,1)="━",0,$C664*VLOOKUP($B664,'4. CÀI ĐẶT'!$A$2:$H$32,5,FALSE)))</f>
        <v/>
      </c>
      <c r="I664">
        <f>IF($B664="","",IF(LEFT($B664,1)="━","",VLOOKUP($B664,'4. CÀI ĐẶT'!$A$2:$H$32,6,FALSE)))</f>
        <v/>
      </c>
      <c r="J664" s="13">
        <f>IF($A664="","",EOMONTH($A664,0))</f>
        <v/>
      </c>
      <c r="K664" s="67">
        <f>IF($B664="",0,IF(LEFT($B664,1)="━",0,$C664*VLOOKUP($B664,'4. CÀI ĐẶT'!$A$2:$H$32,7,FALSE)))</f>
        <v/>
      </c>
    </row>
    <row r="665">
      <c r="A665" s="8" t="n"/>
      <c r="B665" s="9" t="n"/>
      <c r="C665" s="65" t="n"/>
      <c r="D665" s="9" t="n"/>
      <c r="E665" s="66">
        <f>IF($B665="","",IF(LEFT($B665,1)="━","⚠️ Chọn hạng mục cụ thể",$C665*VLOOKUP($B665,'4. CÀI ĐẶT'!$A$2:$H$32,2,FALSE)))</f>
        <v/>
      </c>
      <c r="F665" s="67">
        <f>IF($B665="",0,IF(LEFT($B665,1)="━",0,$C665*VLOOKUP($B665,'4. CÀI ĐẶT'!$A$2:$H$32,3,FALSE)))</f>
        <v/>
      </c>
      <c r="G665" s="67">
        <f>IF($B665="",0,IF(LEFT($B665,1)="━",0,$C665*VLOOKUP($B665,'4. CÀI ĐẶT'!$A$2:$H$32,4,FALSE)))</f>
        <v/>
      </c>
      <c r="H665" s="67">
        <f>IF($B665="",0,IF(LEFT($B665,1)="━",0,$C665*VLOOKUP($B665,'4. CÀI ĐẶT'!$A$2:$H$32,5,FALSE)))</f>
        <v/>
      </c>
      <c r="I665">
        <f>IF($B665="","",IF(LEFT($B665,1)="━","",VLOOKUP($B665,'4. CÀI ĐẶT'!$A$2:$H$32,6,FALSE)))</f>
        <v/>
      </c>
      <c r="J665" s="13">
        <f>IF($A665="","",EOMONTH($A665,0))</f>
        <v/>
      </c>
      <c r="K665" s="67">
        <f>IF($B665="",0,IF(LEFT($B665,1)="━",0,$C665*VLOOKUP($B665,'4. CÀI ĐẶT'!$A$2:$H$32,7,FALSE)))</f>
        <v/>
      </c>
    </row>
    <row r="666">
      <c r="A666" s="8" t="n"/>
      <c r="B666" s="9" t="n"/>
      <c r="C666" s="65" t="n"/>
      <c r="D666" s="9" t="n"/>
      <c r="E666" s="66">
        <f>IF($B666="","",IF(LEFT($B666,1)="━","⚠️ Chọn hạng mục cụ thể",$C666*VLOOKUP($B666,'4. CÀI ĐẶT'!$A$2:$H$32,2,FALSE)))</f>
        <v/>
      </c>
      <c r="F666" s="67">
        <f>IF($B666="",0,IF(LEFT($B666,1)="━",0,$C666*VLOOKUP($B666,'4. CÀI ĐẶT'!$A$2:$H$32,3,FALSE)))</f>
        <v/>
      </c>
      <c r="G666" s="67">
        <f>IF($B666="",0,IF(LEFT($B666,1)="━",0,$C666*VLOOKUP($B666,'4. CÀI ĐẶT'!$A$2:$H$32,4,FALSE)))</f>
        <v/>
      </c>
      <c r="H666" s="67">
        <f>IF($B666="",0,IF(LEFT($B666,1)="━",0,$C666*VLOOKUP($B666,'4. CÀI ĐẶT'!$A$2:$H$32,5,FALSE)))</f>
        <v/>
      </c>
      <c r="I666">
        <f>IF($B666="","",IF(LEFT($B666,1)="━","",VLOOKUP($B666,'4. CÀI ĐẶT'!$A$2:$H$32,6,FALSE)))</f>
        <v/>
      </c>
      <c r="J666" s="13">
        <f>IF($A666="","",EOMONTH($A666,0))</f>
        <v/>
      </c>
      <c r="K666" s="67">
        <f>IF($B666="",0,IF(LEFT($B666,1)="━",0,$C666*VLOOKUP($B666,'4. CÀI ĐẶT'!$A$2:$H$32,7,FALSE)))</f>
        <v/>
      </c>
    </row>
    <row r="667">
      <c r="A667" s="8" t="n"/>
      <c r="B667" s="9" t="n"/>
      <c r="C667" s="65" t="n"/>
      <c r="D667" s="9" t="n"/>
      <c r="E667" s="66">
        <f>IF($B667="","",IF(LEFT($B667,1)="━","⚠️ Chọn hạng mục cụ thể",$C667*VLOOKUP($B667,'4. CÀI ĐẶT'!$A$2:$H$32,2,FALSE)))</f>
        <v/>
      </c>
      <c r="F667" s="67">
        <f>IF($B667="",0,IF(LEFT($B667,1)="━",0,$C667*VLOOKUP($B667,'4. CÀI ĐẶT'!$A$2:$H$32,3,FALSE)))</f>
        <v/>
      </c>
      <c r="G667" s="67">
        <f>IF($B667="",0,IF(LEFT($B667,1)="━",0,$C667*VLOOKUP($B667,'4. CÀI ĐẶT'!$A$2:$H$32,4,FALSE)))</f>
        <v/>
      </c>
      <c r="H667" s="67">
        <f>IF($B667="",0,IF(LEFT($B667,1)="━",0,$C667*VLOOKUP($B667,'4. CÀI ĐẶT'!$A$2:$H$32,5,FALSE)))</f>
        <v/>
      </c>
      <c r="I667">
        <f>IF($B667="","",IF(LEFT($B667,1)="━","",VLOOKUP($B667,'4. CÀI ĐẶT'!$A$2:$H$32,6,FALSE)))</f>
        <v/>
      </c>
      <c r="J667" s="13">
        <f>IF($A667="","",EOMONTH($A667,0))</f>
        <v/>
      </c>
      <c r="K667" s="67">
        <f>IF($B667="",0,IF(LEFT($B667,1)="━",0,$C667*VLOOKUP($B667,'4. CÀI ĐẶT'!$A$2:$H$32,7,FALSE)))</f>
        <v/>
      </c>
    </row>
    <row r="668">
      <c r="A668" s="8" t="n"/>
      <c r="B668" s="9" t="n"/>
      <c r="C668" s="65" t="n"/>
      <c r="D668" s="9" t="n"/>
      <c r="E668" s="66">
        <f>IF($B668="","",IF(LEFT($B668,1)="━","⚠️ Chọn hạng mục cụ thể",$C668*VLOOKUP($B668,'4. CÀI ĐẶT'!$A$2:$H$32,2,FALSE)))</f>
        <v/>
      </c>
      <c r="F668" s="67">
        <f>IF($B668="",0,IF(LEFT($B668,1)="━",0,$C668*VLOOKUP($B668,'4. CÀI ĐẶT'!$A$2:$H$32,3,FALSE)))</f>
        <v/>
      </c>
      <c r="G668" s="67">
        <f>IF($B668="",0,IF(LEFT($B668,1)="━",0,$C668*VLOOKUP($B668,'4. CÀI ĐẶT'!$A$2:$H$32,4,FALSE)))</f>
        <v/>
      </c>
      <c r="H668" s="67">
        <f>IF($B668="",0,IF(LEFT($B668,1)="━",0,$C668*VLOOKUP($B668,'4. CÀI ĐẶT'!$A$2:$H$32,5,FALSE)))</f>
        <v/>
      </c>
      <c r="I668">
        <f>IF($B668="","",IF(LEFT($B668,1)="━","",VLOOKUP($B668,'4. CÀI ĐẶT'!$A$2:$H$32,6,FALSE)))</f>
        <v/>
      </c>
      <c r="J668" s="13">
        <f>IF($A668="","",EOMONTH($A668,0))</f>
        <v/>
      </c>
      <c r="K668" s="67">
        <f>IF($B668="",0,IF(LEFT($B668,1)="━",0,$C668*VLOOKUP($B668,'4. CÀI ĐẶT'!$A$2:$H$32,7,FALSE)))</f>
        <v/>
      </c>
    </row>
    <row r="669">
      <c r="A669" s="8" t="n"/>
      <c r="B669" s="9" t="n"/>
      <c r="C669" s="65" t="n"/>
      <c r="D669" s="9" t="n"/>
      <c r="E669" s="66">
        <f>IF($B669="","",IF(LEFT($B669,1)="━","⚠️ Chọn hạng mục cụ thể",$C669*VLOOKUP($B669,'4. CÀI ĐẶT'!$A$2:$H$32,2,FALSE)))</f>
        <v/>
      </c>
      <c r="F669" s="67">
        <f>IF($B669="",0,IF(LEFT($B669,1)="━",0,$C669*VLOOKUP($B669,'4. CÀI ĐẶT'!$A$2:$H$32,3,FALSE)))</f>
        <v/>
      </c>
      <c r="G669" s="67">
        <f>IF($B669="",0,IF(LEFT($B669,1)="━",0,$C669*VLOOKUP($B669,'4. CÀI ĐẶT'!$A$2:$H$32,4,FALSE)))</f>
        <v/>
      </c>
      <c r="H669" s="67">
        <f>IF($B669="",0,IF(LEFT($B669,1)="━",0,$C669*VLOOKUP($B669,'4. CÀI ĐẶT'!$A$2:$H$32,5,FALSE)))</f>
        <v/>
      </c>
      <c r="I669">
        <f>IF($B669="","",IF(LEFT($B669,1)="━","",VLOOKUP($B669,'4. CÀI ĐẶT'!$A$2:$H$32,6,FALSE)))</f>
        <v/>
      </c>
      <c r="J669" s="13">
        <f>IF($A669="","",EOMONTH($A669,0))</f>
        <v/>
      </c>
      <c r="K669" s="67">
        <f>IF($B669="",0,IF(LEFT($B669,1)="━",0,$C669*VLOOKUP($B669,'4. CÀI ĐẶT'!$A$2:$H$32,7,FALSE)))</f>
        <v/>
      </c>
    </row>
    <row r="670">
      <c r="A670" s="8" t="n"/>
      <c r="B670" s="9" t="n"/>
      <c r="C670" s="65" t="n"/>
      <c r="D670" s="9" t="n"/>
      <c r="E670" s="66">
        <f>IF($B670="","",IF(LEFT($B670,1)="━","⚠️ Chọn hạng mục cụ thể",$C670*VLOOKUP($B670,'4. CÀI ĐẶT'!$A$2:$H$32,2,FALSE)))</f>
        <v/>
      </c>
      <c r="F670" s="67">
        <f>IF($B670="",0,IF(LEFT($B670,1)="━",0,$C670*VLOOKUP($B670,'4. CÀI ĐẶT'!$A$2:$H$32,3,FALSE)))</f>
        <v/>
      </c>
      <c r="G670" s="67">
        <f>IF($B670="",0,IF(LEFT($B670,1)="━",0,$C670*VLOOKUP($B670,'4. CÀI ĐẶT'!$A$2:$H$32,4,FALSE)))</f>
        <v/>
      </c>
      <c r="H670" s="67">
        <f>IF($B670="",0,IF(LEFT($B670,1)="━",0,$C670*VLOOKUP($B670,'4. CÀI ĐẶT'!$A$2:$H$32,5,FALSE)))</f>
        <v/>
      </c>
      <c r="I670">
        <f>IF($B670="","",IF(LEFT($B670,1)="━","",VLOOKUP($B670,'4. CÀI ĐẶT'!$A$2:$H$32,6,FALSE)))</f>
        <v/>
      </c>
      <c r="J670" s="13">
        <f>IF($A670="","",EOMONTH($A670,0))</f>
        <v/>
      </c>
      <c r="K670" s="67">
        <f>IF($B670="",0,IF(LEFT($B670,1)="━",0,$C670*VLOOKUP($B670,'4. CÀI ĐẶT'!$A$2:$H$32,7,FALSE)))</f>
        <v/>
      </c>
    </row>
    <row r="671">
      <c r="A671" s="8" t="n"/>
      <c r="B671" s="9" t="n"/>
      <c r="C671" s="65" t="n"/>
      <c r="D671" s="9" t="n"/>
      <c r="E671" s="66">
        <f>IF($B671="","",IF(LEFT($B671,1)="━","⚠️ Chọn hạng mục cụ thể",$C671*VLOOKUP($B671,'4. CÀI ĐẶT'!$A$2:$H$32,2,FALSE)))</f>
        <v/>
      </c>
      <c r="F671" s="67">
        <f>IF($B671="",0,IF(LEFT($B671,1)="━",0,$C671*VLOOKUP($B671,'4. CÀI ĐẶT'!$A$2:$H$32,3,FALSE)))</f>
        <v/>
      </c>
      <c r="G671" s="67">
        <f>IF($B671="",0,IF(LEFT($B671,1)="━",0,$C671*VLOOKUP($B671,'4. CÀI ĐẶT'!$A$2:$H$32,4,FALSE)))</f>
        <v/>
      </c>
      <c r="H671" s="67">
        <f>IF($B671="",0,IF(LEFT($B671,1)="━",0,$C671*VLOOKUP($B671,'4. CÀI ĐẶT'!$A$2:$H$32,5,FALSE)))</f>
        <v/>
      </c>
      <c r="I671">
        <f>IF($B671="","",IF(LEFT($B671,1)="━","",VLOOKUP($B671,'4. CÀI ĐẶT'!$A$2:$H$32,6,FALSE)))</f>
        <v/>
      </c>
      <c r="J671" s="13">
        <f>IF($A671="","",EOMONTH($A671,0))</f>
        <v/>
      </c>
      <c r="K671" s="67">
        <f>IF($B671="",0,IF(LEFT($B671,1)="━",0,$C671*VLOOKUP($B671,'4. CÀI ĐẶT'!$A$2:$H$32,7,FALSE)))</f>
        <v/>
      </c>
    </row>
    <row r="672">
      <c r="A672" s="8" t="n"/>
      <c r="B672" s="9" t="n"/>
      <c r="C672" s="65" t="n"/>
      <c r="D672" s="9" t="n"/>
      <c r="E672" s="66">
        <f>IF($B672="","",IF(LEFT($B672,1)="━","⚠️ Chọn hạng mục cụ thể",$C672*VLOOKUP($B672,'4. CÀI ĐẶT'!$A$2:$H$32,2,FALSE)))</f>
        <v/>
      </c>
      <c r="F672" s="67">
        <f>IF($B672="",0,IF(LEFT($B672,1)="━",0,$C672*VLOOKUP($B672,'4. CÀI ĐẶT'!$A$2:$H$32,3,FALSE)))</f>
        <v/>
      </c>
      <c r="G672" s="67">
        <f>IF($B672="",0,IF(LEFT($B672,1)="━",0,$C672*VLOOKUP($B672,'4. CÀI ĐẶT'!$A$2:$H$32,4,FALSE)))</f>
        <v/>
      </c>
      <c r="H672" s="67">
        <f>IF($B672="",0,IF(LEFT($B672,1)="━",0,$C672*VLOOKUP($B672,'4. CÀI ĐẶT'!$A$2:$H$32,5,FALSE)))</f>
        <v/>
      </c>
      <c r="I672">
        <f>IF($B672="","",IF(LEFT($B672,1)="━","",VLOOKUP($B672,'4. CÀI ĐẶT'!$A$2:$H$32,6,FALSE)))</f>
        <v/>
      </c>
      <c r="J672" s="13">
        <f>IF($A672="","",EOMONTH($A672,0))</f>
        <v/>
      </c>
      <c r="K672" s="67">
        <f>IF($B672="",0,IF(LEFT($B672,1)="━",0,$C672*VLOOKUP($B672,'4. CÀI ĐẶT'!$A$2:$H$32,7,FALSE)))</f>
        <v/>
      </c>
    </row>
    <row r="673">
      <c r="A673" s="8" t="n"/>
      <c r="B673" s="9" t="n"/>
      <c r="C673" s="65" t="n"/>
      <c r="D673" s="9" t="n"/>
      <c r="E673" s="66">
        <f>IF($B673="","",IF(LEFT($B673,1)="━","⚠️ Chọn hạng mục cụ thể",$C673*VLOOKUP($B673,'4. CÀI ĐẶT'!$A$2:$H$32,2,FALSE)))</f>
        <v/>
      </c>
      <c r="F673" s="67">
        <f>IF($B673="",0,IF(LEFT($B673,1)="━",0,$C673*VLOOKUP($B673,'4. CÀI ĐẶT'!$A$2:$H$32,3,FALSE)))</f>
        <v/>
      </c>
      <c r="G673" s="67">
        <f>IF($B673="",0,IF(LEFT($B673,1)="━",0,$C673*VLOOKUP($B673,'4. CÀI ĐẶT'!$A$2:$H$32,4,FALSE)))</f>
        <v/>
      </c>
      <c r="H673" s="67">
        <f>IF($B673="",0,IF(LEFT($B673,1)="━",0,$C673*VLOOKUP($B673,'4. CÀI ĐẶT'!$A$2:$H$32,5,FALSE)))</f>
        <v/>
      </c>
      <c r="I673">
        <f>IF($B673="","",IF(LEFT($B673,1)="━","",VLOOKUP($B673,'4. CÀI ĐẶT'!$A$2:$H$32,6,FALSE)))</f>
        <v/>
      </c>
      <c r="J673" s="13">
        <f>IF($A673="","",EOMONTH($A673,0))</f>
        <v/>
      </c>
      <c r="K673" s="67">
        <f>IF($B673="",0,IF(LEFT($B673,1)="━",0,$C673*VLOOKUP($B673,'4. CÀI ĐẶT'!$A$2:$H$32,7,FALSE)))</f>
        <v/>
      </c>
    </row>
    <row r="674">
      <c r="A674" s="8" t="n"/>
      <c r="B674" s="9" t="n"/>
      <c r="C674" s="65" t="n"/>
      <c r="D674" s="9" t="n"/>
      <c r="E674" s="66">
        <f>IF($B674="","",IF(LEFT($B674,1)="━","⚠️ Chọn hạng mục cụ thể",$C674*VLOOKUP($B674,'4. CÀI ĐẶT'!$A$2:$H$32,2,FALSE)))</f>
        <v/>
      </c>
      <c r="F674" s="67">
        <f>IF($B674="",0,IF(LEFT($B674,1)="━",0,$C674*VLOOKUP($B674,'4. CÀI ĐẶT'!$A$2:$H$32,3,FALSE)))</f>
        <v/>
      </c>
      <c r="G674" s="67">
        <f>IF($B674="",0,IF(LEFT($B674,1)="━",0,$C674*VLOOKUP($B674,'4. CÀI ĐẶT'!$A$2:$H$32,4,FALSE)))</f>
        <v/>
      </c>
      <c r="H674" s="67">
        <f>IF($B674="",0,IF(LEFT($B674,1)="━",0,$C674*VLOOKUP($B674,'4. CÀI ĐẶT'!$A$2:$H$32,5,FALSE)))</f>
        <v/>
      </c>
      <c r="I674">
        <f>IF($B674="","",IF(LEFT($B674,1)="━","",VLOOKUP($B674,'4. CÀI ĐẶT'!$A$2:$H$32,6,FALSE)))</f>
        <v/>
      </c>
      <c r="J674" s="13">
        <f>IF($A674="","",EOMONTH($A674,0))</f>
        <v/>
      </c>
      <c r="K674" s="67">
        <f>IF($B674="",0,IF(LEFT($B674,1)="━",0,$C674*VLOOKUP($B674,'4. CÀI ĐẶT'!$A$2:$H$32,7,FALSE)))</f>
        <v/>
      </c>
    </row>
    <row r="675">
      <c r="A675" s="8" t="n"/>
      <c r="B675" s="9" t="n"/>
      <c r="C675" s="65" t="n"/>
      <c r="D675" s="9" t="n"/>
      <c r="E675" s="66">
        <f>IF($B675="","",IF(LEFT($B675,1)="━","⚠️ Chọn hạng mục cụ thể",$C675*VLOOKUP($B675,'4. CÀI ĐẶT'!$A$2:$H$32,2,FALSE)))</f>
        <v/>
      </c>
      <c r="F675" s="67">
        <f>IF($B675="",0,IF(LEFT($B675,1)="━",0,$C675*VLOOKUP($B675,'4. CÀI ĐẶT'!$A$2:$H$32,3,FALSE)))</f>
        <v/>
      </c>
      <c r="G675" s="67">
        <f>IF($B675="",0,IF(LEFT($B675,1)="━",0,$C675*VLOOKUP($B675,'4. CÀI ĐẶT'!$A$2:$H$32,4,FALSE)))</f>
        <v/>
      </c>
      <c r="H675" s="67">
        <f>IF($B675="",0,IF(LEFT($B675,1)="━",0,$C675*VLOOKUP($B675,'4. CÀI ĐẶT'!$A$2:$H$32,5,FALSE)))</f>
        <v/>
      </c>
      <c r="I675">
        <f>IF($B675="","",IF(LEFT($B675,1)="━","",VLOOKUP($B675,'4. CÀI ĐẶT'!$A$2:$H$32,6,FALSE)))</f>
        <v/>
      </c>
      <c r="J675" s="13">
        <f>IF($A675="","",EOMONTH($A675,0))</f>
        <v/>
      </c>
      <c r="K675" s="67">
        <f>IF($B675="",0,IF(LEFT($B675,1)="━",0,$C675*VLOOKUP($B675,'4. CÀI ĐẶT'!$A$2:$H$32,7,FALSE)))</f>
        <v/>
      </c>
    </row>
    <row r="676">
      <c r="A676" s="8" t="n"/>
      <c r="B676" s="9" t="n"/>
      <c r="C676" s="65" t="n"/>
      <c r="D676" s="9" t="n"/>
      <c r="E676" s="66">
        <f>IF($B676="","",IF(LEFT($B676,1)="━","⚠️ Chọn hạng mục cụ thể",$C676*VLOOKUP($B676,'4. CÀI ĐẶT'!$A$2:$H$32,2,FALSE)))</f>
        <v/>
      </c>
      <c r="F676" s="67">
        <f>IF($B676="",0,IF(LEFT($B676,1)="━",0,$C676*VLOOKUP($B676,'4. CÀI ĐẶT'!$A$2:$H$32,3,FALSE)))</f>
        <v/>
      </c>
      <c r="G676" s="67">
        <f>IF($B676="",0,IF(LEFT($B676,1)="━",0,$C676*VLOOKUP($B676,'4. CÀI ĐẶT'!$A$2:$H$32,4,FALSE)))</f>
        <v/>
      </c>
      <c r="H676" s="67">
        <f>IF($B676="",0,IF(LEFT($B676,1)="━",0,$C676*VLOOKUP($B676,'4. CÀI ĐẶT'!$A$2:$H$32,5,FALSE)))</f>
        <v/>
      </c>
      <c r="I676">
        <f>IF($B676="","",IF(LEFT($B676,1)="━","",VLOOKUP($B676,'4. CÀI ĐẶT'!$A$2:$H$32,6,FALSE)))</f>
        <v/>
      </c>
      <c r="J676" s="13">
        <f>IF($A676="","",EOMONTH($A676,0))</f>
        <v/>
      </c>
      <c r="K676" s="67">
        <f>IF($B676="",0,IF(LEFT($B676,1)="━",0,$C676*VLOOKUP($B676,'4. CÀI ĐẶT'!$A$2:$H$32,7,FALSE)))</f>
        <v/>
      </c>
    </row>
    <row r="677">
      <c r="A677" s="8" t="n"/>
      <c r="B677" s="9" t="n"/>
      <c r="C677" s="65" t="n"/>
      <c r="D677" s="9" t="n"/>
      <c r="E677" s="66">
        <f>IF($B677="","",IF(LEFT($B677,1)="━","⚠️ Chọn hạng mục cụ thể",$C677*VLOOKUP($B677,'4. CÀI ĐẶT'!$A$2:$H$32,2,FALSE)))</f>
        <v/>
      </c>
      <c r="F677" s="67">
        <f>IF($B677="",0,IF(LEFT($B677,1)="━",0,$C677*VLOOKUP($B677,'4. CÀI ĐẶT'!$A$2:$H$32,3,FALSE)))</f>
        <v/>
      </c>
      <c r="G677" s="67">
        <f>IF($B677="",0,IF(LEFT($B677,1)="━",0,$C677*VLOOKUP($B677,'4. CÀI ĐẶT'!$A$2:$H$32,4,FALSE)))</f>
        <v/>
      </c>
      <c r="H677" s="67">
        <f>IF($B677="",0,IF(LEFT($B677,1)="━",0,$C677*VLOOKUP($B677,'4. CÀI ĐẶT'!$A$2:$H$32,5,FALSE)))</f>
        <v/>
      </c>
      <c r="I677">
        <f>IF($B677="","",IF(LEFT($B677,1)="━","",VLOOKUP($B677,'4. CÀI ĐẶT'!$A$2:$H$32,6,FALSE)))</f>
        <v/>
      </c>
      <c r="J677" s="13">
        <f>IF($A677="","",EOMONTH($A677,0))</f>
        <v/>
      </c>
      <c r="K677" s="67">
        <f>IF($B677="",0,IF(LEFT($B677,1)="━",0,$C677*VLOOKUP($B677,'4. CÀI ĐẶT'!$A$2:$H$32,7,FALSE)))</f>
        <v/>
      </c>
    </row>
    <row r="678">
      <c r="A678" s="8" t="n"/>
      <c r="B678" s="9" t="n"/>
      <c r="C678" s="65" t="n"/>
      <c r="D678" s="9" t="n"/>
      <c r="E678" s="66">
        <f>IF($B678="","",IF(LEFT($B678,1)="━","⚠️ Chọn hạng mục cụ thể",$C678*VLOOKUP($B678,'4. CÀI ĐẶT'!$A$2:$H$32,2,FALSE)))</f>
        <v/>
      </c>
      <c r="F678" s="67">
        <f>IF($B678="",0,IF(LEFT($B678,1)="━",0,$C678*VLOOKUP($B678,'4. CÀI ĐẶT'!$A$2:$H$32,3,FALSE)))</f>
        <v/>
      </c>
      <c r="G678" s="67">
        <f>IF($B678="",0,IF(LEFT($B678,1)="━",0,$C678*VLOOKUP($B678,'4. CÀI ĐẶT'!$A$2:$H$32,4,FALSE)))</f>
        <v/>
      </c>
      <c r="H678" s="67">
        <f>IF($B678="",0,IF(LEFT($B678,1)="━",0,$C678*VLOOKUP($B678,'4. CÀI ĐẶT'!$A$2:$H$32,5,FALSE)))</f>
        <v/>
      </c>
      <c r="I678">
        <f>IF($B678="","",IF(LEFT($B678,1)="━","",VLOOKUP($B678,'4. CÀI ĐẶT'!$A$2:$H$32,6,FALSE)))</f>
        <v/>
      </c>
      <c r="J678" s="13">
        <f>IF($A678="","",EOMONTH($A678,0))</f>
        <v/>
      </c>
      <c r="K678" s="67">
        <f>IF($B678="",0,IF(LEFT($B678,1)="━",0,$C678*VLOOKUP($B678,'4. CÀI ĐẶT'!$A$2:$H$32,7,FALSE)))</f>
        <v/>
      </c>
    </row>
    <row r="679">
      <c r="A679" s="8" t="n"/>
      <c r="B679" s="9" t="n"/>
      <c r="C679" s="65" t="n"/>
      <c r="D679" s="9" t="n"/>
      <c r="E679" s="66">
        <f>IF($B679="","",IF(LEFT($B679,1)="━","⚠️ Chọn hạng mục cụ thể",$C679*VLOOKUP($B679,'4. CÀI ĐẶT'!$A$2:$H$32,2,FALSE)))</f>
        <v/>
      </c>
      <c r="F679" s="67">
        <f>IF($B679="",0,IF(LEFT($B679,1)="━",0,$C679*VLOOKUP($B679,'4. CÀI ĐẶT'!$A$2:$H$32,3,FALSE)))</f>
        <v/>
      </c>
      <c r="G679" s="67">
        <f>IF($B679="",0,IF(LEFT($B679,1)="━",0,$C679*VLOOKUP($B679,'4. CÀI ĐẶT'!$A$2:$H$32,4,FALSE)))</f>
        <v/>
      </c>
      <c r="H679" s="67">
        <f>IF($B679="",0,IF(LEFT($B679,1)="━",0,$C679*VLOOKUP($B679,'4. CÀI ĐẶT'!$A$2:$H$32,5,FALSE)))</f>
        <v/>
      </c>
      <c r="I679">
        <f>IF($B679="","",IF(LEFT($B679,1)="━","",VLOOKUP($B679,'4. CÀI ĐẶT'!$A$2:$H$32,6,FALSE)))</f>
        <v/>
      </c>
      <c r="J679" s="13">
        <f>IF($A679="","",EOMONTH($A679,0))</f>
        <v/>
      </c>
      <c r="K679" s="67">
        <f>IF($B679="",0,IF(LEFT($B679,1)="━",0,$C679*VLOOKUP($B679,'4. CÀI ĐẶT'!$A$2:$H$32,7,FALSE)))</f>
        <v/>
      </c>
    </row>
    <row r="680">
      <c r="A680" s="8" t="n"/>
      <c r="B680" s="9" t="n"/>
      <c r="C680" s="65" t="n"/>
      <c r="D680" s="9" t="n"/>
      <c r="E680" s="66">
        <f>IF($B680="","",IF(LEFT($B680,1)="━","⚠️ Chọn hạng mục cụ thể",$C680*VLOOKUP($B680,'4. CÀI ĐẶT'!$A$2:$H$32,2,FALSE)))</f>
        <v/>
      </c>
      <c r="F680" s="67">
        <f>IF($B680="",0,IF(LEFT($B680,1)="━",0,$C680*VLOOKUP($B680,'4. CÀI ĐẶT'!$A$2:$H$32,3,FALSE)))</f>
        <v/>
      </c>
      <c r="G680" s="67">
        <f>IF($B680="",0,IF(LEFT($B680,1)="━",0,$C680*VLOOKUP($B680,'4. CÀI ĐẶT'!$A$2:$H$32,4,FALSE)))</f>
        <v/>
      </c>
      <c r="H680" s="67">
        <f>IF($B680="",0,IF(LEFT($B680,1)="━",0,$C680*VLOOKUP($B680,'4. CÀI ĐẶT'!$A$2:$H$32,5,FALSE)))</f>
        <v/>
      </c>
      <c r="I680">
        <f>IF($B680="","",IF(LEFT($B680,1)="━","",VLOOKUP($B680,'4. CÀI ĐẶT'!$A$2:$H$32,6,FALSE)))</f>
        <v/>
      </c>
      <c r="J680" s="13">
        <f>IF($A680="","",EOMONTH($A680,0))</f>
        <v/>
      </c>
      <c r="K680" s="67">
        <f>IF($B680="",0,IF(LEFT($B680,1)="━",0,$C680*VLOOKUP($B680,'4. CÀI ĐẶT'!$A$2:$H$32,7,FALSE)))</f>
        <v/>
      </c>
    </row>
    <row r="681">
      <c r="A681" s="8" t="n"/>
      <c r="B681" s="9" t="n"/>
      <c r="C681" s="65" t="n"/>
      <c r="D681" s="9" t="n"/>
      <c r="E681" s="66">
        <f>IF($B681="","",IF(LEFT($B681,1)="━","⚠️ Chọn hạng mục cụ thể",$C681*VLOOKUP($B681,'4. CÀI ĐẶT'!$A$2:$H$32,2,FALSE)))</f>
        <v/>
      </c>
      <c r="F681" s="67">
        <f>IF($B681="",0,IF(LEFT($B681,1)="━",0,$C681*VLOOKUP($B681,'4. CÀI ĐẶT'!$A$2:$H$32,3,FALSE)))</f>
        <v/>
      </c>
      <c r="G681" s="67">
        <f>IF($B681="",0,IF(LEFT($B681,1)="━",0,$C681*VLOOKUP($B681,'4. CÀI ĐẶT'!$A$2:$H$32,4,FALSE)))</f>
        <v/>
      </c>
      <c r="H681" s="67">
        <f>IF($B681="",0,IF(LEFT($B681,1)="━",0,$C681*VLOOKUP($B681,'4. CÀI ĐẶT'!$A$2:$H$32,5,FALSE)))</f>
        <v/>
      </c>
      <c r="I681">
        <f>IF($B681="","",IF(LEFT($B681,1)="━","",VLOOKUP($B681,'4. CÀI ĐẶT'!$A$2:$H$32,6,FALSE)))</f>
        <v/>
      </c>
      <c r="J681" s="13">
        <f>IF($A681="","",EOMONTH($A681,0))</f>
        <v/>
      </c>
      <c r="K681" s="67">
        <f>IF($B681="",0,IF(LEFT($B681,1)="━",0,$C681*VLOOKUP($B681,'4. CÀI ĐẶT'!$A$2:$H$32,7,FALSE)))</f>
        <v/>
      </c>
    </row>
    <row r="682">
      <c r="A682" s="8" t="n"/>
      <c r="B682" s="9" t="n"/>
      <c r="C682" s="65" t="n"/>
      <c r="D682" s="9" t="n"/>
      <c r="E682" s="66">
        <f>IF($B682="","",IF(LEFT($B682,1)="━","⚠️ Chọn hạng mục cụ thể",$C682*VLOOKUP($B682,'4. CÀI ĐẶT'!$A$2:$H$32,2,FALSE)))</f>
        <v/>
      </c>
      <c r="F682" s="67">
        <f>IF($B682="",0,IF(LEFT($B682,1)="━",0,$C682*VLOOKUP($B682,'4. CÀI ĐẶT'!$A$2:$H$32,3,FALSE)))</f>
        <v/>
      </c>
      <c r="G682" s="67">
        <f>IF($B682="",0,IF(LEFT($B682,1)="━",0,$C682*VLOOKUP($B682,'4. CÀI ĐẶT'!$A$2:$H$32,4,FALSE)))</f>
        <v/>
      </c>
      <c r="H682" s="67">
        <f>IF($B682="",0,IF(LEFT($B682,1)="━",0,$C682*VLOOKUP($B682,'4. CÀI ĐẶT'!$A$2:$H$32,5,FALSE)))</f>
        <v/>
      </c>
      <c r="I682">
        <f>IF($B682="","",IF(LEFT($B682,1)="━","",VLOOKUP($B682,'4. CÀI ĐẶT'!$A$2:$H$32,6,FALSE)))</f>
        <v/>
      </c>
      <c r="J682" s="13">
        <f>IF($A682="","",EOMONTH($A682,0))</f>
        <v/>
      </c>
      <c r="K682" s="67">
        <f>IF($B682="",0,IF(LEFT($B682,1)="━",0,$C682*VLOOKUP($B682,'4. CÀI ĐẶT'!$A$2:$H$32,7,FALSE)))</f>
        <v/>
      </c>
    </row>
    <row r="683">
      <c r="A683" s="8" t="n"/>
      <c r="B683" s="9" t="n"/>
      <c r="C683" s="65" t="n"/>
      <c r="D683" s="9" t="n"/>
      <c r="E683" s="66">
        <f>IF($B683="","",IF(LEFT($B683,1)="━","⚠️ Chọn hạng mục cụ thể",$C683*VLOOKUP($B683,'4. CÀI ĐẶT'!$A$2:$H$32,2,FALSE)))</f>
        <v/>
      </c>
      <c r="F683" s="67">
        <f>IF($B683="",0,IF(LEFT($B683,1)="━",0,$C683*VLOOKUP($B683,'4. CÀI ĐẶT'!$A$2:$H$32,3,FALSE)))</f>
        <v/>
      </c>
      <c r="G683" s="67">
        <f>IF($B683="",0,IF(LEFT($B683,1)="━",0,$C683*VLOOKUP($B683,'4. CÀI ĐẶT'!$A$2:$H$32,4,FALSE)))</f>
        <v/>
      </c>
      <c r="H683" s="67">
        <f>IF($B683="",0,IF(LEFT($B683,1)="━",0,$C683*VLOOKUP($B683,'4. CÀI ĐẶT'!$A$2:$H$32,5,FALSE)))</f>
        <v/>
      </c>
      <c r="I683">
        <f>IF($B683="","",IF(LEFT($B683,1)="━","",VLOOKUP($B683,'4. CÀI ĐẶT'!$A$2:$H$32,6,FALSE)))</f>
        <v/>
      </c>
      <c r="J683" s="13">
        <f>IF($A683="","",EOMONTH($A683,0))</f>
        <v/>
      </c>
      <c r="K683" s="67">
        <f>IF($B683="",0,IF(LEFT($B683,1)="━",0,$C683*VLOOKUP($B683,'4. CÀI ĐẶT'!$A$2:$H$32,7,FALSE)))</f>
        <v/>
      </c>
    </row>
    <row r="684">
      <c r="A684" s="8" t="n"/>
      <c r="B684" s="9" t="n"/>
      <c r="C684" s="65" t="n"/>
      <c r="D684" s="9" t="n"/>
      <c r="E684" s="66">
        <f>IF($B684="","",IF(LEFT($B684,1)="━","⚠️ Chọn hạng mục cụ thể",$C684*VLOOKUP($B684,'4. CÀI ĐẶT'!$A$2:$H$32,2,FALSE)))</f>
        <v/>
      </c>
      <c r="F684" s="67">
        <f>IF($B684="",0,IF(LEFT($B684,1)="━",0,$C684*VLOOKUP($B684,'4. CÀI ĐẶT'!$A$2:$H$32,3,FALSE)))</f>
        <v/>
      </c>
      <c r="G684" s="67">
        <f>IF($B684="",0,IF(LEFT($B684,1)="━",0,$C684*VLOOKUP($B684,'4. CÀI ĐẶT'!$A$2:$H$32,4,FALSE)))</f>
        <v/>
      </c>
      <c r="H684" s="67">
        <f>IF($B684="",0,IF(LEFT($B684,1)="━",0,$C684*VLOOKUP($B684,'4. CÀI ĐẶT'!$A$2:$H$32,5,FALSE)))</f>
        <v/>
      </c>
      <c r="I684">
        <f>IF($B684="","",IF(LEFT($B684,1)="━","",VLOOKUP($B684,'4. CÀI ĐẶT'!$A$2:$H$32,6,FALSE)))</f>
        <v/>
      </c>
      <c r="J684" s="13">
        <f>IF($A684="","",EOMONTH($A684,0))</f>
        <v/>
      </c>
      <c r="K684" s="67">
        <f>IF($B684="",0,IF(LEFT($B684,1)="━",0,$C684*VLOOKUP($B684,'4. CÀI ĐẶT'!$A$2:$H$32,7,FALSE)))</f>
        <v/>
      </c>
    </row>
    <row r="685">
      <c r="A685" s="8" t="n"/>
      <c r="B685" s="9" t="n"/>
      <c r="C685" s="65" t="n"/>
      <c r="D685" s="9" t="n"/>
      <c r="E685" s="66">
        <f>IF($B685="","",IF(LEFT($B685,1)="━","⚠️ Chọn hạng mục cụ thể",$C685*VLOOKUP($B685,'4. CÀI ĐẶT'!$A$2:$H$32,2,FALSE)))</f>
        <v/>
      </c>
      <c r="F685" s="67">
        <f>IF($B685="",0,IF(LEFT($B685,1)="━",0,$C685*VLOOKUP($B685,'4. CÀI ĐẶT'!$A$2:$H$32,3,FALSE)))</f>
        <v/>
      </c>
      <c r="G685" s="67">
        <f>IF($B685="",0,IF(LEFT($B685,1)="━",0,$C685*VLOOKUP($B685,'4. CÀI ĐẶT'!$A$2:$H$32,4,FALSE)))</f>
        <v/>
      </c>
      <c r="H685" s="67">
        <f>IF($B685="",0,IF(LEFT($B685,1)="━",0,$C685*VLOOKUP($B685,'4. CÀI ĐẶT'!$A$2:$H$32,5,FALSE)))</f>
        <v/>
      </c>
      <c r="I685">
        <f>IF($B685="","",IF(LEFT($B685,1)="━","",VLOOKUP($B685,'4. CÀI ĐẶT'!$A$2:$H$32,6,FALSE)))</f>
        <v/>
      </c>
      <c r="J685" s="13">
        <f>IF($A685="","",EOMONTH($A685,0))</f>
        <v/>
      </c>
      <c r="K685" s="67">
        <f>IF($B685="",0,IF(LEFT($B685,1)="━",0,$C685*VLOOKUP($B685,'4. CÀI ĐẶT'!$A$2:$H$32,7,FALSE)))</f>
        <v/>
      </c>
    </row>
    <row r="686">
      <c r="A686" s="8" t="n"/>
      <c r="B686" s="9" t="n"/>
      <c r="C686" s="65" t="n"/>
      <c r="D686" s="9" t="n"/>
      <c r="E686" s="66">
        <f>IF($B686="","",IF(LEFT($B686,1)="━","⚠️ Chọn hạng mục cụ thể",$C686*VLOOKUP($B686,'4. CÀI ĐẶT'!$A$2:$H$32,2,FALSE)))</f>
        <v/>
      </c>
      <c r="F686" s="67">
        <f>IF($B686="",0,IF(LEFT($B686,1)="━",0,$C686*VLOOKUP($B686,'4. CÀI ĐẶT'!$A$2:$H$32,3,FALSE)))</f>
        <v/>
      </c>
      <c r="G686" s="67">
        <f>IF($B686="",0,IF(LEFT($B686,1)="━",0,$C686*VLOOKUP($B686,'4. CÀI ĐẶT'!$A$2:$H$32,4,FALSE)))</f>
        <v/>
      </c>
      <c r="H686" s="67">
        <f>IF($B686="",0,IF(LEFT($B686,1)="━",0,$C686*VLOOKUP($B686,'4. CÀI ĐẶT'!$A$2:$H$32,5,FALSE)))</f>
        <v/>
      </c>
      <c r="I686">
        <f>IF($B686="","",IF(LEFT($B686,1)="━","",VLOOKUP($B686,'4. CÀI ĐẶT'!$A$2:$H$32,6,FALSE)))</f>
        <v/>
      </c>
      <c r="J686" s="13">
        <f>IF($A686="","",EOMONTH($A686,0))</f>
        <v/>
      </c>
      <c r="K686" s="67">
        <f>IF($B686="",0,IF(LEFT($B686,1)="━",0,$C686*VLOOKUP($B686,'4. CÀI ĐẶT'!$A$2:$H$32,7,FALSE)))</f>
        <v/>
      </c>
    </row>
    <row r="687">
      <c r="A687" s="8" t="n"/>
      <c r="B687" s="9" t="n"/>
      <c r="C687" s="65" t="n"/>
      <c r="D687" s="9" t="n"/>
      <c r="E687" s="66">
        <f>IF($B687="","",IF(LEFT($B687,1)="━","⚠️ Chọn hạng mục cụ thể",$C687*VLOOKUP($B687,'4. CÀI ĐẶT'!$A$2:$H$32,2,FALSE)))</f>
        <v/>
      </c>
      <c r="F687" s="67">
        <f>IF($B687="",0,IF(LEFT($B687,1)="━",0,$C687*VLOOKUP($B687,'4. CÀI ĐẶT'!$A$2:$H$32,3,FALSE)))</f>
        <v/>
      </c>
      <c r="G687" s="67">
        <f>IF($B687="",0,IF(LEFT($B687,1)="━",0,$C687*VLOOKUP($B687,'4. CÀI ĐẶT'!$A$2:$H$32,4,FALSE)))</f>
        <v/>
      </c>
      <c r="H687" s="67">
        <f>IF($B687="",0,IF(LEFT($B687,1)="━",0,$C687*VLOOKUP($B687,'4. CÀI ĐẶT'!$A$2:$H$32,5,FALSE)))</f>
        <v/>
      </c>
      <c r="I687">
        <f>IF($B687="","",IF(LEFT($B687,1)="━","",VLOOKUP($B687,'4. CÀI ĐẶT'!$A$2:$H$32,6,FALSE)))</f>
        <v/>
      </c>
      <c r="J687" s="13">
        <f>IF($A687="","",EOMONTH($A687,0))</f>
        <v/>
      </c>
      <c r="K687" s="67">
        <f>IF($B687="",0,IF(LEFT($B687,1)="━",0,$C687*VLOOKUP($B687,'4. CÀI ĐẶT'!$A$2:$H$32,7,FALSE)))</f>
        <v/>
      </c>
    </row>
    <row r="688">
      <c r="A688" s="8" t="n"/>
      <c r="B688" s="9" t="n"/>
      <c r="C688" s="65" t="n"/>
      <c r="D688" s="9" t="n"/>
      <c r="E688" s="66">
        <f>IF($B688="","",IF(LEFT($B688,1)="━","⚠️ Chọn hạng mục cụ thể",$C688*VLOOKUP($B688,'4. CÀI ĐẶT'!$A$2:$H$32,2,FALSE)))</f>
        <v/>
      </c>
      <c r="F688" s="67">
        <f>IF($B688="",0,IF(LEFT($B688,1)="━",0,$C688*VLOOKUP($B688,'4. CÀI ĐẶT'!$A$2:$H$32,3,FALSE)))</f>
        <v/>
      </c>
      <c r="G688" s="67">
        <f>IF($B688="",0,IF(LEFT($B688,1)="━",0,$C688*VLOOKUP($B688,'4. CÀI ĐẶT'!$A$2:$H$32,4,FALSE)))</f>
        <v/>
      </c>
      <c r="H688" s="67">
        <f>IF($B688="",0,IF(LEFT($B688,1)="━",0,$C688*VLOOKUP($B688,'4. CÀI ĐẶT'!$A$2:$H$32,5,FALSE)))</f>
        <v/>
      </c>
      <c r="I688">
        <f>IF($B688="","",IF(LEFT($B688,1)="━","",VLOOKUP($B688,'4. CÀI ĐẶT'!$A$2:$H$32,6,FALSE)))</f>
        <v/>
      </c>
      <c r="J688" s="13">
        <f>IF($A688="","",EOMONTH($A688,0))</f>
        <v/>
      </c>
      <c r="K688" s="67">
        <f>IF($B688="",0,IF(LEFT($B688,1)="━",0,$C688*VLOOKUP($B688,'4. CÀI ĐẶT'!$A$2:$H$32,7,FALSE)))</f>
        <v/>
      </c>
    </row>
    <row r="689">
      <c r="A689" s="8" t="n"/>
      <c r="B689" s="9" t="n"/>
      <c r="C689" s="65" t="n"/>
      <c r="D689" s="9" t="n"/>
      <c r="E689" s="66">
        <f>IF($B689="","",IF(LEFT($B689,1)="━","⚠️ Chọn hạng mục cụ thể",$C689*VLOOKUP($B689,'4. CÀI ĐẶT'!$A$2:$H$32,2,FALSE)))</f>
        <v/>
      </c>
      <c r="F689" s="67">
        <f>IF($B689="",0,IF(LEFT($B689,1)="━",0,$C689*VLOOKUP($B689,'4. CÀI ĐẶT'!$A$2:$H$32,3,FALSE)))</f>
        <v/>
      </c>
      <c r="G689" s="67">
        <f>IF($B689="",0,IF(LEFT($B689,1)="━",0,$C689*VLOOKUP($B689,'4. CÀI ĐẶT'!$A$2:$H$32,4,FALSE)))</f>
        <v/>
      </c>
      <c r="H689" s="67">
        <f>IF($B689="",0,IF(LEFT($B689,1)="━",0,$C689*VLOOKUP($B689,'4. CÀI ĐẶT'!$A$2:$H$32,5,FALSE)))</f>
        <v/>
      </c>
      <c r="I689">
        <f>IF($B689="","",IF(LEFT($B689,1)="━","",VLOOKUP($B689,'4. CÀI ĐẶT'!$A$2:$H$32,6,FALSE)))</f>
        <v/>
      </c>
      <c r="J689" s="13">
        <f>IF($A689="","",EOMONTH($A689,0))</f>
        <v/>
      </c>
      <c r="K689" s="67">
        <f>IF($B689="",0,IF(LEFT($B689,1)="━",0,$C689*VLOOKUP($B689,'4. CÀI ĐẶT'!$A$2:$H$32,7,FALSE)))</f>
        <v/>
      </c>
    </row>
    <row r="690">
      <c r="A690" s="8" t="n"/>
      <c r="B690" s="9" t="n"/>
      <c r="C690" s="65" t="n"/>
      <c r="D690" s="9" t="n"/>
      <c r="E690" s="66">
        <f>IF($B690="","",IF(LEFT($B690,1)="━","⚠️ Chọn hạng mục cụ thể",$C690*VLOOKUP($B690,'4. CÀI ĐẶT'!$A$2:$H$32,2,FALSE)))</f>
        <v/>
      </c>
      <c r="F690" s="67">
        <f>IF($B690="",0,IF(LEFT($B690,1)="━",0,$C690*VLOOKUP($B690,'4. CÀI ĐẶT'!$A$2:$H$32,3,FALSE)))</f>
        <v/>
      </c>
      <c r="G690" s="67">
        <f>IF($B690="",0,IF(LEFT($B690,1)="━",0,$C690*VLOOKUP($B690,'4. CÀI ĐẶT'!$A$2:$H$32,4,FALSE)))</f>
        <v/>
      </c>
      <c r="H690" s="67">
        <f>IF($B690="",0,IF(LEFT($B690,1)="━",0,$C690*VLOOKUP($B690,'4. CÀI ĐẶT'!$A$2:$H$32,5,FALSE)))</f>
        <v/>
      </c>
      <c r="I690">
        <f>IF($B690="","",IF(LEFT($B690,1)="━","",VLOOKUP($B690,'4. CÀI ĐẶT'!$A$2:$H$32,6,FALSE)))</f>
        <v/>
      </c>
      <c r="J690" s="13">
        <f>IF($A690="","",EOMONTH($A690,0))</f>
        <v/>
      </c>
      <c r="K690" s="67">
        <f>IF($B690="",0,IF(LEFT($B690,1)="━",0,$C690*VLOOKUP($B690,'4. CÀI ĐẶT'!$A$2:$H$32,7,FALSE)))</f>
        <v/>
      </c>
    </row>
    <row r="691">
      <c r="A691" s="8" t="n"/>
      <c r="B691" s="9" t="n"/>
      <c r="C691" s="65" t="n"/>
      <c r="D691" s="9" t="n"/>
      <c r="E691" s="66">
        <f>IF($B691="","",IF(LEFT($B691,1)="━","⚠️ Chọn hạng mục cụ thể",$C691*VLOOKUP($B691,'4. CÀI ĐẶT'!$A$2:$H$32,2,FALSE)))</f>
        <v/>
      </c>
      <c r="F691" s="67">
        <f>IF($B691="",0,IF(LEFT($B691,1)="━",0,$C691*VLOOKUP($B691,'4. CÀI ĐẶT'!$A$2:$H$32,3,FALSE)))</f>
        <v/>
      </c>
      <c r="G691" s="67">
        <f>IF($B691="",0,IF(LEFT($B691,1)="━",0,$C691*VLOOKUP($B691,'4. CÀI ĐẶT'!$A$2:$H$32,4,FALSE)))</f>
        <v/>
      </c>
      <c r="H691" s="67">
        <f>IF($B691="",0,IF(LEFT($B691,1)="━",0,$C691*VLOOKUP($B691,'4. CÀI ĐẶT'!$A$2:$H$32,5,FALSE)))</f>
        <v/>
      </c>
      <c r="I691">
        <f>IF($B691="","",IF(LEFT($B691,1)="━","",VLOOKUP($B691,'4. CÀI ĐẶT'!$A$2:$H$32,6,FALSE)))</f>
        <v/>
      </c>
      <c r="J691" s="13">
        <f>IF($A691="","",EOMONTH($A691,0))</f>
        <v/>
      </c>
      <c r="K691" s="67">
        <f>IF($B691="",0,IF(LEFT($B691,1)="━",0,$C691*VLOOKUP($B691,'4. CÀI ĐẶT'!$A$2:$H$32,7,FALSE)))</f>
        <v/>
      </c>
    </row>
    <row r="692">
      <c r="A692" s="8" t="n"/>
      <c r="B692" s="9" t="n"/>
      <c r="C692" s="65" t="n"/>
      <c r="D692" s="9" t="n"/>
      <c r="E692" s="66">
        <f>IF($B692="","",IF(LEFT($B692,1)="━","⚠️ Chọn hạng mục cụ thể",$C692*VLOOKUP($B692,'4. CÀI ĐẶT'!$A$2:$H$32,2,FALSE)))</f>
        <v/>
      </c>
      <c r="F692" s="67">
        <f>IF($B692="",0,IF(LEFT($B692,1)="━",0,$C692*VLOOKUP($B692,'4. CÀI ĐẶT'!$A$2:$H$32,3,FALSE)))</f>
        <v/>
      </c>
      <c r="G692" s="67">
        <f>IF($B692="",0,IF(LEFT($B692,1)="━",0,$C692*VLOOKUP($B692,'4. CÀI ĐẶT'!$A$2:$H$32,4,FALSE)))</f>
        <v/>
      </c>
      <c r="H692" s="67">
        <f>IF($B692="",0,IF(LEFT($B692,1)="━",0,$C692*VLOOKUP($B692,'4. CÀI ĐẶT'!$A$2:$H$32,5,FALSE)))</f>
        <v/>
      </c>
      <c r="I692">
        <f>IF($B692="","",IF(LEFT($B692,1)="━","",VLOOKUP($B692,'4. CÀI ĐẶT'!$A$2:$H$32,6,FALSE)))</f>
        <v/>
      </c>
      <c r="J692" s="13">
        <f>IF($A692="","",EOMONTH($A692,0))</f>
        <v/>
      </c>
      <c r="K692" s="67">
        <f>IF($B692="",0,IF(LEFT($B692,1)="━",0,$C692*VLOOKUP($B692,'4. CÀI ĐẶT'!$A$2:$H$32,7,FALSE)))</f>
        <v/>
      </c>
    </row>
    <row r="693">
      <c r="A693" s="8" t="n"/>
      <c r="B693" s="9" t="n"/>
      <c r="C693" s="65" t="n"/>
      <c r="D693" s="9" t="n"/>
      <c r="E693" s="66">
        <f>IF($B693="","",IF(LEFT($B693,1)="━","⚠️ Chọn hạng mục cụ thể",$C693*VLOOKUP($B693,'4. CÀI ĐẶT'!$A$2:$H$32,2,FALSE)))</f>
        <v/>
      </c>
      <c r="F693" s="67">
        <f>IF($B693="",0,IF(LEFT($B693,1)="━",0,$C693*VLOOKUP($B693,'4. CÀI ĐẶT'!$A$2:$H$32,3,FALSE)))</f>
        <v/>
      </c>
      <c r="G693" s="67">
        <f>IF($B693="",0,IF(LEFT($B693,1)="━",0,$C693*VLOOKUP($B693,'4. CÀI ĐẶT'!$A$2:$H$32,4,FALSE)))</f>
        <v/>
      </c>
      <c r="H693" s="67">
        <f>IF($B693="",0,IF(LEFT($B693,1)="━",0,$C693*VLOOKUP($B693,'4. CÀI ĐẶT'!$A$2:$H$32,5,FALSE)))</f>
        <v/>
      </c>
      <c r="I693">
        <f>IF($B693="","",IF(LEFT($B693,1)="━","",VLOOKUP($B693,'4. CÀI ĐẶT'!$A$2:$H$32,6,FALSE)))</f>
        <v/>
      </c>
      <c r="J693" s="13">
        <f>IF($A693="","",EOMONTH($A693,0))</f>
        <v/>
      </c>
      <c r="K693" s="67">
        <f>IF($B693="",0,IF(LEFT($B693,1)="━",0,$C693*VLOOKUP($B693,'4. CÀI ĐẶT'!$A$2:$H$32,7,FALSE)))</f>
        <v/>
      </c>
    </row>
    <row r="694">
      <c r="A694" s="8" t="n"/>
      <c r="B694" s="9" t="n"/>
      <c r="C694" s="65" t="n"/>
      <c r="D694" s="9" t="n"/>
      <c r="E694" s="66">
        <f>IF($B694="","",IF(LEFT($B694,1)="━","⚠️ Chọn hạng mục cụ thể",$C694*VLOOKUP($B694,'4. CÀI ĐẶT'!$A$2:$H$32,2,FALSE)))</f>
        <v/>
      </c>
      <c r="F694" s="67">
        <f>IF($B694="",0,IF(LEFT($B694,1)="━",0,$C694*VLOOKUP($B694,'4. CÀI ĐẶT'!$A$2:$H$32,3,FALSE)))</f>
        <v/>
      </c>
      <c r="G694" s="67">
        <f>IF($B694="",0,IF(LEFT($B694,1)="━",0,$C694*VLOOKUP($B694,'4. CÀI ĐẶT'!$A$2:$H$32,4,FALSE)))</f>
        <v/>
      </c>
      <c r="H694" s="67">
        <f>IF($B694="",0,IF(LEFT($B694,1)="━",0,$C694*VLOOKUP($B694,'4. CÀI ĐẶT'!$A$2:$H$32,5,FALSE)))</f>
        <v/>
      </c>
      <c r="I694">
        <f>IF($B694="","",IF(LEFT($B694,1)="━","",VLOOKUP($B694,'4. CÀI ĐẶT'!$A$2:$H$32,6,FALSE)))</f>
        <v/>
      </c>
      <c r="J694" s="13">
        <f>IF($A694="","",EOMONTH($A694,0))</f>
        <v/>
      </c>
      <c r="K694" s="67">
        <f>IF($B694="",0,IF(LEFT($B694,1)="━",0,$C694*VLOOKUP($B694,'4. CÀI ĐẶT'!$A$2:$H$32,7,FALSE)))</f>
        <v/>
      </c>
    </row>
    <row r="695">
      <c r="A695" s="8" t="n"/>
      <c r="B695" s="9" t="n"/>
      <c r="C695" s="65" t="n"/>
      <c r="D695" s="9" t="n"/>
      <c r="E695" s="66">
        <f>IF($B695="","",IF(LEFT($B695,1)="━","⚠️ Chọn hạng mục cụ thể",$C695*VLOOKUP($B695,'4. CÀI ĐẶT'!$A$2:$H$32,2,FALSE)))</f>
        <v/>
      </c>
      <c r="F695" s="67">
        <f>IF($B695="",0,IF(LEFT($B695,1)="━",0,$C695*VLOOKUP($B695,'4. CÀI ĐẶT'!$A$2:$H$32,3,FALSE)))</f>
        <v/>
      </c>
      <c r="G695" s="67">
        <f>IF($B695="",0,IF(LEFT($B695,1)="━",0,$C695*VLOOKUP($B695,'4. CÀI ĐẶT'!$A$2:$H$32,4,FALSE)))</f>
        <v/>
      </c>
      <c r="H695" s="67">
        <f>IF($B695="",0,IF(LEFT($B695,1)="━",0,$C695*VLOOKUP($B695,'4. CÀI ĐẶT'!$A$2:$H$32,5,FALSE)))</f>
        <v/>
      </c>
      <c r="I695">
        <f>IF($B695="","",IF(LEFT($B695,1)="━","",VLOOKUP($B695,'4. CÀI ĐẶT'!$A$2:$H$32,6,FALSE)))</f>
        <v/>
      </c>
      <c r="J695" s="13">
        <f>IF($A695="","",EOMONTH($A695,0))</f>
        <v/>
      </c>
      <c r="K695" s="67">
        <f>IF($B695="",0,IF(LEFT($B695,1)="━",0,$C695*VLOOKUP($B695,'4. CÀI ĐẶT'!$A$2:$H$32,7,FALSE)))</f>
        <v/>
      </c>
    </row>
    <row r="696">
      <c r="A696" s="8" t="n"/>
      <c r="B696" s="9" t="n"/>
      <c r="C696" s="65" t="n"/>
      <c r="D696" s="9" t="n"/>
      <c r="E696" s="66">
        <f>IF($B696="","",IF(LEFT($B696,1)="━","⚠️ Chọn hạng mục cụ thể",$C696*VLOOKUP($B696,'4. CÀI ĐẶT'!$A$2:$H$32,2,FALSE)))</f>
        <v/>
      </c>
      <c r="F696" s="67">
        <f>IF($B696="",0,IF(LEFT($B696,1)="━",0,$C696*VLOOKUP($B696,'4. CÀI ĐẶT'!$A$2:$H$32,3,FALSE)))</f>
        <v/>
      </c>
      <c r="G696" s="67">
        <f>IF($B696="",0,IF(LEFT($B696,1)="━",0,$C696*VLOOKUP($B696,'4. CÀI ĐẶT'!$A$2:$H$32,4,FALSE)))</f>
        <v/>
      </c>
      <c r="H696" s="67">
        <f>IF($B696="",0,IF(LEFT($B696,1)="━",0,$C696*VLOOKUP($B696,'4. CÀI ĐẶT'!$A$2:$H$32,5,FALSE)))</f>
        <v/>
      </c>
      <c r="I696">
        <f>IF($B696="","",IF(LEFT($B696,1)="━","",VLOOKUP($B696,'4. CÀI ĐẶT'!$A$2:$H$32,6,FALSE)))</f>
        <v/>
      </c>
      <c r="J696" s="13">
        <f>IF($A696="","",EOMONTH($A696,0))</f>
        <v/>
      </c>
      <c r="K696" s="67">
        <f>IF($B696="",0,IF(LEFT($B696,1)="━",0,$C696*VLOOKUP($B696,'4. CÀI ĐẶT'!$A$2:$H$32,7,FALSE)))</f>
        <v/>
      </c>
    </row>
    <row r="697">
      <c r="A697" s="8" t="n"/>
      <c r="B697" s="9" t="n"/>
      <c r="C697" s="65" t="n"/>
      <c r="D697" s="9" t="n"/>
      <c r="E697" s="66">
        <f>IF($B697="","",IF(LEFT($B697,1)="━","⚠️ Chọn hạng mục cụ thể",$C697*VLOOKUP($B697,'4. CÀI ĐẶT'!$A$2:$H$32,2,FALSE)))</f>
        <v/>
      </c>
      <c r="F697" s="67">
        <f>IF($B697="",0,IF(LEFT($B697,1)="━",0,$C697*VLOOKUP($B697,'4. CÀI ĐẶT'!$A$2:$H$32,3,FALSE)))</f>
        <v/>
      </c>
      <c r="G697" s="67">
        <f>IF($B697="",0,IF(LEFT($B697,1)="━",0,$C697*VLOOKUP($B697,'4. CÀI ĐẶT'!$A$2:$H$32,4,FALSE)))</f>
        <v/>
      </c>
      <c r="H697" s="67">
        <f>IF($B697="",0,IF(LEFT($B697,1)="━",0,$C697*VLOOKUP($B697,'4. CÀI ĐẶT'!$A$2:$H$32,5,FALSE)))</f>
        <v/>
      </c>
      <c r="I697">
        <f>IF($B697="","",IF(LEFT($B697,1)="━","",VLOOKUP($B697,'4. CÀI ĐẶT'!$A$2:$H$32,6,FALSE)))</f>
        <v/>
      </c>
      <c r="J697" s="13">
        <f>IF($A697="","",EOMONTH($A697,0))</f>
        <v/>
      </c>
      <c r="K697" s="67">
        <f>IF($B697="",0,IF(LEFT($B697,1)="━",0,$C697*VLOOKUP($B697,'4. CÀI ĐẶT'!$A$2:$H$32,7,FALSE)))</f>
        <v/>
      </c>
    </row>
    <row r="698">
      <c r="A698" s="8" t="n"/>
      <c r="B698" s="9" t="n"/>
      <c r="C698" s="65" t="n"/>
      <c r="D698" s="9" t="n"/>
      <c r="E698" s="66">
        <f>IF($B698="","",IF(LEFT($B698,1)="━","⚠️ Chọn hạng mục cụ thể",$C698*VLOOKUP($B698,'4. CÀI ĐẶT'!$A$2:$H$32,2,FALSE)))</f>
        <v/>
      </c>
      <c r="F698" s="67">
        <f>IF($B698="",0,IF(LEFT($B698,1)="━",0,$C698*VLOOKUP($B698,'4. CÀI ĐẶT'!$A$2:$H$32,3,FALSE)))</f>
        <v/>
      </c>
      <c r="G698" s="67">
        <f>IF($B698="",0,IF(LEFT($B698,1)="━",0,$C698*VLOOKUP($B698,'4. CÀI ĐẶT'!$A$2:$H$32,4,FALSE)))</f>
        <v/>
      </c>
      <c r="H698" s="67">
        <f>IF($B698="",0,IF(LEFT($B698,1)="━",0,$C698*VLOOKUP($B698,'4. CÀI ĐẶT'!$A$2:$H$32,5,FALSE)))</f>
        <v/>
      </c>
      <c r="I698">
        <f>IF($B698="","",IF(LEFT($B698,1)="━","",VLOOKUP($B698,'4. CÀI ĐẶT'!$A$2:$H$32,6,FALSE)))</f>
        <v/>
      </c>
      <c r="J698" s="13">
        <f>IF($A698="","",EOMONTH($A698,0))</f>
        <v/>
      </c>
      <c r="K698" s="67">
        <f>IF($B698="",0,IF(LEFT($B698,1)="━",0,$C698*VLOOKUP($B698,'4. CÀI ĐẶT'!$A$2:$H$32,7,FALSE)))</f>
        <v/>
      </c>
    </row>
    <row r="699">
      <c r="A699" s="8" t="n"/>
      <c r="B699" s="9" t="n"/>
      <c r="C699" s="65" t="n"/>
      <c r="D699" s="9" t="n"/>
      <c r="E699" s="66">
        <f>IF($B699="","",IF(LEFT($B699,1)="━","⚠️ Chọn hạng mục cụ thể",$C699*VLOOKUP($B699,'4. CÀI ĐẶT'!$A$2:$H$32,2,FALSE)))</f>
        <v/>
      </c>
      <c r="F699" s="67">
        <f>IF($B699="",0,IF(LEFT($B699,1)="━",0,$C699*VLOOKUP($B699,'4. CÀI ĐẶT'!$A$2:$H$32,3,FALSE)))</f>
        <v/>
      </c>
      <c r="G699" s="67">
        <f>IF($B699="",0,IF(LEFT($B699,1)="━",0,$C699*VLOOKUP($B699,'4. CÀI ĐẶT'!$A$2:$H$32,4,FALSE)))</f>
        <v/>
      </c>
      <c r="H699" s="67">
        <f>IF($B699="",0,IF(LEFT($B699,1)="━",0,$C699*VLOOKUP($B699,'4. CÀI ĐẶT'!$A$2:$H$32,5,FALSE)))</f>
        <v/>
      </c>
      <c r="I699">
        <f>IF($B699="","",IF(LEFT($B699,1)="━","",VLOOKUP($B699,'4. CÀI ĐẶT'!$A$2:$H$32,6,FALSE)))</f>
        <v/>
      </c>
      <c r="J699" s="13">
        <f>IF($A699="","",EOMONTH($A699,0))</f>
        <v/>
      </c>
      <c r="K699" s="67">
        <f>IF($B699="",0,IF(LEFT($B699,1)="━",0,$C699*VLOOKUP($B699,'4. CÀI ĐẶT'!$A$2:$H$32,7,FALSE)))</f>
        <v/>
      </c>
    </row>
    <row r="700">
      <c r="A700" s="8" t="n"/>
      <c r="B700" s="9" t="n"/>
      <c r="C700" s="65" t="n"/>
      <c r="D700" s="9" t="n"/>
      <c r="E700" s="66">
        <f>IF($B700="","",IF(LEFT($B700,1)="━","⚠️ Chọn hạng mục cụ thể",$C700*VLOOKUP($B700,'4. CÀI ĐẶT'!$A$2:$H$32,2,FALSE)))</f>
        <v/>
      </c>
      <c r="F700" s="67">
        <f>IF($B700="",0,IF(LEFT($B700,1)="━",0,$C700*VLOOKUP($B700,'4. CÀI ĐẶT'!$A$2:$H$32,3,FALSE)))</f>
        <v/>
      </c>
      <c r="G700" s="67">
        <f>IF($B700="",0,IF(LEFT($B700,1)="━",0,$C700*VLOOKUP($B700,'4. CÀI ĐẶT'!$A$2:$H$32,4,FALSE)))</f>
        <v/>
      </c>
      <c r="H700" s="67">
        <f>IF($B700="",0,IF(LEFT($B700,1)="━",0,$C700*VLOOKUP($B700,'4. CÀI ĐẶT'!$A$2:$H$32,5,FALSE)))</f>
        <v/>
      </c>
      <c r="I700">
        <f>IF($B700="","",IF(LEFT($B700,1)="━","",VLOOKUP($B700,'4. CÀI ĐẶT'!$A$2:$H$32,6,FALSE)))</f>
        <v/>
      </c>
      <c r="J700" s="13">
        <f>IF($A700="","",EOMONTH($A700,0))</f>
        <v/>
      </c>
      <c r="K700" s="67">
        <f>IF($B700="",0,IF(LEFT($B700,1)="━",0,$C700*VLOOKUP($B700,'4. CÀI ĐẶT'!$A$2:$H$32,7,FALSE)))</f>
        <v/>
      </c>
    </row>
    <row r="701">
      <c r="A701" s="8" t="n"/>
      <c r="B701" s="9" t="n"/>
      <c r="C701" s="65" t="n"/>
      <c r="D701" s="9" t="n"/>
      <c r="E701" s="66">
        <f>IF($B701="","",IF(LEFT($B701,1)="━","⚠️ Chọn hạng mục cụ thể",$C701*VLOOKUP($B701,'4. CÀI ĐẶT'!$A$2:$H$32,2,FALSE)))</f>
        <v/>
      </c>
      <c r="F701" s="67">
        <f>IF($B701="",0,IF(LEFT($B701,1)="━",0,$C701*VLOOKUP($B701,'4. CÀI ĐẶT'!$A$2:$H$32,3,FALSE)))</f>
        <v/>
      </c>
      <c r="G701" s="67">
        <f>IF($B701="",0,IF(LEFT($B701,1)="━",0,$C701*VLOOKUP($B701,'4. CÀI ĐẶT'!$A$2:$H$32,4,FALSE)))</f>
        <v/>
      </c>
      <c r="H701" s="67">
        <f>IF($B701="",0,IF(LEFT($B701,1)="━",0,$C701*VLOOKUP($B701,'4. CÀI ĐẶT'!$A$2:$H$32,5,FALSE)))</f>
        <v/>
      </c>
      <c r="I701">
        <f>IF($B701="","",IF(LEFT($B701,1)="━","",VLOOKUP($B701,'4. CÀI ĐẶT'!$A$2:$H$32,6,FALSE)))</f>
        <v/>
      </c>
      <c r="J701" s="13">
        <f>IF($A701="","",EOMONTH($A701,0))</f>
        <v/>
      </c>
      <c r="K701" s="67">
        <f>IF($B701="",0,IF(LEFT($B701,1)="━",0,$C701*VLOOKUP($B701,'4. CÀI ĐẶT'!$A$2:$H$32,7,FALSE)))</f>
        <v/>
      </c>
    </row>
    <row r="702">
      <c r="A702" s="8" t="n"/>
      <c r="B702" s="9" t="n"/>
      <c r="C702" s="65" t="n"/>
      <c r="D702" s="9" t="n"/>
      <c r="E702" s="66">
        <f>IF($B702="","",IF(LEFT($B702,1)="━","⚠️ Chọn hạng mục cụ thể",$C702*VLOOKUP($B702,'4. CÀI ĐẶT'!$A$2:$H$32,2,FALSE)))</f>
        <v/>
      </c>
      <c r="F702" s="67">
        <f>IF($B702="",0,IF(LEFT($B702,1)="━",0,$C702*VLOOKUP($B702,'4. CÀI ĐẶT'!$A$2:$H$32,3,FALSE)))</f>
        <v/>
      </c>
      <c r="G702" s="67">
        <f>IF($B702="",0,IF(LEFT($B702,1)="━",0,$C702*VLOOKUP($B702,'4. CÀI ĐẶT'!$A$2:$H$32,4,FALSE)))</f>
        <v/>
      </c>
      <c r="H702" s="67">
        <f>IF($B702="",0,IF(LEFT($B702,1)="━",0,$C702*VLOOKUP($B702,'4. CÀI ĐẶT'!$A$2:$H$32,5,FALSE)))</f>
        <v/>
      </c>
      <c r="I702">
        <f>IF($B702="","",IF(LEFT($B702,1)="━","",VLOOKUP($B702,'4. CÀI ĐẶT'!$A$2:$H$32,6,FALSE)))</f>
        <v/>
      </c>
      <c r="J702" s="13">
        <f>IF($A702="","",EOMONTH($A702,0))</f>
        <v/>
      </c>
      <c r="K702" s="67">
        <f>IF($B702="",0,IF(LEFT($B702,1)="━",0,$C702*VLOOKUP($B702,'4. CÀI ĐẶT'!$A$2:$H$32,7,FALSE)))</f>
        <v/>
      </c>
    </row>
    <row r="703">
      <c r="A703" s="8" t="n"/>
      <c r="B703" s="9" t="n"/>
      <c r="C703" s="65" t="n"/>
      <c r="D703" s="9" t="n"/>
      <c r="E703" s="66">
        <f>IF($B703="","",IF(LEFT($B703,1)="━","⚠️ Chọn hạng mục cụ thể",$C703*VLOOKUP($B703,'4. CÀI ĐẶT'!$A$2:$H$32,2,FALSE)))</f>
        <v/>
      </c>
      <c r="F703" s="67">
        <f>IF($B703="",0,IF(LEFT($B703,1)="━",0,$C703*VLOOKUP($B703,'4. CÀI ĐẶT'!$A$2:$H$32,3,FALSE)))</f>
        <v/>
      </c>
      <c r="G703" s="67">
        <f>IF($B703="",0,IF(LEFT($B703,1)="━",0,$C703*VLOOKUP($B703,'4. CÀI ĐẶT'!$A$2:$H$32,4,FALSE)))</f>
        <v/>
      </c>
      <c r="H703" s="67">
        <f>IF($B703="",0,IF(LEFT($B703,1)="━",0,$C703*VLOOKUP($B703,'4. CÀI ĐẶT'!$A$2:$H$32,5,FALSE)))</f>
        <v/>
      </c>
      <c r="I703">
        <f>IF($B703="","",IF(LEFT($B703,1)="━","",VLOOKUP($B703,'4. CÀI ĐẶT'!$A$2:$H$32,6,FALSE)))</f>
        <v/>
      </c>
      <c r="J703" s="13">
        <f>IF($A703="","",EOMONTH($A703,0))</f>
        <v/>
      </c>
      <c r="K703" s="67">
        <f>IF($B703="",0,IF(LEFT($B703,1)="━",0,$C703*VLOOKUP($B703,'4. CÀI ĐẶT'!$A$2:$H$32,7,FALSE)))</f>
        <v/>
      </c>
    </row>
    <row r="704">
      <c r="A704" s="8" t="n"/>
      <c r="B704" s="9" t="n"/>
      <c r="C704" s="65" t="n"/>
      <c r="D704" s="9" t="n"/>
      <c r="E704" s="66">
        <f>IF($B704="","",IF(LEFT($B704,1)="━","⚠️ Chọn hạng mục cụ thể",$C704*VLOOKUP($B704,'4. CÀI ĐẶT'!$A$2:$H$32,2,FALSE)))</f>
        <v/>
      </c>
      <c r="F704" s="67">
        <f>IF($B704="",0,IF(LEFT($B704,1)="━",0,$C704*VLOOKUP($B704,'4. CÀI ĐẶT'!$A$2:$H$32,3,FALSE)))</f>
        <v/>
      </c>
      <c r="G704" s="67">
        <f>IF($B704="",0,IF(LEFT($B704,1)="━",0,$C704*VLOOKUP($B704,'4. CÀI ĐẶT'!$A$2:$H$32,4,FALSE)))</f>
        <v/>
      </c>
      <c r="H704" s="67">
        <f>IF($B704="",0,IF(LEFT($B704,1)="━",0,$C704*VLOOKUP($B704,'4. CÀI ĐẶT'!$A$2:$H$32,5,FALSE)))</f>
        <v/>
      </c>
      <c r="I704">
        <f>IF($B704="","",IF(LEFT($B704,1)="━","",VLOOKUP($B704,'4. CÀI ĐẶT'!$A$2:$H$32,6,FALSE)))</f>
        <v/>
      </c>
      <c r="J704" s="13">
        <f>IF($A704="","",EOMONTH($A704,0))</f>
        <v/>
      </c>
      <c r="K704" s="67">
        <f>IF($B704="",0,IF(LEFT($B704,1)="━",0,$C704*VLOOKUP($B704,'4. CÀI ĐẶT'!$A$2:$H$32,7,FALSE)))</f>
        <v/>
      </c>
    </row>
    <row r="705">
      <c r="A705" s="8" t="n"/>
      <c r="B705" s="9" t="n"/>
      <c r="C705" s="65" t="n"/>
      <c r="D705" s="9" t="n"/>
      <c r="E705" s="66">
        <f>IF($B705="","",IF(LEFT($B705,1)="━","⚠️ Chọn hạng mục cụ thể",$C705*VLOOKUP($B705,'4. CÀI ĐẶT'!$A$2:$H$32,2,FALSE)))</f>
        <v/>
      </c>
      <c r="F705" s="67">
        <f>IF($B705="",0,IF(LEFT($B705,1)="━",0,$C705*VLOOKUP($B705,'4. CÀI ĐẶT'!$A$2:$H$32,3,FALSE)))</f>
        <v/>
      </c>
      <c r="G705" s="67">
        <f>IF($B705="",0,IF(LEFT($B705,1)="━",0,$C705*VLOOKUP($B705,'4. CÀI ĐẶT'!$A$2:$H$32,4,FALSE)))</f>
        <v/>
      </c>
      <c r="H705" s="67">
        <f>IF($B705="",0,IF(LEFT($B705,1)="━",0,$C705*VLOOKUP($B705,'4. CÀI ĐẶT'!$A$2:$H$32,5,FALSE)))</f>
        <v/>
      </c>
      <c r="I705">
        <f>IF($B705="","",IF(LEFT($B705,1)="━","",VLOOKUP($B705,'4. CÀI ĐẶT'!$A$2:$H$32,6,FALSE)))</f>
        <v/>
      </c>
      <c r="J705" s="13">
        <f>IF($A705="","",EOMONTH($A705,0))</f>
        <v/>
      </c>
      <c r="K705" s="67">
        <f>IF($B705="",0,IF(LEFT($B705,1)="━",0,$C705*VLOOKUP($B705,'4. CÀI ĐẶT'!$A$2:$H$32,7,FALSE)))</f>
        <v/>
      </c>
    </row>
    <row r="706">
      <c r="A706" s="8" t="n"/>
      <c r="B706" s="9" t="n"/>
      <c r="C706" s="65" t="n"/>
      <c r="D706" s="9" t="n"/>
      <c r="E706" s="66">
        <f>IF($B706="","",IF(LEFT($B706,1)="━","⚠️ Chọn hạng mục cụ thể",$C706*VLOOKUP($B706,'4. CÀI ĐẶT'!$A$2:$H$32,2,FALSE)))</f>
        <v/>
      </c>
      <c r="F706" s="67">
        <f>IF($B706="",0,IF(LEFT($B706,1)="━",0,$C706*VLOOKUP($B706,'4. CÀI ĐẶT'!$A$2:$H$32,3,FALSE)))</f>
        <v/>
      </c>
      <c r="G706" s="67">
        <f>IF($B706="",0,IF(LEFT($B706,1)="━",0,$C706*VLOOKUP($B706,'4. CÀI ĐẶT'!$A$2:$H$32,4,FALSE)))</f>
        <v/>
      </c>
      <c r="H706" s="67">
        <f>IF($B706="",0,IF(LEFT($B706,1)="━",0,$C706*VLOOKUP($B706,'4. CÀI ĐẶT'!$A$2:$H$32,5,FALSE)))</f>
        <v/>
      </c>
      <c r="I706">
        <f>IF($B706="","",IF(LEFT($B706,1)="━","",VLOOKUP($B706,'4. CÀI ĐẶT'!$A$2:$H$32,6,FALSE)))</f>
        <v/>
      </c>
      <c r="J706" s="13">
        <f>IF($A706="","",EOMONTH($A706,0))</f>
        <v/>
      </c>
      <c r="K706" s="67">
        <f>IF($B706="",0,IF(LEFT($B706,1)="━",0,$C706*VLOOKUP($B706,'4. CÀI ĐẶT'!$A$2:$H$32,7,FALSE)))</f>
        <v/>
      </c>
    </row>
    <row r="707">
      <c r="A707" s="8" t="n"/>
      <c r="B707" s="9" t="n"/>
      <c r="C707" s="65" t="n"/>
      <c r="D707" s="9" t="n"/>
      <c r="E707" s="66">
        <f>IF($B707="","",IF(LEFT($B707,1)="━","⚠️ Chọn hạng mục cụ thể",$C707*VLOOKUP($B707,'4. CÀI ĐẶT'!$A$2:$H$32,2,FALSE)))</f>
        <v/>
      </c>
      <c r="F707" s="67">
        <f>IF($B707="",0,IF(LEFT($B707,1)="━",0,$C707*VLOOKUP($B707,'4. CÀI ĐẶT'!$A$2:$H$32,3,FALSE)))</f>
        <v/>
      </c>
      <c r="G707" s="67">
        <f>IF($B707="",0,IF(LEFT($B707,1)="━",0,$C707*VLOOKUP($B707,'4. CÀI ĐẶT'!$A$2:$H$32,4,FALSE)))</f>
        <v/>
      </c>
      <c r="H707" s="67">
        <f>IF($B707="",0,IF(LEFT($B707,1)="━",0,$C707*VLOOKUP($B707,'4. CÀI ĐẶT'!$A$2:$H$32,5,FALSE)))</f>
        <v/>
      </c>
      <c r="I707">
        <f>IF($B707="","",IF(LEFT($B707,1)="━","",VLOOKUP($B707,'4. CÀI ĐẶT'!$A$2:$H$32,6,FALSE)))</f>
        <v/>
      </c>
      <c r="J707" s="13">
        <f>IF($A707="","",EOMONTH($A707,0))</f>
        <v/>
      </c>
      <c r="K707" s="67">
        <f>IF($B707="",0,IF(LEFT($B707,1)="━",0,$C707*VLOOKUP($B707,'4. CÀI ĐẶT'!$A$2:$H$32,7,FALSE)))</f>
        <v/>
      </c>
    </row>
    <row r="708">
      <c r="A708" s="8" t="n"/>
      <c r="B708" s="9" t="n"/>
      <c r="C708" s="65" t="n"/>
      <c r="D708" s="9" t="n"/>
      <c r="E708" s="66">
        <f>IF($B708="","",IF(LEFT($B708,1)="━","⚠️ Chọn hạng mục cụ thể",$C708*VLOOKUP($B708,'4. CÀI ĐẶT'!$A$2:$H$32,2,FALSE)))</f>
        <v/>
      </c>
      <c r="F708" s="67">
        <f>IF($B708="",0,IF(LEFT($B708,1)="━",0,$C708*VLOOKUP($B708,'4. CÀI ĐẶT'!$A$2:$H$32,3,FALSE)))</f>
        <v/>
      </c>
      <c r="G708" s="67">
        <f>IF($B708="",0,IF(LEFT($B708,1)="━",0,$C708*VLOOKUP($B708,'4. CÀI ĐẶT'!$A$2:$H$32,4,FALSE)))</f>
        <v/>
      </c>
      <c r="H708" s="67">
        <f>IF($B708="",0,IF(LEFT($B708,1)="━",0,$C708*VLOOKUP($B708,'4. CÀI ĐẶT'!$A$2:$H$32,5,FALSE)))</f>
        <v/>
      </c>
      <c r="I708">
        <f>IF($B708="","",IF(LEFT($B708,1)="━","",VLOOKUP($B708,'4. CÀI ĐẶT'!$A$2:$H$32,6,FALSE)))</f>
        <v/>
      </c>
      <c r="J708" s="13">
        <f>IF($A708="","",EOMONTH($A708,0))</f>
        <v/>
      </c>
      <c r="K708" s="67">
        <f>IF($B708="",0,IF(LEFT($B708,1)="━",0,$C708*VLOOKUP($B708,'4. CÀI ĐẶT'!$A$2:$H$32,7,FALSE)))</f>
        <v/>
      </c>
    </row>
    <row r="709">
      <c r="A709" s="8" t="n"/>
      <c r="B709" s="9" t="n"/>
      <c r="C709" s="65" t="n"/>
      <c r="D709" s="9" t="n"/>
      <c r="E709" s="66">
        <f>IF($B709="","",IF(LEFT($B709,1)="━","⚠️ Chọn hạng mục cụ thể",$C709*VLOOKUP($B709,'4. CÀI ĐẶT'!$A$2:$H$32,2,FALSE)))</f>
        <v/>
      </c>
      <c r="F709" s="67">
        <f>IF($B709="",0,IF(LEFT($B709,1)="━",0,$C709*VLOOKUP($B709,'4. CÀI ĐẶT'!$A$2:$H$32,3,FALSE)))</f>
        <v/>
      </c>
      <c r="G709" s="67">
        <f>IF($B709="",0,IF(LEFT($B709,1)="━",0,$C709*VLOOKUP($B709,'4. CÀI ĐẶT'!$A$2:$H$32,4,FALSE)))</f>
        <v/>
      </c>
      <c r="H709" s="67">
        <f>IF($B709="",0,IF(LEFT($B709,1)="━",0,$C709*VLOOKUP($B709,'4. CÀI ĐẶT'!$A$2:$H$32,5,FALSE)))</f>
        <v/>
      </c>
      <c r="I709">
        <f>IF($B709="","",IF(LEFT($B709,1)="━","",VLOOKUP($B709,'4. CÀI ĐẶT'!$A$2:$H$32,6,FALSE)))</f>
        <v/>
      </c>
      <c r="J709" s="13">
        <f>IF($A709="","",EOMONTH($A709,0))</f>
        <v/>
      </c>
      <c r="K709" s="67">
        <f>IF($B709="",0,IF(LEFT($B709,1)="━",0,$C709*VLOOKUP($B709,'4. CÀI ĐẶT'!$A$2:$H$32,7,FALSE)))</f>
        <v/>
      </c>
    </row>
    <row r="710">
      <c r="A710" s="8" t="n"/>
      <c r="B710" s="9" t="n"/>
      <c r="C710" s="65" t="n"/>
      <c r="D710" s="9" t="n"/>
      <c r="E710" s="66">
        <f>IF($B710="","",IF(LEFT($B710,1)="━","⚠️ Chọn hạng mục cụ thể",$C710*VLOOKUP($B710,'4. CÀI ĐẶT'!$A$2:$H$32,2,FALSE)))</f>
        <v/>
      </c>
      <c r="F710" s="67">
        <f>IF($B710="",0,IF(LEFT($B710,1)="━",0,$C710*VLOOKUP($B710,'4. CÀI ĐẶT'!$A$2:$H$32,3,FALSE)))</f>
        <v/>
      </c>
      <c r="G710" s="67">
        <f>IF($B710="",0,IF(LEFT($B710,1)="━",0,$C710*VLOOKUP($B710,'4. CÀI ĐẶT'!$A$2:$H$32,4,FALSE)))</f>
        <v/>
      </c>
      <c r="H710" s="67">
        <f>IF($B710="",0,IF(LEFT($B710,1)="━",0,$C710*VLOOKUP($B710,'4. CÀI ĐẶT'!$A$2:$H$32,5,FALSE)))</f>
        <v/>
      </c>
      <c r="I710">
        <f>IF($B710="","",IF(LEFT($B710,1)="━","",VLOOKUP($B710,'4. CÀI ĐẶT'!$A$2:$H$32,6,FALSE)))</f>
        <v/>
      </c>
      <c r="J710" s="13">
        <f>IF($A710="","",EOMONTH($A710,0))</f>
        <v/>
      </c>
      <c r="K710" s="67">
        <f>IF($B710="",0,IF(LEFT($B710,1)="━",0,$C710*VLOOKUP($B710,'4. CÀI ĐẶT'!$A$2:$H$32,7,FALSE)))</f>
        <v/>
      </c>
    </row>
    <row r="711">
      <c r="A711" s="8" t="n"/>
      <c r="B711" s="9" t="n"/>
      <c r="C711" s="65" t="n"/>
      <c r="D711" s="9" t="n"/>
      <c r="E711" s="66">
        <f>IF($B711="","",IF(LEFT($B711,1)="━","⚠️ Chọn hạng mục cụ thể",$C711*VLOOKUP($B711,'4. CÀI ĐẶT'!$A$2:$H$32,2,FALSE)))</f>
        <v/>
      </c>
      <c r="F711" s="67">
        <f>IF($B711="",0,IF(LEFT($B711,1)="━",0,$C711*VLOOKUP($B711,'4. CÀI ĐẶT'!$A$2:$H$32,3,FALSE)))</f>
        <v/>
      </c>
      <c r="G711" s="67">
        <f>IF($B711="",0,IF(LEFT($B711,1)="━",0,$C711*VLOOKUP($B711,'4. CÀI ĐẶT'!$A$2:$H$32,4,FALSE)))</f>
        <v/>
      </c>
      <c r="H711" s="67">
        <f>IF($B711="",0,IF(LEFT($B711,1)="━",0,$C711*VLOOKUP($B711,'4. CÀI ĐẶT'!$A$2:$H$32,5,FALSE)))</f>
        <v/>
      </c>
      <c r="I711">
        <f>IF($B711="","",IF(LEFT($B711,1)="━","",VLOOKUP($B711,'4. CÀI ĐẶT'!$A$2:$H$32,6,FALSE)))</f>
        <v/>
      </c>
      <c r="J711" s="13">
        <f>IF($A711="","",EOMONTH($A711,0))</f>
        <v/>
      </c>
      <c r="K711" s="67">
        <f>IF($B711="",0,IF(LEFT($B711,1)="━",0,$C711*VLOOKUP($B711,'4. CÀI ĐẶT'!$A$2:$H$32,7,FALSE)))</f>
        <v/>
      </c>
    </row>
    <row r="712">
      <c r="A712" s="8" t="n"/>
      <c r="B712" s="9" t="n"/>
      <c r="C712" s="65" t="n"/>
      <c r="D712" s="9" t="n"/>
      <c r="E712" s="66">
        <f>IF($B712="","",IF(LEFT($B712,1)="━","⚠️ Chọn hạng mục cụ thể",$C712*VLOOKUP($B712,'4. CÀI ĐẶT'!$A$2:$H$32,2,FALSE)))</f>
        <v/>
      </c>
      <c r="F712" s="67">
        <f>IF($B712="",0,IF(LEFT($B712,1)="━",0,$C712*VLOOKUP($B712,'4. CÀI ĐẶT'!$A$2:$H$32,3,FALSE)))</f>
        <v/>
      </c>
      <c r="G712" s="67">
        <f>IF($B712="",0,IF(LEFT($B712,1)="━",0,$C712*VLOOKUP($B712,'4. CÀI ĐẶT'!$A$2:$H$32,4,FALSE)))</f>
        <v/>
      </c>
      <c r="H712" s="67">
        <f>IF($B712="",0,IF(LEFT($B712,1)="━",0,$C712*VLOOKUP($B712,'4. CÀI ĐẶT'!$A$2:$H$32,5,FALSE)))</f>
        <v/>
      </c>
      <c r="I712">
        <f>IF($B712="","",IF(LEFT($B712,1)="━","",VLOOKUP($B712,'4. CÀI ĐẶT'!$A$2:$H$32,6,FALSE)))</f>
        <v/>
      </c>
      <c r="J712" s="13">
        <f>IF($A712="","",EOMONTH($A712,0))</f>
        <v/>
      </c>
      <c r="K712" s="67">
        <f>IF($B712="",0,IF(LEFT($B712,1)="━",0,$C712*VLOOKUP($B712,'4. CÀI ĐẶT'!$A$2:$H$32,7,FALSE)))</f>
        <v/>
      </c>
    </row>
    <row r="713">
      <c r="A713" s="8" t="n"/>
      <c r="B713" s="9" t="n"/>
      <c r="C713" s="65" t="n"/>
      <c r="D713" s="9" t="n"/>
      <c r="E713" s="66">
        <f>IF($B713="","",IF(LEFT($B713,1)="━","⚠️ Chọn hạng mục cụ thể",$C713*VLOOKUP($B713,'4. CÀI ĐẶT'!$A$2:$H$32,2,FALSE)))</f>
        <v/>
      </c>
      <c r="F713" s="67">
        <f>IF($B713="",0,IF(LEFT($B713,1)="━",0,$C713*VLOOKUP($B713,'4. CÀI ĐẶT'!$A$2:$H$32,3,FALSE)))</f>
        <v/>
      </c>
      <c r="G713" s="67">
        <f>IF($B713="",0,IF(LEFT($B713,1)="━",0,$C713*VLOOKUP($B713,'4. CÀI ĐẶT'!$A$2:$H$32,4,FALSE)))</f>
        <v/>
      </c>
      <c r="H713" s="67">
        <f>IF($B713="",0,IF(LEFT($B713,1)="━",0,$C713*VLOOKUP($B713,'4. CÀI ĐẶT'!$A$2:$H$32,5,FALSE)))</f>
        <v/>
      </c>
      <c r="I713">
        <f>IF($B713="","",IF(LEFT($B713,1)="━","",VLOOKUP($B713,'4. CÀI ĐẶT'!$A$2:$H$32,6,FALSE)))</f>
        <v/>
      </c>
      <c r="J713" s="13">
        <f>IF($A713="","",EOMONTH($A713,0))</f>
        <v/>
      </c>
      <c r="K713" s="67">
        <f>IF($B713="",0,IF(LEFT($B713,1)="━",0,$C713*VLOOKUP($B713,'4. CÀI ĐẶT'!$A$2:$H$32,7,FALSE)))</f>
        <v/>
      </c>
    </row>
    <row r="714">
      <c r="A714" s="8" t="n"/>
      <c r="B714" s="9" t="n"/>
      <c r="C714" s="65" t="n"/>
      <c r="D714" s="9" t="n"/>
      <c r="E714" s="66">
        <f>IF($B714="","",IF(LEFT($B714,1)="━","⚠️ Chọn hạng mục cụ thể",$C714*VLOOKUP($B714,'4. CÀI ĐẶT'!$A$2:$H$32,2,FALSE)))</f>
        <v/>
      </c>
      <c r="F714" s="67">
        <f>IF($B714="",0,IF(LEFT($B714,1)="━",0,$C714*VLOOKUP($B714,'4. CÀI ĐẶT'!$A$2:$H$32,3,FALSE)))</f>
        <v/>
      </c>
      <c r="G714" s="67">
        <f>IF($B714="",0,IF(LEFT($B714,1)="━",0,$C714*VLOOKUP($B714,'4. CÀI ĐẶT'!$A$2:$H$32,4,FALSE)))</f>
        <v/>
      </c>
      <c r="H714" s="67">
        <f>IF($B714="",0,IF(LEFT($B714,1)="━",0,$C714*VLOOKUP($B714,'4. CÀI ĐẶT'!$A$2:$H$32,5,FALSE)))</f>
        <v/>
      </c>
      <c r="I714">
        <f>IF($B714="","",IF(LEFT($B714,1)="━","",VLOOKUP($B714,'4. CÀI ĐẶT'!$A$2:$H$32,6,FALSE)))</f>
        <v/>
      </c>
      <c r="J714" s="13">
        <f>IF($A714="","",EOMONTH($A714,0))</f>
        <v/>
      </c>
      <c r="K714" s="67">
        <f>IF($B714="",0,IF(LEFT($B714,1)="━",0,$C714*VLOOKUP($B714,'4. CÀI ĐẶT'!$A$2:$H$32,7,FALSE)))</f>
        <v/>
      </c>
    </row>
    <row r="715">
      <c r="A715" s="8" t="n"/>
      <c r="B715" s="9" t="n"/>
      <c r="C715" s="65" t="n"/>
      <c r="D715" s="9" t="n"/>
      <c r="E715" s="66">
        <f>IF($B715="","",IF(LEFT($B715,1)="━","⚠️ Chọn hạng mục cụ thể",$C715*VLOOKUP($B715,'4. CÀI ĐẶT'!$A$2:$H$32,2,FALSE)))</f>
        <v/>
      </c>
      <c r="F715" s="67">
        <f>IF($B715="",0,IF(LEFT($B715,1)="━",0,$C715*VLOOKUP($B715,'4. CÀI ĐẶT'!$A$2:$H$32,3,FALSE)))</f>
        <v/>
      </c>
      <c r="G715" s="67">
        <f>IF($B715="",0,IF(LEFT($B715,1)="━",0,$C715*VLOOKUP($B715,'4. CÀI ĐẶT'!$A$2:$H$32,4,FALSE)))</f>
        <v/>
      </c>
      <c r="H715" s="67">
        <f>IF($B715="",0,IF(LEFT($B715,1)="━",0,$C715*VLOOKUP($B715,'4. CÀI ĐẶT'!$A$2:$H$32,5,FALSE)))</f>
        <v/>
      </c>
      <c r="I715">
        <f>IF($B715="","",IF(LEFT($B715,1)="━","",VLOOKUP($B715,'4. CÀI ĐẶT'!$A$2:$H$32,6,FALSE)))</f>
        <v/>
      </c>
      <c r="J715" s="13">
        <f>IF($A715="","",EOMONTH($A715,0))</f>
        <v/>
      </c>
      <c r="K715" s="67">
        <f>IF($B715="",0,IF(LEFT($B715,1)="━",0,$C715*VLOOKUP($B715,'4. CÀI ĐẶT'!$A$2:$H$32,7,FALSE)))</f>
        <v/>
      </c>
    </row>
    <row r="716">
      <c r="A716" s="8" t="n"/>
      <c r="B716" s="9" t="n"/>
      <c r="C716" s="65" t="n"/>
      <c r="D716" s="9" t="n"/>
      <c r="E716" s="66">
        <f>IF($B716="","",IF(LEFT($B716,1)="━","⚠️ Chọn hạng mục cụ thể",$C716*VLOOKUP($B716,'4. CÀI ĐẶT'!$A$2:$H$32,2,FALSE)))</f>
        <v/>
      </c>
      <c r="F716" s="67">
        <f>IF($B716="",0,IF(LEFT($B716,1)="━",0,$C716*VLOOKUP($B716,'4. CÀI ĐẶT'!$A$2:$H$32,3,FALSE)))</f>
        <v/>
      </c>
      <c r="G716" s="67">
        <f>IF($B716="",0,IF(LEFT($B716,1)="━",0,$C716*VLOOKUP($B716,'4. CÀI ĐẶT'!$A$2:$H$32,4,FALSE)))</f>
        <v/>
      </c>
      <c r="H716" s="67">
        <f>IF($B716="",0,IF(LEFT($B716,1)="━",0,$C716*VLOOKUP($B716,'4. CÀI ĐẶT'!$A$2:$H$32,5,FALSE)))</f>
        <v/>
      </c>
      <c r="I716">
        <f>IF($B716="","",IF(LEFT($B716,1)="━","",VLOOKUP($B716,'4. CÀI ĐẶT'!$A$2:$H$32,6,FALSE)))</f>
        <v/>
      </c>
      <c r="J716" s="13">
        <f>IF($A716="","",EOMONTH($A716,0))</f>
        <v/>
      </c>
      <c r="K716" s="67">
        <f>IF($B716="",0,IF(LEFT($B716,1)="━",0,$C716*VLOOKUP($B716,'4. CÀI ĐẶT'!$A$2:$H$32,7,FALSE)))</f>
        <v/>
      </c>
    </row>
    <row r="717">
      <c r="A717" s="8" t="n"/>
      <c r="B717" s="9" t="n"/>
      <c r="C717" s="65" t="n"/>
      <c r="D717" s="9" t="n"/>
      <c r="E717" s="66">
        <f>IF($B717="","",IF(LEFT($B717,1)="━","⚠️ Chọn hạng mục cụ thể",$C717*VLOOKUP($B717,'4. CÀI ĐẶT'!$A$2:$H$32,2,FALSE)))</f>
        <v/>
      </c>
      <c r="F717" s="67">
        <f>IF($B717="",0,IF(LEFT($B717,1)="━",0,$C717*VLOOKUP($B717,'4. CÀI ĐẶT'!$A$2:$H$32,3,FALSE)))</f>
        <v/>
      </c>
      <c r="G717" s="67">
        <f>IF($B717="",0,IF(LEFT($B717,1)="━",0,$C717*VLOOKUP($B717,'4. CÀI ĐẶT'!$A$2:$H$32,4,FALSE)))</f>
        <v/>
      </c>
      <c r="H717" s="67">
        <f>IF($B717="",0,IF(LEFT($B717,1)="━",0,$C717*VLOOKUP($B717,'4. CÀI ĐẶT'!$A$2:$H$32,5,FALSE)))</f>
        <v/>
      </c>
      <c r="I717">
        <f>IF($B717="","",IF(LEFT($B717,1)="━","",VLOOKUP($B717,'4. CÀI ĐẶT'!$A$2:$H$32,6,FALSE)))</f>
        <v/>
      </c>
      <c r="J717" s="13">
        <f>IF($A717="","",EOMONTH($A717,0))</f>
        <v/>
      </c>
      <c r="K717" s="67">
        <f>IF($B717="",0,IF(LEFT($B717,1)="━",0,$C717*VLOOKUP($B717,'4. CÀI ĐẶT'!$A$2:$H$32,7,FALSE)))</f>
        <v/>
      </c>
    </row>
    <row r="718">
      <c r="A718" s="8" t="n"/>
      <c r="B718" s="9" t="n"/>
      <c r="C718" s="65" t="n"/>
      <c r="D718" s="9" t="n"/>
      <c r="E718" s="66">
        <f>IF($B718="","",IF(LEFT($B718,1)="━","⚠️ Chọn hạng mục cụ thể",$C718*VLOOKUP($B718,'4. CÀI ĐẶT'!$A$2:$H$32,2,FALSE)))</f>
        <v/>
      </c>
      <c r="F718" s="67">
        <f>IF($B718="",0,IF(LEFT($B718,1)="━",0,$C718*VLOOKUP($B718,'4. CÀI ĐẶT'!$A$2:$H$32,3,FALSE)))</f>
        <v/>
      </c>
      <c r="G718" s="67">
        <f>IF($B718="",0,IF(LEFT($B718,1)="━",0,$C718*VLOOKUP($B718,'4. CÀI ĐẶT'!$A$2:$H$32,4,FALSE)))</f>
        <v/>
      </c>
      <c r="H718" s="67">
        <f>IF($B718="",0,IF(LEFT($B718,1)="━",0,$C718*VLOOKUP($B718,'4. CÀI ĐẶT'!$A$2:$H$32,5,FALSE)))</f>
        <v/>
      </c>
      <c r="I718">
        <f>IF($B718="","",IF(LEFT($B718,1)="━","",VLOOKUP($B718,'4. CÀI ĐẶT'!$A$2:$H$32,6,FALSE)))</f>
        <v/>
      </c>
      <c r="J718" s="13">
        <f>IF($A718="","",EOMONTH($A718,0))</f>
        <v/>
      </c>
      <c r="K718" s="67">
        <f>IF($B718="",0,IF(LEFT($B718,1)="━",0,$C718*VLOOKUP($B718,'4. CÀI ĐẶT'!$A$2:$H$32,7,FALSE)))</f>
        <v/>
      </c>
    </row>
    <row r="719">
      <c r="A719" s="8" t="n"/>
      <c r="B719" s="9" t="n"/>
      <c r="C719" s="65" t="n"/>
      <c r="D719" s="9" t="n"/>
      <c r="E719" s="66">
        <f>IF($B719="","",IF(LEFT($B719,1)="━","⚠️ Chọn hạng mục cụ thể",$C719*VLOOKUP($B719,'4. CÀI ĐẶT'!$A$2:$H$32,2,FALSE)))</f>
        <v/>
      </c>
      <c r="F719" s="67">
        <f>IF($B719="",0,IF(LEFT($B719,1)="━",0,$C719*VLOOKUP($B719,'4. CÀI ĐẶT'!$A$2:$H$32,3,FALSE)))</f>
        <v/>
      </c>
      <c r="G719" s="67">
        <f>IF($B719="",0,IF(LEFT($B719,1)="━",0,$C719*VLOOKUP($B719,'4. CÀI ĐẶT'!$A$2:$H$32,4,FALSE)))</f>
        <v/>
      </c>
      <c r="H719" s="67">
        <f>IF($B719="",0,IF(LEFT($B719,1)="━",0,$C719*VLOOKUP($B719,'4. CÀI ĐẶT'!$A$2:$H$32,5,FALSE)))</f>
        <v/>
      </c>
      <c r="I719">
        <f>IF($B719="","",IF(LEFT($B719,1)="━","",VLOOKUP($B719,'4. CÀI ĐẶT'!$A$2:$H$32,6,FALSE)))</f>
        <v/>
      </c>
      <c r="J719" s="13">
        <f>IF($A719="","",EOMONTH($A719,0))</f>
        <v/>
      </c>
      <c r="K719" s="67">
        <f>IF($B719="",0,IF(LEFT($B719,1)="━",0,$C719*VLOOKUP($B719,'4. CÀI ĐẶT'!$A$2:$H$32,7,FALSE)))</f>
        <v/>
      </c>
    </row>
    <row r="720">
      <c r="A720" s="8" t="n"/>
      <c r="B720" s="9" t="n"/>
      <c r="C720" s="65" t="n"/>
      <c r="D720" s="9" t="n"/>
      <c r="E720" s="66">
        <f>IF($B720="","",IF(LEFT($B720,1)="━","⚠️ Chọn hạng mục cụ thể",$C720*VLOOKUP($B720,'4. CÀI ĐẶT'!$A$2:$H$32,2,FALSE)))</f>
        <v/>
      </c>
      <c r="F720" s="67">
        <f>IF($B720="",0,IF(LEFT($B720,1)="━",0,$C720*VLOOKUP($B720,'4. CÀI ĐẶT'!$A$2:$H$32,3,FALSE)))</f>
        <v/>
      </c>
      <c r="G720" s="67">
        <f>IF($B720="",0,IF(LEFT($B720,1)="━",0,$C720*VLOOKUP($B720,'4. CÀI ĐẶT'!$A$2:$H$32,4,FALSE)))</f>
        <v/>
      </c>
      <c r="H720" s="67">
        <f>IF($B720="",0,IF(LEFT($B720,1)="━",0,$C720*VLOOKUP($B720,'4. CÀI ĐẶT'!$A$2:$H$32,5,FALSE)))</f>
        <v/>
      </c>
      <c r="I720">
        <f>IF($B720="","",IF(LEFT($B720,1)="━","",VLOOKUP($B720,'4. CÀI ĐẶT'!$A$2:$H$32,6,FALSE)))</f>
        <v/>
      </c>
      <c r="J720" s="13">
        <f>IF($A720="","",EOMONTH($A720,0))</f>
        <v/>
      </c>
      <c r="K720" s="67">
        <f>IF($B720="",0,IF(LEFT($B720,1)="━",0,$C720*VLOOKUP($B720,'4. CÀI ĐẶT'!$A$2:$H$32,7,FALSE)))</f>
        <v/>
      </c>
    </row>
    <row r="721">
      <c r="A721" s="8" t="n"/>
      <c r="B721" s="9" t="n"/>
      <c r="C721" s="65" t="n"/>
      <c r="D721" s="9" t="n"/>
      <c r="E721" s="66">
        <f>IF($B721="","",IF(LEFT($B721,1)="━","⚠️ Chọn hạng mục cụ thể",$C721*VLOOKUP($B721,'4. CÀI ĐẶT'!$A$2:$H$32,2,FALSE)))</f>
        <v/>
      </c>
      <c r="F721" s="67">
        <f>IF($B721="",0,IF(LEFT($B721,1)="━",0,$C721*VLOOKUP($B721,'4. CÀI ĐẶT'!$A$2:$H$32,3,FALSE)))</f>
        <v/>
      </c>
      <c r="G721" s="67">
        <f>IF($B721="",0,IF(LEFT($B721,1)="━",0,$C721*VLOOKUP($B721,'4. CÀI ĐẶT'!$A$2:$H$32,4,FALSE)))</f>
        <v/>
      </c>
      <c r="H721" s="67">
        <f>IF($B721="",0,IF(LEFT($B721,1)="━",0,$C721*VLOOKUP($B721,'4. CÀI ĐẶT'!$A$2:$H$32,5,FALSE)))</f>
        <v/>
      </c>
      <c r="I721">
        <f>IF($B721="","",IF(LEFT($B721,1)="━","",VLOOKUP($B721,'4. CÀI ĐẶT'!$A$2:$H$32,6,FALSE)))</f>
        <v/>
      </c>
      <c r="J721" s="13">
        <f>IF($A721="","",EOMONTH($A721,0))</f>
        <v/>
      </c>
      <c r="K721" s="67">
        <f>IF($B721="",0,IF(LEFT($B721,1)="━",0,$C721*VLOOKUP($B721,'4. CÀI ĐẶT'!$A$2:$H$32,7,FALSE)))</f>
        <v/>
      </c>
    </row>
    <row r="722">
      <c r="A722" s="8" t="n"/>
      <c r="B722" s="9" t="n"/>
      <c r="C722" s="65" t="n"/>
      <c r="D722" s="9" t="n"/>
      <c r="E722" s="66">
        <f>IF($B722="","",IF(LEFT($B722,1)="━","⚠️ Chọn hạng mục cụ thể",$C722*VLOOKUP($B722,'4. CÀI ĐẶT'!$A$2:$H$32,2,FALSE)))</f>
        <v/>
      </c>
      <c r="F722" s="67">
        <f>IF($B722="",0,IF(LEFT($B722,1)="━",0,$C722*VLOOKUP($B722,'4. CÀI ĐẶT'!$A$2:$H$32,3,FALSE)))</f>
        <v/>
      </c>
      <c r="G722" s="67">
        <f>IF($B722="",0,IF(LEFT($B722,1)="━",0,$C722*VLOOKUP($B722,'4. CÀI ĐẶT'!$A$2:$H$32,4,FALSE)))</f>
        <v/>
      </c>
      <c r="H722" s="67">
        <f>IF($B722="",0,IF(LEFT($B722,1)="━",0,$C722*VLOOKUP($B722,'4. CÀI ĐẶT'!$A$2:$H$32,5,FALSE)))</f>
        <v/>
      </c>
      <c r="I722">
        <f>IF($B722="","",IF(LEFT($B722,1)="━","",VLOOKUP($B722,'4. CÀI ĐẶT'!$A$2:$H$32,6,FALSE)))</f>
        <v/>
      </c>
      <c r="J722" s="13">
        <f>IF($A722="","",EOMONTH($A722,0))</f>
        <v/>
      </c>
      <c r="K722" s="67">
        <f>IF($B722="",0,IF(LEFT($B722,1)="━",0,$C722*VLOOKUP($B722,'4. CÀI ĐẶT'!$A$2:$H$32,7,FALSE)))</f>
        <v/>
      </c>
    </row>
    <row r="723">
      <c r="A723" s="8" t="n"/>
      <c r="B723" s="9" t="n"/>
      <c r="C723" s="65" t="n"/>
      <c r="D723" s="9" t="n"/>
      <c r="E723" s="66">
        <f>IF($B723="","",IF(LEFT($B723,1)="━","⚠️ Chọn hạng mục cụ thể",$C723*VLOOKUP($B723,'4. CÀI ĐẶT'!$A$2:$H$32,2,FALSE)))</f>
        <v/>
      </c>
      <c r="F723" s="67">
        <f>IF($B723="",0,IF(LEFT($B723,1)="━",0,$C723*VLOOKUP($B723,'4. CÀI ĐẶT'!$A$2:$H$32,3,FALSE)))</f>
        <v/>
      </c>
      <c r="G723" s="67">
        <f>IF($B723="",0,IF(LEFT($B723,1)="━",0,$C723*VLOOKUP($B723,'4. CÀI ĐẶT'!$A$2:$H$32,4,FALSE)))</f>
        <v/>
      </c>
      <c r="H723" s="67">
        <f>IF($B723="",0,IF(LEFT($B723,1)="━",0,$C723*VLOOKUP($B723,'4. CÀI ĐẶT'!$A$2:$H$32,5,FALSE)))</f>
        <v/>
      </c>
      <c r="I723">
        <f>IF($B723="","",IF(LEFT($B723,1)="━","",VLOOKUP($B723,'4. CÀI ĐẶT'!$A$2:$H$32,6,FALSE)))</f>
        <v/>
      </c>
      <c r="J723" s="13">
        <f>IF($A723="","",EOMONTH($A723,0))</f>
        <v/>
      </c>
      <c r="K723" s="67">
        <f>IF($B723="",0,IF(LEFT($B723,1)="━",0,$C723*VLOOKUP($B723,'4. CÀI ĐẶT'!$A$2:$H$32,7,FALSE)))</f>
        <v/>
      </c>
    </row>
    <row r="724">
      <c r="A724" s="8" t="n"/>
      <c r="B724" s="9" t="n"/>
      <c r="C724" s="65" t="n"/>
      <c r="D724" s="9" t="n"/>
      <c r="E724" s="66">
        <f>IF($B724="","",IF(LEFT($B724,1)="━","⚠️ Chọn hạng mục cụ thể",$C724*VLOOKUP($B724,'4. CÀI ĐẶT'!$A$2:$H$32,2,FALSE)))</f>
        <v/>
      </c>
      <c r="F724" s="67">
        <f>IF($B724="",0,IF(LEFT($B724,1)="━",0,$C724*VLOOKUP($B724,'4. CÀI ĐẶT'!$A$2:$H$32,3,FALSE)))</f>
        <v/>
      </c>
      <c r="G724" s="67">
        <f>IF($B724="",0,IF(LEFT($B724,1)="━",0,$C724*VLOOKUP($B724,'4. CÀI ĐẶT'!$A$2:$H$32,4,FALSE)))</f>
        <v/>
      </c>
      <c r="H724" s="67">
        <f>IF($B724="",0,IF(LEFT($B724,1)="━",0,$C724*VLOOKUP($B724,'4. CÀI ĐẶT'!$A$2:$H$32,5,FALSE)))</f>
        <v/>
      </c>
      <c r="I724">
        <f>IF($B724="","",IF(LEFT($B724,1)="━","",VLOOKUP($B724,'4. CÀI ĐẶT'!$A$2:$H$32,6,FALSE)))</f>
        <v/>
      </c>
      <c r="J724" s="13">
        <f>IF($A724="","",EOMONTH($A724,0))</f>
        <v/>
      </c>
      <c r="K724" s="67">
        <f>IF($B724="",0,IF(LEFT($B724,1)="━",0,$C724*VLOOKUP($B724,'4. CÀI ĐẶT'!$A$2:$H$32,7,FALSE)))</f>
        <v/>
      </c>
    </row>
    <row r="725">
      <c r="A725" s="8" t="n"/>
      <c r="B725" s="9" t="n"/>
      <c r="C725" s="65" t="n"/>
      <c r="D725" s="9" t="n"/>
      <c r="E725" s="66">
        <f>IF($B725="","",IF(LEFT($B725,1)="━","⚠️ Chọn hạng mục cụ thể",$C725*VLOOKUP($B725,'4. CÀI ĐẶT'!$A$2:$H$32,2,FALSE)))</f>
        <v/>
      </c>
      <c r="F725" s="67">
        <f>IF($B725="",0,IF(LEFT($B725,1)="━",0,$C725*VLOOKUP($B725,'4. CÀI ĐẶT'!$A$2:$H$32,3,FALSE)))</f>
        <v/>
      </c>
      <c r="G725" s="67">
        <f>IF($B725="",0,IF(LEFT($B725,1)="━",0,$C725*VLOOKUP($B725,'4. CÀI ĐẶT'!$A$2:$H$32,4,FALSE)))</f>
        <v/>
      </c>
      <c r="H725" s="67">
        <f>IF($B725="",0,IF(LEFT($B725,1)="━",0,$C725*VLOOKUP($B725,'4. CÀI ĐẶT'!$A$2:$H$32,5,FALSE)))</f>
        <v/>
      </c>
      <c r="I725">
        <f>IF($B725="","",IF(LEFT($B725,1)="━","",VLOOKUP($B725,'4. CÀI ĐẶT'!$A$2:$H$32,6,FALSE)))</f>
        <v/>
      </c>
      <c r="J725" s="13">
        <f>IF($A725="","",EOMONTH($A725,0))</f>
        <v/>
      </c>
      <c r="K725" s="67">
        <f>IF($B725="",0,IF(LEFT($B725,1)="━",0,$C725*VLOOKUP($B725,'4. CÀI ĐẶT'!$A$2:$H$32,7,FALSE)))</f>
        <v/>
      </c>
    </row>
    <row r="726">
      <c r="A726" s="8" t="n"/>
      <c r="B726" s="9" t="n"/>
      <c r="C726" s="65" t="n"/>
      <c r="D726" s="9" t="n"/>
      <c r="E726" s="66">
        <f>IF($B726="","",IF(LEFT($B726,1)="━","⚠️ Chọn hạng mục cụ thể",$C726*VLOOKUP($B726,'4. CÀI ĐẶT'!$A$2:$H$32,2,FALSE)))</f>
        <v/>
      </c>
      <c r="F726" s="67">
        <f>IF($B726="",0,IF(LEFT($B726,1)="━",0,$C726*VLOOKUP($B726,'4. CÀI ĐẶT'!$A$2:$H$32,3,FALSE)))</f>
        <v/>
      </c>
      <c r="G726" s="67">
        <f>IF($B726="",0,IF(LEFT($B726,1)="━",0,$C726*VLOOKUP($B726,'4. CÀI ĐẶT'!$A$2:$H$32,4,FALSE)))</f>
        <v/>
      </c>
      <c r="H726" s="67">
        <f>IF($B726="",0,IF(LEFT($B726,1)="━",0,$C726*VLOOKUP($B726,'4. CÀI ĐẶT'!$A$2:$H$32,5,FALSE)))</f>
        <v/>
      </c>
      <c r="I726">
        <f>IF($B726="","",IF(LEFT($B726,1)="━","",VLOOKUP($B726,'4. CÀI ĐẶT'!$A$2:$H$32,6,FALSE)))</f>
        <v/>
      </c>
      <c r="J726" s="13">
        <f>IF($A726="","",EOMONTH($A726,0))</f>
        <v/>
      </c>
      <c r="K726" s="67">
        <f>IF($B726="",0,IF(LEFT($B726,1)="━",0,$C726*VLOOKUP($B726,'4. CÀI ĐẶT'!$A$2:$H$32,7,FALSE)))</f>
        <v/>
      </c>
    </row>
    <row r="727">
      <c r="A727" s="8" t="n"/>
      <c r="B727" s="9" t="n"/>
      <c r="C727" s="65" t="n"/>
      <c r="D727" s="9" t="n"/>
      <c r="E727" s="66">
        <f>IF($B727="","",IF(LEFT($B727,1)="━","⚠️ Chọn hạng mục cụ thể",$C727*VLOOKUP($B727,'4. CÀI ĐẶT'!$A$2:$H$32,2,FALSE)))</f>
        <v/>
      </c>
      <c r="F727" s="67">
        <f>IF($B727="",0,IF(LEFT($B727,1)="━",0,$C727*VLOOKUP($B727,'4. CÀI ĐẶT'!$A$2:$H$32,3,FALSE)))</f>
        <v/>
      </c>
      <c r="G727" s="67">
        <f>IF($B727="",0,IF(LEFT($B727,1)="━",0,$C727*VLOOKUP($B727,'4. CÀI ĐẶT'!$A$2:$H$32,4,FALSE)))</f>
        <v/>
      </c>
      <c r="H727" s="67">
        <f>IF($B727="",0,IF(LEFT($B727,1)="━",0,$C727*VLOOKUP($B727,'4. CÀI ĐẶT'!$A$2:$H$32,5,FALSE)))</f>
        <v/>
      </c>
      <c r="I727">
        <f>IF($B727="","",IF(LEFT($B727,1)="━","",VLOOKUP($B727,'4. CÀI ĐẶT'!$A$2:$H$32,6,FALSE)))</f>
        <v/>
      </c>
      <c r="J727" s="13">
        <f>IF($A727="","",EOMONTH($A727,0))</f>
        <v/>
      </c>
      <c r="K727" s="67">
        <f>IF($B727="",0,IF(LEFT($B727,1)="━",0,$C727*VLOOKUP($B727,'4. CÀI ĐẶT'!$A$2:$H$32,7,FALSE)))</f>
        <v/>
      </c>
    </row>
    <row r="728">
      <c r="A728" s="8" t="n"/>
      <c r="B728" s="9" t="n"/>
      <c r="C728" s="65" t="n"/>
      <c r="D728" s="9" t="n"/>
      <c r="E728" s="66">
        <f>IF($B728="","",IF(LEFT($B728,1)="━","⚠️ Chọn hạng mục cụ thể",$C728*VLOOKUP($B728,'4. CÀI ĐẶT'!$A$2:$H$32,2,FALSE)))</f>
        <v/>
      </c>
      <c r="F728" s="67">
        <f>IF($B728="",0,IF(LEFT($B728,1)="━",0,$C728*VLOOKUP($B728,'4. CÀI ĐẶT'!$A$2:$H$32,3,FALSE)))</f>
        <v/>
      </c>
      <c r="G728" s="67">
        <f>IF($B728="",0,IF(LEFT($B728,1)="━",0,$C728*VLOOKUP($B728,'4. CÀI ĐẶT'!$A$2:$H$32,4,FALSE)))</f>
        <v/>
      </c>
      <c r="H728" s="67">
        <f>IF($B728="",0,IF(LEFT($B728,1)="━",0,$C728*VLOOKUP($B728,'4. CÀI ĐẶT'!$A$2:$H$32,5,FALSE)))</f>
        <v/>
      </c>
      <c r="I728">
        <f>IF($B728="","",IF(LEFT($B728,1)="━","",VLOOKUP($B728,'4. CÀI ĐẶT'!$A$2:$H$32,6,FALSE)))</f>
        <v/>
      </c>
      <c r="J728" s="13">
        <f>IF($A728="","",EOMONTH($A728,0))</f>
        <v/>
      </c>
      <c r="K728" s="67">
        <f>IF($B728="",0,IF(LEFT($B728,1)="━",0,$C728*VLOOKUP($B728,'4. CÀI ĐẶT'!$A$2:$H$32,7,FALSE)))</f>
        <v/>
      </c>
    </row>
    <row r="729">
      <c r="A729" s="8" t="n"/>
      <c r="B729" s="9" t="n"/>
      <c r="C729" s="65" t="n"/>
      <c r="D729" s="9" t="n"/>
      <c r="E729" s="66">
        <f>IF($B729="","",IF(LEFT($B729,1)="━","⚠️ Chọn hạng mục cụ thể",$C729*VLOOKUP($B729,'4. CÀI ĐẶT'!$A$2:$H$32,2,FALSE)))</f>
        <v/>
      </c>
      <c r="F729" s="67">
        <f>IF($B729="",0,IF(LEFT($B729,1)="━",0,$C729*VLOOKUP($B729,'4. CÀI ĐẶT'!$A$2:$H$32,3,FALSE)))</f>
        <v/>
      </c>
      <c r="G729" s="67">
        <f>IF($B729="",0,IF(LEFT($B729,1)="━",0,$C729*VLOOKUP($B729,'4. CÀI ĐẶT'!$A$2:$H$32,4,FALSE)))</f>
        <v/>
      </c>
      <c r="H729" s="67">
        <f>IF($B729="",0,IF(LEFT($B729,1)="━",0,$C729*VLOOKUP($B729,'4. CÀI ĐẶT'!$A$2:$H$32,5,FALSE)))</f>
        <v/>
      </c>
      <c r="I729">
        <f>IF($B729="","",IF(LEFT($B729,1)="━","",VLOOKUP($B729,'4. CÀI ĐẶT'!$A$2:$H$32,6,FALSE)))</f>
        <v/>
      </c>
      <c r="J729" s="13">
        <f>IF($A729="","",EOMONTH($A729,0))</f>
        <v/>
      </c>
      <c r="K729" s="67">
        <f>IF($B729="",0,IF(LEFT($B729,1)="━",0,$C729*VLOOKUP($B729,'4. CÀI ĐẶT'!$A$2:$H$32,7,FALSE)))</f>
        <v/>
      </c>
    </row>
    <row r="730">
      <c r="A730" s="8" t="n"/>
      <c r="B730" s="9" t="n"/>
      <c r="C730" s="65" t="n"/>
      <c r="D730" s="9" t="n"/>
      <c r="E730" s="66">
        <f>IF($B730="","",IF(LEFT($B730,1)="━","⚠️ Chọn hạng mục cụ thể",$C730*VLOOKUP($B730,'4. CÀI ĐẶT'!$A$2:$H$32,2,FALSE)))</f>
        <v/>
      </c>
      <c r="F730" s="67">
        <f>IF($B730="",0,IF(LEFT($B730,1)="━",0,$C730*VLOOKUP($B730,'4. CÀI ĐẶT'!$A$2:$H$32,3,FALSE)))</f>
        <v/>
      </c>
      <c r="G730" s="67">
        <f>IF($B730="",0,IF(LEFT($B730,1)="━",0,$C730*VLOOKUP($B730,'4. CÀI ĐẶT'!$A$2:$H$32,4,FALSE)))</f>
        <v/>
      </c>
      <c r="H730" s="67">
        <f>IF($B730="",0,IF(LEFT($B730,1)="━",0,$C730*VLOOKUP($B730,'4. CÀI ĐẶT'!$A$2:$H$32,5,FALSE)))</f>
        <v/>
      </c>
      <c r="I730">
        <f>IF($B730="","",IF(LEFT($B730,1)="━","",VLOOKUP($B730,'4. CÀI ĐẶT'!$A$2:$H$32,6,FALSE)))</f>
        <v/>
      </c>
      <c r="J730" s="13">
        <f>IF($A730="","",EOMONTH($A730,0))</f>
        <v/>
      </c>
      <c r="K730" s="67">
        <f>IF($B730="",0,IF(LEFT($B730,1)="━",0,$C730*VLOOKUP($B730,'4. CÀI ĐẶT'!$A$2:$H$32,7,FALSE)))</f>
        <v/>
      </c>
    </row>
    <row r="731">
      <c r="A731" s="8" t="n"/>
      <c r="B731" s="9" t="n"/>
      <c r="C731" s="65" t="n"/>
      <c r="D731" s="9" t="n"/>
      <c r="E731" s="66">
        <f>IF($B731="","",IF(LEFT($B731,1)="━","⚠️ Chọn hạng mục cụ thể",$C731*VLOOKUP($B731,'4. CÀI ĐẶT'!$A$2:$H$32,2,FALSE)))</f>
        <v/>
      </c>
      <c r="F731" s="67">
        <f>IF($B731="",0,IF(LEFT($B731,1)="━",0,$C731*VLOOKUP($B731,'4. CÀI ĐẶT'!$A$2:$H$32,3,FALSE)))</f>
        <v/>
      </c>
      <c r="G731" s="67">
        <f>IF($B731="",0,IF(LEFT($B731,1)="━",0,$C731*VLOOKUP($B731,'4. CÀI ĐẶT'!$A$2:$H$32,4,FALSE)))</f>
        <v/>
      </c>
      <c r="H731" s="67">
        <f>IF($B731="",0,IF(LEFT($B731,1)="━",0,$C731*VLOOKUP($B731,'4. CÀI ĐẶT'!$A$2:$H$32,5,FALSE)))</f>
        <v/>
      </c>
      <c r="I731">
        <f>IF($B731="","",IF(LEFT($B731,1)="━","",VLOOKUP($B731,'4. CÀI ĐẶT'!$A$2:$H$32,6,FALSE)))</f>
        <v/>
      </c>
      <c r="J731" s="13">
        <f>IF($A731="","",EOMONTH($A731,0))</f>
        <v/>
      </c>
      <c r="K731" s="67">
        <f>IF($B731="",0,IF(LEFT($B731,1)="━",0,$C731*VLOOKUP($B731,'4. CÀI ĐẶT'!$A$2:$H$32,7,FALSE)))</f>
        <v/>
      </c>
    </row>
    <row r="732">
      <c r="A732" s="8" t="n"/>
      <c r="B732" s="9" t="n"/>
      <c r="C732" s="65" t="n"/>
      <c r="D732" s="9" t="n"/>
      <c r="E732" s="66">
        <f>IF($B732="","",IF(LEFT($B732,1)="━","⚠️ Chọn hạng mục cụ thể",$C732*VLOOKUP($B732,'4. CÀI ĐẶT'!$A$2:$H$32,2,FALSE)))</f>
        <v/>
      </c>
      <c r="F732" s="67">
        <f>IF($B732="",0,IF(LEFT($B732,1)="━",0,$C732*VLOOKUP($B732,'4. CÀI ĐẶT'!$A$2:$H$32,3,FALSE)))</f>
        <v/>
      </c>
      <c r="G732" s="67">
        <f>IF($B732="",0,IF(LEFT($B732,1)="━",0,$C732*VLOOKUP($B732,'4. CÀI ĐẶT'!$A$2:$H$32,4,FALSE)))</f>
        <v/>
      </c>
      <c r="H732" s="67">
        <f>IF($B732="",0,IF(LEFT($B732,1)="━",0,$C732*VLOOKUP($B732,'4. CÀI ĐẶT'!$A$2:$H$32,5,FALSE)))</f>
        <v/>
      </c>
      <c r="I732">
        <f>IF($B732="","",IF(LEFT($B732,1)="━","",VLOOKUP($B732,'4. CÀI ĐẶT'!$A$2:$H$32,6,FALSE)))</f>
        <v/>
      </c>
      <c r="J732" s="13">
        <f>IF($A732="","",EOMONTH($A732,0))</f>
        <v/>
      </c>
      <c r="K732" s="67">
        <f>IF($B732="",0,IF(LEFT($B732,1)="━",0,$C732*VLOOKUP($B732,'4. CÀI ĐẶT'!$A$2:$H$32,7,FALSE)))</f>
        <v/>
      </c>
    </row>
    <row r="733">
      <c r="A733" s="8" t="n"/>
      <c r="B733" s="9" t="n"/>
      <c r="C733" s="65" t="n"/>
      <c r="D733" s="9" t="n"/>
      <c r="E733" s="66">
        <f>IF($B733="","",IF(LEFT($B733,1)="━","⚠️ Chọn hạng mục cụ thể",$C733*VLOOKUP($B733,'4. CÀI ĐẶT'!$A$2:$H$32,2,FALSE)))</f>
        <v/>
      </c>
      <c r="F733" s="67">
        <f>IF($B733="",0,IF(LEFT($B733,1)="━",0,$C733*VLOOKUP($B733,'4. CÀI ĐẶT'!$A$2:$H$32,3,FALSE)))</f>
        <v/>
      </c>
      <c r="G733" s="67">
        <f>IF($B733="",0,IF(LEFT($B733,1)="━",0,$C733*VLOOKUP($B733,'4. CÀI ĐẶT'!$A$2:$H$32,4,FALSE)))</f>
        <v/>
      </c>
      <c r="H733" s="67">
        <f>IF($B733="",0,IF(LEFT($B733,1)="━",0,$C733*VLOOKUP($B733,'4. CÀI ĐẶT'!$A$2:$H$32,5,FALSE)))</f>
        <v/>
      </c>
      <c r="I733">
        <f>IF($B733="","",IF(LEFT($B733,1)="━","",VLOOKUP($B733,'4. CÀI ĐẶT'!$A$2:$H$32,6,FALSE)))</f>
        <v/>
      </c>
      <c r="J733" s="13">
        <f>IF($A733="","",EOMONTH($A733,0))</f>
        <v/>
      </c>
      <c r="K733" s="67">
        <f>IF($B733="",0,IF(LEFT($B733,1)="━",0,$C733*VLOOKUP($B733,'4. CÀI ĐẶT'!$A$2:$H$32,7,FALSE)))</f>
        <v/>
      </c>
    </row>
    <row r="734">
      <c r="A734" s="8" t="n"/>
      <c r="B734" s="9" t="n"/>
      <c r="C734" s="65" t="n"/>
      <c r="D734" s="9" t="n"/>
      <c r="E734" s="66">
        <f>IF($B734="","",IF(LEFT($B734,1)="━","⚠️ Chọn hạng mục cụ thể",$C734*VLOOKUP($B734,'4. CÀI ĐẶT'!$A$2:$H$32,2,FALSE)))</f>
        <v/>
      </c>
      <c r="F734" s="67">
        <f>IF($B734="",0,IF(LEFT($B734,1)="━",0,$C734*VLOOKUP($B734,'4. CÀI ĐẶT'!$A$2:$H$32,3,FALSE)))</f>
        <v/>
      </c>
      <c r="G734" s="67">
        <f>IF($B734="",0,IF(LEFT($B734,1)="━",0,$C734*VLOOKUP($B734,'4. CÀI ĐẶT'!$A$2:$H$32,4,FALSE)))</f>
        <v/>
      </c>
      <c r="H734" s="67">
        <f>IF($B734="",0,IF(LEFT($B734,1)="━",0,$C734*VLOOKUP($B734,'4. CÀI ĐẶT'!$A$2:$H$32,5,FALSE)))</f>
        <v/>
      </c>
      <c r="I734">
        <f>IF($B734="","",IF(LEFT($B734,1)="━","",VLOOKUP($B734,'4. CÀI ĐẶT'!$A$2:$H$32,6,FALSE)))</f>
        <v/>
      </c>
      <c r="J734" s="13">
        <f>IF($A734="","",EOMONTH($A734,0))</f>
        <v/>
      </c>
      <c r="K734" s="67">
        <f>IF($B734="",0,IF(LEFT($B734,1)="━",0,$C734*VLOOKUP($B734,'4. CÀI ĐẶT'!$A$2:$H$32,7,FALSE)))</f>
        <v/>
      </c>
    </row>
    <row r="735">
      <c r="A735" s="8" t="n"/>
      <c r="B735" s="9" t="n"/>
      <c r="C735" s="65" t="n"/>
      <c r="D735" s="9" t="n"/>
      <c r="E735" s="66">
        <f>IF($B735="","",IF(LEFT($B735,1)="━","⚠️ Chọn hạng mục cụ thể",$C735*VLOOKUP($B735,'4. CÀI ĐẶT'!$A$2:$H$32,2,FALSE)))</f>
        <v/>
      </c>
      <c r="F735" s="67">
        <f>IF($B735="",0,IF(LEFT($B735,1)="━",0,$C735*VLOOKUP($B735,'4. CÀI ĐẶT'!$A$2:$H$32,3,FALSE)))</f>
        <v/>
      </c>
      <c r="G735" s="67">
        <f>IF($B735="",0,IF(LEFT($B735,1)="━",0,$C735*VLOOKUP($B735,'4. CÀI ĐẶT'!$A$2:$H$32,4,FALSE)))</f>
        <v/>
      </c>
      <c r="H735" s="67">
        <f>IF($B735="",0,IF(LEFT($B735,1)="━",0,$C735*VLOOKUP($B735,'4. CÀI ĐẶT'!$A$2:$H$32,5,FALSE)))</f>
        <v/>
      </c>
      <c r="I735">
        <f>IF($B735="","",IF(LEFT($B735,1)="━","",VLOOKUP($B735,'4. CÀI ĐẶT'!$A$2:$H$32,6,FALSE)))</f>
        <v/>
      </c>
      <c r="J735" s="13">
        <f>IF($A735="","",EOMONTH($A735,0))</f>
        <v/>
      </c>
      <c r="K735" s="67">
        <f>IF($B735="",0,IF(LEFT($B735,1)="━",0,$C735*VLOOKUP($B735,'4. CÀI ĐẶT'!$A$2:$H$32,7,FALSE)))</f>
        <v/>
      </c>
    </row>
    <row r="736">
      <c r="A736" s="8" t="n"/>
      <c r="B736" s="9" t="n"/>
      <c r="C736" s="65" t="n"/>
      <c r="D736" s="9" t="n"/>
      <c r="E736" s="66">
        <f>IF($B736="","",IF(LEFT($B736,1)="━","⚠️ Chọn hạng mục cụ thể",$C736*VLOOKUP($B736,'4. CÀI ĐẶT'!$A$2:$H$32,2,FALSE)))</f>
        <v/>
      </c>
      <c r="F736" s="67">
        <f>IF($B736="",0,IF(LEFT($B736,1)="━",0,$C736*VLOOKUP($B736,'4. CÀI ĐẶT'!$A$2:$H$32,3,FALSE)))</f>
        <v/>
      </c>
      <c r="G736" s="67">
        <f>IF($B736="",0,IF(LEFT($B736,1)="━",0,$C736*VLOOKUP($B736,'4. CÀI ĐẶT'!$A$2:$H$32,4,FALSE)))</f>
        <v/>
      </c>
      <c r="H736" s="67">
        <f>IF($B736="",0,IF(LEFT($B736,1)="━",0,$C736*VLOOKUP($B736,'4. CÀI ĐẶT'!$A$2:$H$32,5,FALSE)))</f>
        <v/>
      </c>
      <c r="I736">
        <f>IF($B736="","",IF(LEFT($B736,1)="━","",VLOOKUP($B736,'4. CÀI ĐẶT'!$A$2:$H$32,6,FALSE)))</f>
        <v/>
      </c>
      <c r="J736" s="13">
        <f>IF($A736="","",EOMONTH($A736,0))</f>
        <v/>
      </c>
      <c r="K736" s="67">
        <f>IF($B736="",0,IF(LEFT($B736,1)="━",0,$C736*VLOOKUP($B736,'4. CÀI ĐẶT'!$A$2:$H$32,7,FALSE)))</f>
        <v/>
      </c>
    </row>
    <row r="737">
      <c r="A737" s="8" t="n"/>
      <c r="B737" s="9" t="n"/>
      <c r="C737" s="65" t="n"/>
      <c r="D737" s="9" t="n"/>
      <c r="E737" s="66">
        <f>IF($B737="","",IF(LEFT($B737,1)="━","⚠️ Chọn hạng mục cụ thể",$C737*VLOOKUP($B737,'4. CÀI ĐẶT'!$A$2:$H$32,2,FALSE)))</f>
        <v/>
      </c>
      <c r="F737" s="67">
        <f>IF($B737="",0,IF(LEFT($B737,1)="━",0,$C737*VLOOKUP($B737,'4. CÀI ĐẶT'!$A$2:$H$32,3,FALSE)))</f>
        <v/>
      </c>
      <c r="G737" s="67">
        <f>IF($B737="",0,IF(LEFT($B737,1)="━",0,$C737*VLOOKUP($B737,'4. CÀI ĐẶT'!$A$2:$H$32,4,FALSE)))</f>
        <v/>
      </c>
      <c r="H737" s="67">
        <f>IF($B737="",0,IF(LEFT($B737,1)="━",0,$C737*VLOOKUP($B737,'4. CÀI ĐẶT'!$A$2:$H$32,5,FALSE)))</f>
        <v/>
      </c>
      <c r="I737">
        <f>IF($B737="","",IF(LEFT($B737,1)="━","",VLOOKUP($B737,'4. CÀI ĐẶT'!$A$2:$H$32,6,FALSE)))</f>
        <v/>
      </c>
      <c r="J737" s="13">
        <f>IF($A737="","",EOMONTH($A737,0))</f>
        <v/>
      </c>
      <c r="K737" s="67">
        <f>IF($B737="",0,IF(LEFT($B737,1)="━",0,$C737*VLOOKUP($B737,'4. CÀI ĐẶT'!$A$2:$H$32,7,FALSE)))</f>
        <v/>
      </c>
    </row>
    <row r="738">
      <c r="A738" s="8" t="n"/>
      <c r="B738" s="9" t="n"/>
      <c r="C738" s="65" t="n"/>
      <c r="D738" s="9" t="n"/>
      <c r="E738" s="66">
        <f>IF($B738="","",IF(LEFT($B738,1)="━","⚠️ Chọn hạng mục cụ thể",$C738*VLOOKUP($B738,'4. CÀI ĐẶT'!$A$2:$H$32,2,FALSE)))</f>
        <v/>
      </c>
      <c r="F738" s="67">
        <f>IF($B738="",0,IF(LEFT($B738,1)="━",0,$C738*VLOOKUP($B738,'4. CÀI ĐẶT'!$A$2:$H$32,3,FALSE)))</f>
        <v/>
      </c>
      <c r="G738" s="67">
        <f>IF($B738="",0,IF(LEFT($B738,1)="━",0,$C738*VLOOKUP($B738,'4. CÀI ĐẶT'!$A$2:$H$32,4,FALSE)))</f>
        <v/>
      </c>
      <c r="H738" s="67">
        <f>IF($B738="",0,IF(LEFT($B738,1)="━",0,$C738*VLOOKUP($B738,'4. CÀI ĐẶT'!$A$2:$H$32,5,FALSE)))</f>
        <v/>
      </c>
      <c r="I738">
        <f>IF($B738="","",IF(LEFT($B738,1)="━","",VLOOKUP($B738,'4. CÀI ĐẶT'!$A$2:$H$32,6,FALSE)))</f>
        <v/>
      </c>
      <c r="J738" s="13">
        <f>IF($A738="","",EOMONTH($A738,0))</f>
        <v/>
      </c>
      <c r="K738" s="67">
        <f>IF($B738="",0,IF(LEFT($B738,1)="━",0,$C738*VLOOKUP($B738,'4. CÀI ĐẶT'!$A$2:$H$32,7,FALSE)))</f>
        <v/>
      </c>
    </row>
    <row r="739">
      <c r="A739" s="8" t="n"/>
      <c r="B739" s="9" t="n"/>
      <c r="C739" s="65" t="n"/>
      <c r="D739" s="9" t="n"/>
      <c r="E739" s="66">
        <f>IF($B739="","",IF(LEFT($B739,1)="━","⚠️ Chọn hạng mục cụ thể",$C739*VLOOKUP($B739,'4. CÀI ĐẶT'!$A$2:$H$32,2,FALSE)))</f>
        <v/>
      </c>
      <c r="F739" s="67">
        <f>IF($B739="",0,IF(LEFT($B739,1)="━",0,$C739*VLOOKUP($B739,'4. CÀI ĐẶT'!$A$2:$H$32,3,FALSE)))</f>
        <v/>
      </c>
      <c r="G739" s="67">
        <f>IF($B739="",0,IF(LEFT($B739,1)="━",0,$C739*VLOOKUP($B739,'4. CÀI ĐẶT'!$A$2:$H$32,4,FALSE)))</f>
        <v/>
      </c>
      <c r="H739" s="67">
        <f>IF($B739="",0,IF(LEFT($B739,1)="━",0,$C739*VLOOKUP($B739,'4. CÀI ĐẶT'!$A$2:$H$32,5,FALSE)))</f>
        <v/>
      </c>
      <c r="I739">
        <f>IF($B739="","",IF(LEFT($B739,1)="━","",VLOOKUP($B739,'4. CÀI ĐẶT'!$A$2:$H$32,6,FALSE)))</f>
        <v/>
      </c>
      <c r="J739" s="13">
        <f>IF($A739="","",EOMONTH($A739,0))</f>
        <v/>
      </c>
      <c r="K739" s="67">
        <f>IF($B739="",0,IF(LEFT($B739,1)="━",0,$C739*VLOOKUP($B739,'4. CÀI ĐẶT'!$A$2:$H$32,7,FALSE)))</f>
        <v/>
      </c>
    </row>
    <row r="740">
      <c r="A740" s="8" t="n"/>
      <c r="B740" s="9" t="n"/>
      <c r="C740" s="65" t="n"/>
      <c r="D740" s="9" t="n"/>
      <c r="E740" s="66">
        <f>IF($B740="","",IF(LEFT($B740,1)="━","⚠️ Chọn hạng mục cụ thể",$C740*VLOOKUP($B740,'4. CÀI ĐẶT'!$A$2:$H$32,2,FALSE)))</f>
        <v/>
      </c>
      <c r="F740" s="67">
        <f>IF($B740="",0,IF(LEFT($B740,1)="━",0,$C740*VLOOKUP($B740,'4. CÀI ĐẶT'!$A$2:$H$32,3,FALSE)))</f>
        <v/>
      </c>
      <c r="G740" s="67">
        <f>IF($B740="",0,IF(LEFT($B740,1)="━",0,$C740*VLOOKUP($B740,'4. CÀI ĐẶT'!$A$2:$H$32,4,FALSE)))</f>
        <v/>
      </c>
      <c r="H740" s="67">
        <f>IF($B740="",0,IF(LEFT($B740,1)="━",0,$C740*VLOOKUP($B740,'4. CÀI ĐẶT'!$A$2:$H$32,5,FALSE)))</f>
        <v/>
      </c>
      <c r="I740">
        <f>IF($B740="","",IF(LEFT($B740,1)="━","",VLOOKUP($B740,'4. CÀI ĐẶT'!$A$2:$H$32,6,FALSE)))</f>
        <v/>
      </c>
      <c r="J740" s="13">
        <f>IF($A740="","",EOMONTH($A740,0))</f>
        <v/>
      </c>
      <c r="K740" s="67">
        <f>IF($B740="",0,IF(LEFT($B740,1)="━",0,$C740*VLOOKUP($B740,'4. CÀI ĐẶT'!$A$2:$H$32,7,FALSE)))</f>
        <v/>
      </c>
    </row>
    <row r="741">
      <c r="A741" s="8" t="n"/>
      <c r="B741" s="9" t="n"/>
      <c r="C741" s="65" t="n"/>
      <c r="D741" s="9" t="n"/>
      <c r="E741" s="66">
        <f>IF($B741="","",IF(LEFT($B741,1)="━","⚠️ Chọn hạng mục cụ thể",$C741*VLOOKUP($B741,'4. CÀI ĐẶT'!$A$2:$H$32,2,FALSE)))</f>
        <v/>
      </c>
      <c r="F741" s="67">
        <f>IF($B741="",0,IF(LEFT($B741,1)="━",0,$C741*VLOOKUP($B741,'4. CÀI ĐẶT'!$A$2:$H$32,3,FALSE)))</f>
        <v/>
      </c>
      <c r="G741" s="67">
        <f>IF($B741="",0,IF(LEFT($B741,1)="━",0,$C741*VLOOKUP($B741,'4. CÀI ĐẶT'!$A$2:$H$32,4,FALSE)))</f>
        <v/>
      </c>
      <c r="H741" s="67">
        <f>IF($B741="",0,IF(LEFT($B741,1)="━",0,$C741*VLOOKUP($B741,'4. CÀI ĐẶT'!$A$2:$H$32,5,FALSE)))</f>
        <v/>
      </c>
      <c r="I741">
        <f>IF($B741="","",IF(LEFT($B741,1)="━","",VLOOKUP($B741,'4. CÀI ĐẶT'!$A$2:$H$32,6,FALSE)))</f>
        <v/>
      </c>
      <c r="J741" s="13">
        <f>IF($A741="","",EOMONTH($A741,0))</f>
        <v/>
      </c>
      <c r="K741" s="67">
        <f>IF($B741="",0,IF(LEFT($B741,1)="━",0,$C741*VLOOKUP($B741,'4. CÀI ĐẶT'!$A$2:$H$32,7,FALSE)))</f>
        <v/>
      </c>
    </row>
    <row r="742">
      <c r="A742" s="8" t="n"/>
      <c r="B742" s="9" t="n"/>
      <c r="C742" s="65" t="n"/>
      <c r="D742" s="9" t="n"/>
      <c r="E742" s="66">
        <f>IF($B742="","",IF(LEFT($B742,1)="━","⚠️ Chọn hạng mục cụ thể",$C742*VLOOKUP($B742,'4. CÀI ĐẶT'!$A$2:$H$32,2,FALSE)))</f>
        <v/>
      </c>
      <c r="F742" s="67">
        <f>IF($B742="",0,IF(LEFT($B742,1)="━",0,$C742*VLOOKUP($B742,'4. CÀI ĐẶT'!$A$2:$H$32,3,FALSE)))</f>
        <v/>
      </c>
      <c r="G742" s="67">
        <f>IF($B742="",0,IF(LEFT($B742,1)="━",0,$C742*VLOOKUP($B742,'4. CÀI ĐẶT'!$A$2:$H$32,4,FALSE)))</f>
        <v/>
      </c>
      <c r="H742" s="67">
        <f>IF($B742="",0,IF(LEFT($B742,1)="━",0,$C742*VLOOKUP($B742,'4. CÀI ĐẶT'!$A$2:$H$32,5,FALSE)))</f>
        <v/>
      </c>
      <c r="I742">
        <f>IF($B742="","",IF(LEFT($B742,1)="━","",VLOOKUP($B742,'4. CÀI ĐẶT'!$A$2:$H$32,6,FALSE)))</f>
        <v/>
      </c>
      <c r="J742" s="13">
        <f>IF($A742="","",EOMONTH($A742,0))</f>
        <v/>
      </c>
      <c r="K742" s="67">
        <f>IF($B742="",0,IF(LEFT($B742,1)="━",0,$C742*VLOOKUP($B742,'4. CÀI ĐẶT'!$A$2:$H$32,7,FALSE)))</f>
        <v/>
      </c>
    </row>
    <row r="743">
      <c r="A743" s="8" t="n"/>
      <c r="B743" s="9" t="n"/>
      <c r="C743" s="65" t="n"/>
      <c r="D743" s="9" t="n"/>
      <c r="E743" s="66">
        <f>IF($B743="","",IF(LEFT($B743,1)="━","⚠️ Chọn hạng mục cụ thể",$C743*VLOOKUP($B743,'4. CÀI ĐẶT'!$A$2:$H$32,2,FALSE)))</f>
        <v/>
      </c>
      <c r="F743" s="67">
        <f>IF($B743="",0,IF(LEFT($B743,1)="━",0,$C743*VLOOKUP($B743,'4. CÀI ĐẶT'!$A$2:$H$32,3,FALSE)))</f>
        <v/>
      </c>
      <c r="G743" s="67">
        <f>IF($B743="",0,IF(LEFT($B743,1)="━",0,$C743*VLOOKUP($B743,'4. CÀI ĐẶT'!$A$2:$H$32,4,FALSE)))</f>
        <v/>
      </c>
      <c r="H743" s="67">
        <f>IF($B743="",0,IF(LEFT($B743,1)="━",0,$C743*VLOOKUP($B743,'4. CÀI ĐẶT'!$A$2:$H$32,5,FALSE)))</f>
        <v/>
      </c>
      <c r="I743">
        <f>IF($B743="","",IF(LEFT($B743,1)="━","",VLOOKUP($B743,'4. CÀI ĐẶT'!$A$2:$H$32,6,FALSE)))</f>
        <v/>
      </c>
      <c r="J743" s="13">
        <f>IF($A743="","",EOMONTH($A743,0))</f>
        <v/>
      </c>
      <c r="K743" s="67">
        <f>IF($B743="",0,IF(LEFT($B743,1)="━",0,$C743*VLOOKUP($B743,'4. CÀI ĐẶT'!$A$2:$H$32,7,FALSE)))</f>
        <v/>
      </c>
    </row>
    <row r="744">
      <c r="A744" s="8" t="n"/>
      <c r="B744" s="9" t="n"/>
      <c r="C744" s="65" t="n"/>
      <c r="D744" s="9" t="n"/>
      <c r="E744" s="66">
        <f>IF($B744="","",IF(LEFT($B744,1)="━","⚠️ Chọn hạng mục cụ thể",$C744*VLOOKUP($B744,'4. CÀI ĐẶT'!$A$2:$H$32,2,FALSE)))</f>
        <v/>
      </c>
      <c r="F744" s="67">
        <f>IF($B744="",0,IF(LEFT($B744,1)="━",0,$C744*VLOOKUP($B744,'4. CÀI ĐẶT'!$A$2:$H$32,3,FALSE)))</f>
        <v/>
      </c>
      <c r="G744" s="67">
        <f>IF($B744="",0,IF(LEFT($B744,1)="━",0,$C744*VLOOKUP($B744,'4. CÀI ĐẶT'!$A$2:$H$32,4,FALSE)))</f>
        <v/>
      </c>
      <c r="H744" s="67">
        <f>IF($B744="",0,IF(LEFT($B744,1)="━",0,$C744*VLOOKUP($B744,'4. CÀI ĐẶT'!$A$2:$H$32,5,FALSE)))</f>
        <v/>
      </c>
      <c r="I744">
        <f>IF($B744="","",IF(LEFT($B744,1)="━","",VLOOKUP($B744,'4. CÀI ĐẶT'!$A$2:$H$32,6,FALSE)))</f>
        <v/>
      </c>
      <c r="J744" s="13">
        <f>IF($A744="","",EOMONTH($A744,0))</f>
        <v/>
      </c>
      <c r="K744" s="67">
        <f>IF($B744="",0,IF(LEFT($B744,1)="━",0,$C744*VLOOKUP($B744,'4. CÀI ĐẶT'!$A$2:$H$32,7,FALSE)))</f>
        <v/>
      </c>
    </row>
    <row r="745">
      <c r="A745" s="8" t="n"/>
      <c r="B745" s="9" t="n"/>
      <c r="C745" s="65" t="n"/>
      <c r="D745" s="9" t="n"/>
      <c r="E745" s="66">
        <f>IF($B745="","",IF(LEFT($B745,1)="━","⚠️ Chọn hạng mục cụ thể",$C745*VLOOKUP($B745,'4. CÀI ĐẶT'!$A$2:$H$32,2,FALSE)))</f>
        <v/>
      </c>
      <c r="F745" s="67">
        <f>IF($B745="",0,IF(LEFT($B745,1)="━",0,$C745*VLOOKUP($B745,'4. CÀI ĐẶT'!$A$2:$H$32,3,FALSE)))</f>
        <v/>
      </c>
      <c r="G745" s="67">
        <f>IF($B745="",0,IF(LEFT($B745,1)="━",0,$C745*VLOOKUP($B745,'4. CÀI ĐẶT'!$A$2:$H$32,4,FALSE)))</f>
        <v/>
      </c>
      <c r="H745" s="67">
        <f>IF($B745="",0,IF(LEFT($B745,1)="━",0,$C745*VLOOKUP($B745,'4. CÀI ĐẶT'!$A$2:$H$32,5,FALSE)))</f>
        <v/>
      </c>
      <c r="I745">
        <f>IF($B745="","",IF(LEFT($B745,1)="━","",VLOOKUP($B745,'4. CÀI ĐẶT'!$A$2:$H$32,6,FALSE)))</f>
        <v/>
      </c>
      <c r="J745" s="13">
        <f>IF($A745="","",EOMONTH($A745,0))</f>
        <v/>
      </c>
      <c r="K745" s="67">
        <f>IF($B745="",0,IF(LEFT($B745,1)="━",0,$C745*VLOOKUP($B745,'4. CÀI ĐẶT'!$A$2:$H$32,7,FALSE)))</f>
        <v/>
      </c>
    </row>
    <row r="746">
      <c r="A746" s="8" t="n"/>
      <c r="B746" s="9" t="n"/>
      <c r="C746" s="65" t="n"/>
      <c r="D746" s="9" t="n"/>
      <c r="E746" s="66">
        <f>IF($B746="","",IF(LEFT($B746,1)="━","⚠️ Chọn hạng mục cụ thể",$C746*VLOOKUP($B746,'4. CÀI ĐẶT'!$A$2:$H$32,2,FALSE)))</f>
        <v/>
      </c>
      <c r="F746" s="67">
        <f>IF($B746="",0,IF(LEFT($B746,1)="━",0,$C746*VLOOKUP($B746,'4. CÀI ĐẶT'!$A$2:$H$32,3,FALSE)))</f>
        <v/>
      </c>
      <c r="G746" s="67">
        <f>IF($B746="",0,IF(LEFT($B746,1)="━",0,$C746*VLOOKUP($B746,'4. CÀI ĐẶT'!$A$2:$H$32,4,FALSE)))</f>
        <v/>
      </c>
      <c r="H746" s="67">
        <f>IF($B746="",0,IF(LEFT($B746,1)="━",0,$C746*VLOOKUP($B746,'4. CÀI ĐẶT'!$A$2:$H$32,5,FALSE)))</f>
        <v/>
      </c>
      <c r="I746">
        <f>IF($B746="","",IF(LEFT($B746,1)="━","",VLOOKUP($B746,'4. CÀI ĐẶT'!$A$2:$H$32,6,FALSE)))</f>
        <v/>
      </c>
      <c r="J746" s="13">
        <f>IF($A746="","",EOMONTH($A746,0))</f>
        <v/>
      </c>
      <c r="K746" s="67">
        <f>IF($B746="",0,IF(LEFT($B746,1)="━",0,$C746*VLOOKUP($B746,'4. CÀI ĐẶT'!$A$2:$H$32,7,FALSE)))</f>
        <v/>
      </c>
    </row>
    <row r="747">
      <c r="A747" s="8" t="n"/>
      <c r="B747" s="9" t="n"/>
      <c r="C747" s="65" t="n"/>
      <c r="D747" s="9" t="n"/>
      <c r="E747" s="66">
        <f>IF($B747="","",IF(LEFT($B747,1)="━","⚠️ Chọn hạng mục cụ thể",$C747*VLOOKUP($B747,'4. CÀI ĐẶT'!$A$2:$H$32,2,FALSE)))</f>
        <v/>
      </c>
      <c r="F747" s="67">
        <f>IF($B747="",0,IF(LEFT($B747,1)="━",0,$C747*VLOOKUP($B747,'4. CÀI ĐẶT'!$A$2:$H$32,3,FALSE)))</f>
        <v/>
      </c>
      <c r="G747" s="67">
        <f>IF($B747="",0,IF(LEFT($B747,1)="━",0,$C747*VLOOKUP($B747,'4. CÀI ĐẶT'!$A$2:$H$32,4,FALSE)))</f>
        <v/>
      </c>
      <c r="H747" s="67">
        <f>IF($B747="",0,IF(LEFT($B747,1)="━",0,$C747*VLOOKUP($B747,'4. CÀI ĐẶT'!$A$2:$H$32,5,FALSE)))</f>
        <v/>
      </c>
      <c r="I747">
        <f>IF($B747="","",IF(LEFT($B747,1)="━","",VLOOKUP($B747,'4. CÀI ĐẶT'!$A$2:$H$32,6,FALSE)))</f>
        <v/>
      </c>
      <c r="J747" s="13">
        <f>IF($A747="","",EOMONTH($A747,0))</f>
        <v/>
      </c>
      <c r="K747" s="67">
        <f>IF($B747="",0,IF(LEFT($B747,1)="━",0,$C747*VLOOKUP($B747,'4. CÀI ĐẶT'!$A$2:$H$32,7,FALSE)))</f>
        <v/>
      </c>
    </row>
    <row r="748">
      <c r="A748" s="8" t="n"/>
      <c r="B748" s="9" t="n"/>
      <c r="C748" s="65" t="n"/>
      <c r="D748" s="9" t="n"/>
      <c r="E748" s="66">
        <f>IF($B748="","",IF(LEFT($B748,1)="━","⚠️ Chọn hạng mục cụ thể",$C748*VLOOKUP($B748,'4. CÀI ĐẶT'!$A$2:$H$32,2,FALSE)))</f>
        <v/>
      </c>
      <c r="F748" s="67">
        <f>IF($B748="",0,IF(LEFT($B748,1)="━",0,$C748*VLOOKUP($B748,'4. CÀI ĐẶT'!$A$2:$H$32,3,FALSE)))</f>
        <v/>
      </c>
      <c r="G748" s="67">
        <f>IF($B748="",0,IF(LEFT($B748,1)="━",0,$C748*VLOOKUP($B748,'4. CÀI ĐẶT'!$A$2:$H$32,4,FALSE)))</f>
        <v/>
      </c>
      <c r="H748" s="67">
        <f>IF($B748="",0,IF(LEFT($B748,1)="━",0,$C748*VLOOKUP($B748,'4. CÀI ĐẶT'!$A$2:$H$32,5,FALSE)))</f>
        <v/>
      </c>
      <c r="I748">
        <f>IF($B748="","",IF(LEFT($B748,1)="━","",VLOOKUP($B748,'4. CÀI ĐẶT'!$A$2:$H$32,6,FALSE)))</f>
        <v/>
      </c>
      <c r="J748" s="13">
        <f>IF($A748="","",EOMONTH($A748,0))</f>
        <v/>
      </c>
      <c r="K748" s="67">
        <f>IF($B748="",0,IF(LEFT($B748,1)="━",0,$C748*VLOOKUP($B748,'4. CÀI ĐẶT'!$A$2:$H$32,7,FALSE)))</f>
        <v/>
      </c>
    </row>
    <row r="749">
      <c r="A749" s="8" t="n"/>
      <c r="B749" s="9" t="n"/>
      <c r="C749" s="65" t="n"/>
      <c r="D749" s="9" t="n"/>
      <c r="E749" s="66">
        <f>IF($B749="","",IF(LEFT($B749,1)="━","⚠️ Chọn hạng mục cụ thể",$C749*VLOOKUP($B749,'4. CÀI ĐẶT'!$A$2:$H$32,2,FALSE)))</f>
        <v/>
      </c>
      <c r="F749" s="67">
        <f>IF($B749="",0,IF(LEFT($B749,1)="━",0,$C749*VLOOKUP($B749,'4. CÀI ĐẶT'!$A$2:$H$32,3,FALSE)))</f>
        <v/>
      </c>
      <c r="G749" s="67">
        <f>IF($B749="",0,IF(LEFT($B749,1)="━",0,$C749*VLOOKUP($B749,'4. CÀI ĐẶT'!$A$2:$H$32,4,FALSE)))</f>
        <v/>
      </c>
      <c r="H749" s="67">
        <f>IF($B749="",0,IF(LEFT($B749,1)="━",0,$C749*VLOOKUP($B749,'4. CÀI ĐẶT'!$A$2:$H$32,5,FALSE)))</f>
        <v/>
      </c>
      <c r="I749">
        <f>IF($B749="","",IF(LEFT($B749,1)="━","",VLOOKUP($B749,'4. CÀI ĐẶT'!$A$2:$H$32,6,FALSE)))</f>
        <v/>
      </c>
      <c r="J749" s="13">
        <f>IF($A749="","",EOMONTH($A749,0))</f>
        <v/>
      </c>
      <c r="K749" s="67">
        <f>IF($B749="",0,IF(LEFT($B749,1)="━",0,$C749*VLOOKUP($B749,'4. CÀI ĐẶT'!$A$2:$H$32,7,FALSE)))</f>
        <v/>
      </c>
    </row>
    <row r="750">
      <c r="A750" s="8" t="n"/>
      <c r="B750" s="9" t="n"/>
      <c r="C750" s="65" t="n"/>
      <c r="D750" s="9" t="n"/>
      <c r="E750" s="66">
        <f>IF($B750="","",IF(LEFT($B750,1)="━","⚠️ Chọn hạng mục cụ thể",$C750*VLOOKUP($B750,'4. CÀI ĐẶT'!$A$2:$H$32,2,FALSE)))</f>
        <v/>
      </c>
      <c r="F750" s="67">
        <f>IF($B750="",0,IF(LEFT($B750,1)="━",0,$C750*VLOOKUP($B750,'4. CÀI ĐẶT'!$A$2:$H$32,3,FALSE)))</f>
        <v/>
      </c>
      <c r="G750" s="67">
        <f>IF($B750="",0,IF(LEFT($B750,1)="━",0,$C750*VLOOKUP($B750,'4. CÀI ĐẶT'!$A$2:$H$32,4,FALSE)))</f>
        <v/>
      </c>
      <c r="H750" s="67">
        <f>IF($B750="",0,IF(LEFT($B750,1)="━",0,$C750*VLOOKUP($B750,'4. CÀI ĐẶT'!$A$2:$H$32,5,FALSE)))</f>
        <v/>
      </c>
      <c r="I750">
        <f>IF($B750="","",IF(LEFT($B750,1)="━","",VLOOKUP($B750,'4. CÀI ĐẶT'!$A$2:$H$32,6,FALSE)))</f>
        <v/>
      </c>
      <c r="J750" s="13">
        <f>IF($A750="","",EOMONTH($A750,0))</f>
        <v/>
      </c>
      <c r="K750" s="67">
        <f>IF($B750="",0,IF(LEFT($B750,1)="━",0,$C750*VLOOKUP($B750,'4. CÀI ĐẶT'!$A$2:$H$32,7,FALSE)))</f>
        <v/>
      </c>
    </row>
    <row r="751">
      <c r="A751" s="8" t="n"/>
      <c r="B751" s="9" t="n"/>
      <c r="C751" s="65" t="n"/>
      <c r="D751" s="9" t="n"/>
      <c r="E751" s="66">
        <f>IF($B751="","",IF(LEFT($B751,1)="━","⚠️ Chọn hạng mục cụ thể",$C751*VLOOKUP($B751,'4. CÀI ĐẶT'!$A$2:$H$32,2,FALSE)))</f>
        <v/>
      </c>
      <c r="F751" s="67">
        <f>IF($B751="",0,IF(LEFT($B751,1)="━",0,$C751*VLOOKUP($B751,'4. CÀI ĐẶT'!$A$2:$H$32,3,FALSE)))</f>
        <v/>
      </c>
      <c r="G751" s="67">
        <f>IF($B751="",0,IF(LEFT($B751,1)="━",0,$C751*VLOOKUP($B751,'4. CÀI ĐẶT'!$A$2:$H$32,4,FALSE)))</f>
        <v/>
      </c>
      <c r="H751" s="67">
        <f>IF($B751="",0,IF(LEFT($B751,1)="━",0,$C751*VLOOKUP($B751,'4. CÀI ĐẶT'!$A$2:$H$32,5,FALSE)))</f>
        <v/>
      </c>
      <c r="I751">
        <f>IF($B751="","",IF(LEFT($B751,1)="━","",VLOOKUP($B751,'4. CÀI ĐẶT'!$A$2:$H$32,6,FALSE)))</f>
        <v/>
      </c>
      <c r="J751" s="13">
        <f>IF($A751="","",EOMONTH($A751,0))</f>
        <v/>
      </c>
      <c r="K751" s="67">
        <f>IF($B751="",0,IF(LEFT($B751,1)="━",0,$C751*VLOOKUP($B751,'4. CÀI ĐẶT'!$A$2:$H$32,7,FALSE)))</f>
        <v/>
      </c>
    </row>
    <row r="752">
      <c r="A752" s="8" t="n"/>
      <c r="B752" s="9" t="n"/>
      <c r="C752" s="65" t="n"/>
      <c r="D752" s="9" t="n"/>
      <c r="E752" s="66">
        <f>IF($B752="","",IF(LEFT($B752,1)="━","⚠️ Chọn hạng mục cụ thể",$C752*VLOOKUP($B752,'4. CÀI ĐẶT'!$A$2:$H$32,2,FALSE)))</f>
        <v/>
      </c>
      <c r="F752" s="67">
        <f>IF($B752="",0,IF(LEFT($B752,1)="━",0,$C752*VLOOKUP($B752,'4. CÀI ĐẶT'!$A$2:$H$32,3,FALSE)))</f>
        <v/>
      </c>
      <c r="G752" s="67">
        <f>IF($B752="",0,IF(LEFT($B752,1)="━",0,$C752*VLOOKUP($B752,'4. CÀI ĐẶT'!$A$2:$H$32,4,FALSE)))</f>
        <v/>
      </c>
      <c r="H752" s="67">
        <f>IF($B752="",0,IF(LEFT($B752,1)="━",0,$C752*VLOOKUP($B752,'4. CÀI ĐẶT'!$A$2:$H$32,5,FALSE)))</f>
        <v/>
      </c>
      <c r="I752">
        <f>IF($B752="","",IF(LEFT($B752,1)="━","",VLOOKUP($B752,'4. CÀI ĐẶT'!$A$2:$H$32,6,FALSE)))</f>
        <v/>
      </c>
      <c r="J752" s="13">
        <f>IF($A752="","",EOMONTH($A752,0))</f>
        <v/>
      </c>
      <c r="K752" s="67">
        <f>IF($B752="",0,IF(LEFT($B752,1)="━",0,$C752*VLOOKUP($B752,'4. CÀI ĐẶT'!$A$2:$H$32,7,FALSE)))</f>
        <v/>
      </c>
    </row>
    <row r="753">
      <c r="A753" s="8" t="n"/>
      <c r="B753" s="9" t="n"/>
      <c r="C753" s="65" t="n"/>
      <c r="D753" s="9" t="n"/>
      <c r="E753" s="66">
        <f>IF($B753="","",IF(LEFT($B753,1)="━","⚠️ Chọn hạng mục cụ thể",$C753*VLOOKUP($B753,'4. CÀI ĐẶT'!$A$2:$H$32,2,FALSE)))</f>
        <v/>
      </c>
      <c r="F753" s="67">
        <f>IF($B753="",0,IF(LEFT($B753,1)="━",0,$C753*VLOOKUP($B753,'4. CÀI ĐẶT'!$A$2:$H$32,3,FALSE)))</f>
        <v/>
      </c>
      <c r="G753" s="67">
        <f>IF($B753="",0,IF(LEFT($B753,1)="━",0,$C753*VLOOKUP($B753,'4. CÀI ĐẶT'!$A$2:$H$32,4,FALSE)))</f>
        <v/>
      </c>
      <c r="H753" s="67">
        <f>IF($B753="",0,IF(LEFT($B753,1)="━",0,$C753*VLOOKUP($B753,'4. CÀI ĐẶT'!$A$2:$H$32,5,FALSE)))</f>
        <v/>
      </c>
      <c r="I753">
        <f>IF($B753="","",IF(LEFT($B753,1)="━","",VLOOKUP($B753,'4. CÀI ĐẶT'!$A$2:$H$32,6,FALSE)))</f>
        <v/>
      </c>
      <c r="J753" s="13">
        <f>IF($A753="","",EOMONTH($A753,0))</f>
        <v/>
      </c>
      <c r="K753" s="67">
        <f>IF($B753="",0,IF(LEFT($B753,1)="━",0,$C753*VLOOKUP($B753,'4. CÀI ĐẶT'!$A$2:$H$32,7,FALSE)))</f>
        <v/>
      </c>
    </row>
    <row r="754">
      <c r="A754" s="8" t="n"/>
      <c r="B754" s="9" t="n"/>
      <c r="C754" s="65" t="n"/>
      <c r="D754" s="9" t="n"/>
      <c r="E754" s="66">
        <f>IF($B754="","",IF(LEFT($B754,1)="━","⚠️ Chọn hạng mục cụ thể",$C754*VLOOKUP($B754,'4. CÀI ĐẶT'!$A$2:$H$32,2,FALSE)))</f>
        <v/>
      </c>
      <c r="F754" s="67">
        <f>IF($B754="",0,IF(LEFT($B754,1)="━",0,$C754*VLOOKUP($B754,'4. CÀI ĐẶT'!$A$2:$H$32,3,FALSE)))</f>
        <v/>
      </c>
      <c r="G754" s="67">
        <f>IF($B754="",0,IF(LEFT($B754,1)="━",0,$C754*VLOOKUP($B754,'4. CÀI ĐẶT'!$A$2:$H$32,4,FALSE)))</f>
        <v/>
      </c>
      <c r="H754" s="67">
        <f>IF($B754="",0,IF(LEFT($B754,1)="━",0,$C754*VLOOKUP($B754,'4. CÀI ĐẶT'!$A$2:$H$32,5,FALSE)))</f>
        <v/>
      </c>
      <c r="I754">
        <f>IF($B754="","",IF(LEFT($B754,1)="━","",VLOOKUP($B754,'4. CÀI ĐẶT'!$A$2:$H$32,6,FALSE)))</f>
        <v/>
      </c>
      <c r="J754" s="13">
        <f>IF($A754="","",EOMONTH($A754,0))</f>
        <v/>
      </c>
      <c r="K754" s="67">
        <f>IF($B754="",0,IF(LEFT($B754,1)="━",0,$C754*VLOOKUP($B754,'4. CÀI ĐẶT'!$A$2:$H$32,7,FALSE)))</f>
        <v/>
      </c>
    </row>
    <row r="755">
      <c r="A755" s="8" t="n"/>
      <c r="B755" s="9" t="n"/>
      <c r="C755" s="65" t="n"/>
      <c r="D755" s="9" t="n"/>
      <c r="E755" s="66">
        <f>IF($B755="","",IF(LEFT($B755,1)="━","⚠️ Chọn hạng mục cụ thể",$C755*VLOOKUP($B755,'4. CÀI ĐẶT'!$A$2:$H$32,2,FALSE)))</f>
        <v/>
      </c>
      <c r="F755" s="67">
        <f>IF($B755="",0,IF(LEFT($B755,1)="━",0,$C755*VLOOKUP($B755,'4. CÀI ĐẶT'!$A$2:$H$32,3,FALSE)))</f>
        <v/>
      </c>
      <c r="G755" s="67">
        <f>IF($B755="",0,IF(LEFT($B755,1)="━",0,$C755*VLOOKUP($B755,'4. CÀI ĐẶT'!$A$2:$H$32,4,FALSE)))</f>
        <v/>
      </c>
      <c r="H755" s="67">
        <f>IF($B755="",0,IF(LEFT($B755,1)="━",0,$C755*VLOOKUP($B755,'4. CÀI ĐẶT'!$A$2:$H$32,5,FALSE)))</f>
        <v/>
      </c>
      <c r="I755">
        <f>IF($B755="","",IF(LEFT($B755,1)="━","",VLOOKUP($B755,'4. CÀI ĐẶT'!$A$2:$H$32,6,FALSE)))</f>
        <v/>
      </c>
      <c r="J755" s="13">
        <f>IF($A755="","",EOMONTH($A755,0))</f>
        <v/>
      </c>
      <c r="K755" s="67">
        <f>IF($B755="",0,IF(LEFT($B755,1)="━",0,$C755*VLOOKUP($B755,'4. CÀI ĐẶT'!$A$2:$H$32,7,FALSE)))</f>
        <v/>
      </c>
    </row>
    <row r="756">
      <c r="A756" s="8" t="n"/>
      <c r="B756" s="9" t="n"/>
      <c r="C756" s="65" t="n"/>
      <c r="D756" s="9" t="n"/>
      <c r="E756" s="66">
        <f>IF($B756="","",IF(LEFT($B756,1)="━","⚠️ Chọn hạng mục cụ thể",$C756*VLOOKUP($B756,'4. CÀI ĐẶT'!$A$2:$H$32,2,FALSE)))</f>
        <v/>
      </c>
      <c r="F756" s="67">
        <f>IF($B756="",0,IF(LEFT($B756,1)="━",0,$C756*VLOOKUP($B756,'4. CÀI ĐẶT'!$A$2:$H$32,3,FALSE)))</f>
        <v/>
      </c>
      <c r="G756" s="67">
        <f>IF($B756="",0,IF(LEFT($B756,1)="━",0,$C756*VLOOKUP($B756,'4. CÀI ĐẶT'!$A$2:$H$32,4,FALSE)))</f>
        <v/>
      </c>
      <c r="H756" s="67">
        <f>IF($B756="",0,IF(LEFT($B756,1)="━",0,$C756*VLOOKUP($B756,'4. CÀI ĐẶT'!$A$2:$H$32,5,FALSE)))</f>
        <v/>
      </c>
      <c r="I756">
        <f>IF($B756="","",IF(LEFT($B756,1)="━","",VLOOKUP($B756,'4. CÀI ĐẶT'!$A$2:$H$32,6,FALSE)))</f>
        <v/>
      </c>
      <c r="J756" s="13">
        <f>IF($A756="","",EOMONTH($A756,0))</f>
        <v/>
      </c>
      <c r="K756" s="67">
        <f>IF($B756="",0,IF(LEFT($B756,1)="━",0,$C756*VLOOKUP($B756,'4. CÀI ĐẶT'!$A$2:$H$32,7,FALSE)))</f>
        <v/>
      </c>
    </row>
    <row r="757">
      <c r="A757" s="8" t="n"/>
      <c r="B757" s="9" t="n"/>
      <c r="C757" s="65" t="n"/>
      <c r="D757" s="9" t="n"/>
      <c r="E757" s="66">
        <f>IF($B757="","",IF(LEFT($B757,1)="━","⚠️ Chọn hạng mục cụ thể",$C757*VLOOKUP($B757,'4. CÀI ĐẶT'!$A$2:$H$32,2,FALSE)))</f>
        <v/>
      </c>
      <c r="F757" s="67">
        <f>IF($B757="",0,IF(LEFT($B757,1)="━",0,$C757*VLOOKUP($B757,'4. CÀI ĐẶT'!$A$2:$H$32,3,FALSE)))</f>
        <v/>
      </c>
      <c r="G757" s="67">
        <f>IF($B757="",0,IF(LEFT($B757,1)="━",0,$C757*VLOOKUP($B757,'4. CÀI ĐẶT'!$A$2:$H$32,4,FALSE)))</f>
        <v/>
      </c>
      <c r="H757" s="67">
        <f>IF($B757="",0,IF(LEFT($B757,1)="━",0,$C757*VLOOKUP($B757,'4. CÀI ĐẶT'!$A$2:$H$32,5,FALSE)))</f>
        <v/>
      </c>
      <c r="I757">
        <f>IF($B757="","",IF(LEFT($B757,1)="━","",VLOOKUP($B757,'4. CÀI ĐẶT'!$A$2:$H$32,6,FALSE)))</f>
        <v/>
      </c>
      <c r="J757" s="13">
        <f>IF($A757="","",EOMONTH($A757,0))</f>
        <v/>
      </c>
      <c r="K757" s="67">
        <f>IF($B757="",0,IF(LEFT($B757,1)="━",0,$C757*VLOOKUP($B757,'4. CÀI ĐẶT'!$A$2:$H$32,7,FALSE)))</f>
        <v/>
      </c>
    </row>
    <row r="758">
      <c r="A758" s="8" t="n"/>
      <c r="B758" s="9" t="n"/>
      <c r="C758" s="65" t="n"/>
      <c r="D758" s="9" t="n"/>
      <c r="E758" s="66">
        <f>IF($B758="","",IF(LEFT($B758,1)="━","⚠️ Chọn hạng mục cụ thể",$C758*VLOOKUP($B758,'4. CÀI ĐẶT'!$A$2:$H$32,2,FALSE)))</f>
        <v/>
      </c>
      <c r="F758" s="67">
        <f>IF($B758="",0,IF(LEFT($B758,1)="━",0,$C758*VLOOKUP($B758,'4. CÀI ĐẶT'!$A$2:$H$32,3,FALSE)))</f>
        <v/>
      </c>
      <c r="G758" s="67">
        <f>IF($B758="",0,IF(LEFT($B758,1)="━",0,$C758*VLOOKUP($B758,'4. CÀI ĐẶT'!$A$2:$H$32,4,FALSE)))</f>
        <v/>
      </c>
      <c r="H758" s="67">
        <f>IF($B758="",0,IF(LEFT($B758,1)="━",0,$C758*VLOOKUP($B758,'4. CÀI ĐẶT'!$A$2:$H$32,5,FALSE)))</f>
        <v/>
      </c>
      <c r="I758">
        <f>IF($B758="","",IF(LEFT($B758,1)="━","",VLOOKUP($B758,'4. CÀI ĐẶT'!$A$2:$H$32,6,FALSE)))</f>
        <v/>
      </c>
      <c r="J758" s="13">
        <f>IF($A758="","",EOMONTH($A758,0))</f>
        <v/>
      </c>
      <c r="K758" s="67">
        <f>IF($B758="",0,IF(LEFT($B758,1)="━",0,$C758*VLOOKUP($B758,'4. CÀI ĐẶT'!$A$2:$H$32,7,FALSE)))</f>
        <v/>
      </c>
    </row>
    <row r="759">
      <c r="A759" s="8" t="n"/>
      <c r="B759" s="9" t="n"/>
      <c r="C759" s="65" t="n"/>
      <c r="D759" s="9" t="n"/>
      <c r="E759" s="66">
        <f>IF($B759="","",IF(LEFT($B759,1)="━","⚠️ Chọn hạng mục cụ thể",$C759*VLOOKUP($B759,'4. CÀI ĐẶT'!$A$2:$H$32,2,FALSE)))</f>
        <v/>
      </c>
      <c r="F759" s="67">
        <f>IF($B759="",0,IF(LEFT($B759,1)="━",0,$C759*VLOOKUP($B759,'4. CÀI ĐẶT'!$A$2:$H$32,3,FALSE)))</f>
        <v/>
      </c>
      <c r="G759" s="67">
        <f>IF($B759="",0,IF(LEFT($B759,1)="━",0,$C759*VLOOKUP($B759,'4. CÀI ĐẶT'!$A$2:$H$32,4,FALSE)))</f>
        <v/>
      </c>
      <c r="H759" s="67">
        <f>IF($B759="",0,IF(LEFT($B759,1)="━",0,$C759*VLOOKUP($B759,'4. CÀI ĐẶT'!$A$2:$H$32,5,FALSE)))</f>
        <v/>
      </c>
      <c r="I759">
        <f>IF($B759="","",IF(LEFT($B759,1)="━","",VLOOKUP($B759,'4. CÀI ĐẶT'!$A$2:$H$32,6,FALSE)))</f>
        <v/>
      </c>
      <c r="J759" s="13">
        <f>IF($A759="","",EOMONTH($A759,0))</f>
        <v/>
      </c>
      <c r="K759" s="67">
        <f>IF($B759="",0,IF(LEFT($B759,1)="━",0,$C759*VLOOKUP($B759,'4. CÀI ĐẶT'!$A$2:$H$32,7,FALSE)))</f>
        <v/>
      </c>
    </row>
    <row r="760">
      <c r="A760" s="8" t="n"/>
      <c r="B760" s="9" t="n"/>
      <c r="C760" s="65" t="n"/>
      <c r="D760" s="9" t="n"/>
      <c r="E760" s="66">
        <f>IF($B760="","",IF(LEFT($B760,1)="━","⚠️ Chọn hạng mục cụ thể",$C760*VLOOKUP($B760,'4. CÀI ĐẶT'!$A$2:$H$32,2,FALSE)))</f>
        <v/>
      </c>
      <c r="F760" s="67">
        <f>IF($B760="",0,IF(LEFT($B760,1)="━",0,$C760*VLOOKUP($B760,'4. CÀI ĐẶT'!$A$2:$H$32,3,FALSE)))</f>
        <v/>
      </c>
      <c r="G760" s="67">
        <f>IF($B760="",0,IF(LEFT($B760,1)="━",0,$C760*VLOOKUP($B760,'4. CÀI ĐẶT'!$A$2:$H$32,4,FALSE)))</f>
        <v/>
      </c>
      <c r="H760" s="67">
        <f>IF($B760="",0,IF(LEFT($B760,1)="━",0,$C760*VLOOKUP($B760,'4. CÀI ĐẶT'!$A$2:$H$32,5,FALSE)))</f>
        <v/>
      </c>
      <c r="I760">
        <f>IF($B760="","",IF(LEFT($B760,1)="━","",VLOOKUP($B760,'4. CÀI ĐẶT'!$A$2:$H$32,6,FALSE)))</f>
        <v/>
      </c>
      <c r="J760" s="13">
        <f>IF($A760="","",EOMONTH($A760,0))</f>
        <v/>
      </c>
      <c r="K760" s="67">
        <f>IF($B760="",0,IF(LEFT($B760,1)="━",0,$C760*VLOOKUP($B760,'4. CÀI ĐẶT'!$A$2:$H$32,7,FALSE)))</f>
        <v/>
      </c>
    </row>
    <row r="761">
      <c r="A761" s="8" t="n"/>
      <c r="B761" s="9" t="n"/>
      <c r="C761" s="65" t="n"/>
      <c r="D761" s="9" t="n"/>
      <c r="E761" s="66">
        <f>IF($B761="","",IF(LEFT($B761,1)="━","⚠️ Chọn hạng mục cụ thể",$C761*VLOOKUP($B761,'4. CÀI ĐẶT'!$A$2:$H$32,2,FALSE)))</f>
        <v/>
      </c>
      <c r="F761" s="67">
        <f>IF($B761="",0,IF(LEFT($B761,1)="━",0,$C761*VLOOKUP($B761,'4. CÀI ĐẶT'!$A$2:$H$32,3,FALSE)))</f>
        <v/>
      </c>
      <c r="G761" s="67">
        <f>IF($B761="",0,IF(LEFT($B761,1)="━",0,$C761*VLOOKUP($B761,'4. CÀI ĐẶT'!$A$2:$H$32,4,FALSE)))</f>
        <v/>
      </c>
      <c r="H761" s="67">
        <f>IF($B761="",0,IF(LEFT($B761,1)="━",0,$C761*VLOOKUP($B761,'4. CÀI ĐẶT'!$A$2:$H$32,5,FALSE)))</f>
        <v/>
      </c>
      <c r="I761">
        <f>IF($B761="","",IF(LEFT($B761,1)="━","",VLOOKUP($B761,'4. CÀI ĐẶT'!$A$2:$H$32,6,FALSE)))</f>
        <v/>
      </c>
      <c r="J761" s="13">
        <f>IF($A761="","",EOMONTH($A761,0))</f>
        <v/>
      </c>
      <c r="K761" s="67">
        <f>IF($B761="",0,IF(LEFT($B761,1)="━",0,$C761*VLOOKUP($B761,'4. CÀI ĐẶT'!$A$2:$H$32,7,FALSE)))</f>
        <v/>
      </c>
    </row>
    <row r="762">
      <c r="A762" s="8" t="n"/>
      <c r="B762" s="9" t="n"/>
      <c r="C762" s="65" t="n"/>
      <c r="D762" s="9" t="n"/>
      <c r="E762" s="66">
        <f>IF($B762="","",IF(LEFT($B762,1)="━","⚠️ Chọn hạng mục cụ thể",$C762*VLOOKUP($B762,'4. CÀI ĐẶT'!$A$2:$H$32,2,FALSE)))</f>
        <v/>
      </c>
      <c r="F762" s="67">
        <f>IF($B762="",0,IF(LEFT($B762,1)="━",0,$C762*VLOOKUP($B762,'4. CÀI ĐẶT'!$A$2:$H$32,3,FALSE)))</f>
        <v/>
      </c>
      <c r="G762" s="67">
        <f>IF($B762="",0,IF(LEFT($B762,1)="━",0,$C762*VLOOKUP($B762,'4. CÀI ĐẶT'!$A$2:$H$32,4,FALSE)))</f>
        <v/>
      </c>
      <c r="H762" s="67">
        <f>IF($B762="",0,IF(LEFT($B762,1)="━",0,$C762*VLOOKUP($B762,'4. CÀI ĐẶT'!$A$2:$H$32,5,FALSE)))</f>
        <v/>
      </c>
      <c r="I762">
        <f>IF($B762="","",IF(LEFT($B762,1)="━","",VLOOKUP($B762,'4. CÀI ĐẶT'!$A$2:$H$32,6,FALSE)))</f>
        <v/>
      </c>
      <c r="J762" s="13">
        <f>IF($A762="","",EOMONTH($A762,0))</f>
        <v/>
      </c>
      <c r="K762" s="67">
        <f>IF($B762="",0,IF(LEFT($B762,1)="━",0,$C762*VLOOKUP($B762,'4. CÀI ĐẶT'!$A$2:$H$32,7,FALSE)))</f>
        <v/>
      </c>
    </row>
    <row r="763">
      <c r="A763" s="8" t="n"/>
      <c r="B763" s="9" t="n"/>
      <c r="C763" s="65" t="n"/>
      <c r="D763" s="9" t="n"/>
      <c r="E763" s="66">
        <f>IF($B763="","",IF(LEFT($B763,1)="━","⚠️ Chọn hạng mục cụ thể",$C763*VLOOKUP($B763,'4. CÀI ĐẶT'!$A$2:$H$32,2,FALSE)))</f>
        <v/>
      </c>
      <c r="F763" s="67">
        <f>IF($B763="",0,IF(LEFT($B763,1)="━",0,$C763*VLOOKUP($B763,'4. CÀI ĐẶT'!$A$2:$H$32,3,FALSE)))</f>
        <v/>
      </c>
      <c r="G763" s="67">
        <f>IF($B763="",0,IF(LEFT($B763,1)="━",0,$C763*VLOOKUP($B763,'4. CÀI ĐẶT'!$A$2:$H$32,4,FALSE)))</f>
        <v/>
      </c>
      <c r="H763" s="67">
        <f>IF($B763="",0,IF(LEFT($B763,1)="━",0,$C763*VLOOKUP($B763,'4. CÀI ĐẶT'!$A$2:$H$32,5,FALSE)))</f>
        <v/>
      </c>
      <c r="I763">
        <f>IF($B763="","",IF(LEFT($B763,1)="━","",VLOOKUP($B763,'4. CÀI ĐẶT'!$A$2:$H$32,6,FALSE)))</f>
        <v/>
      </c>
      <c r="J763" s="13">
        <f>IF($A763="","",EOMONTH($A763,0))</f>
        <v/>
      </c>
      <c r="K763" s="67">
        <f>IF($B763="",0,IF(LEFT($B763,1)="━",0,$C763*VLOOKUP($B763,'4. CÀI ĐẶT'!$A$2:$H$32,7,FALSE)))</f>
        <v/>
      </c>
    </row>
    <row r="764">
      <c r="A764" s="8" t="n"/>
      <c r="B764" s="9" t="n"/>
      <c r="C764" s="65" t="n"/>
      <c r="D764" s="9" t="n"/>
      <c r="E764" s="66">
        <f>IF($B764="","",IF(LEFT($B764,1)="━","⚠️ Chọn hạng mục cụ thể",$C764*VLOOKUP($B764,'4. CÀI ĐẶT'!$A$2:$H$32,2,FALSE)))</f>
        <v/>
      </c>
      <c r="F764" s="67">
        <f>IF($B764="",0,IF(LEFT($B764,1)="━",0,$C764*VLOOKUP($B764,'4. CÀI ĐẶT'!$A$2:$H$32,3,FALSE)))</f>
        <v/>
      </c>
      <c r="G764" s="67">
        <f>IF($B764="",0,IF(LEFT($B764,1)="━",0,$C764*VLOOKUP($B764,'4. CÀI ĐẶT'!$A$2:$H$32,4,FALSE)))</f>
        <v/>
      </c>
      <c r="H764" s="67">
        <f>IF($B764="",0,IF(LEFT($B764,1)="━",0,$C764*VLOOKUP($B764,'4. CÀI ĐẶT'!$A$2:$H$32,5,FALSE)))</f>
        <v/>
      </c>
      <c r="I764">
        <f>IF($B764="","",IF(LEFT($B764,1)="━","",VLOOKUP($B764,'4. CÀI ĐẶT'!$A$2:$H$32,6,FALSE)))</f>
        <v/>
      </c>
      <c r="J764" s="13">
        <f>IF($A764="","",EOMONTH($A764,0))</f>
        <v/>
      </c>
      <c r="K764" s="67">
        <f>IF($B764="",0,IF(LEFT($B764,1)="━",0,$C764*VLOOKUP($B764,'4. CÀI ĐẶT'!$A$2:$H$32,7,FALSE)))</f>
        <v/>
      </c>
    </row>
    <row r="765">
      <c r="A765" s="8" t="n"/>
      <c r="B765" s="9" t="n"/>
      <c r="C765" s="65" t="n"/>
      <c r="D765" s="9" t="n"/>
      <c r="E765" s="66">
        <f>IF($B765="","",IF(LEFT($B765,1)="━","⚠️ Chọn hạng mục cụ thể",$C765*VLOOKUP($B765,'4. CÀI ĐẶT'!$A$2:$H$32,2,FALSE)))</f>
        <v/>
      </c>
      <c r="F765" s="67">
        <f>IF($B765="",0,IF(LEFT($B765,1)="━",0,$C765*VLOOKUP($B765,'4. CÀI ĐẶT'!$A$2:$H$32,3,FALSE)))</f>
        <v/>
      </c>
      <c r="G765" s="67">
        <f>IF($B765="",0,IF(LEFT($B765,1)="━",0,$C765*VLOOKUP($B765,'4. CÀI ĐẶT'!$A$2:$H$32,4,FALSE)))</f>
        <v/>
      </c>
      <c r="H765" s="67">
        <f>IF($B765="",0,IF(LEFT($B765,1)="━",0,$C765*VLOOKUP($B765,'4. CÀI ĐẶT'!$A$2:$H$32,5,FALSE)))</f>
        <v/>
      </c>
      <c r="I765">
        <f>IF($B765="","",IF(LEFT($B765,1)="━","",VLOOKUP($B765,'4. CÀI ĐẶT'!$A$2:$H$32,6,FALSE)))</f>
        <v/>
      </c>
      <c r="J765" s="13">
        <f>IF($A765="","",EOMONTH($A765,0))</f>
        <v/>
      </c>
      <c r="K765" s="67">
        <f>IF($B765="",0,IF(LEFT($B765,1)="━",0,$C765*VLOOKUP($B765,'4. CÀI ĐẶT'!$A$2:$H$32,7,FALSE)))</f>
        <v/>
      </c>
    </row>
    <row r="766">
      <c r="A766" s="8" t="n"/>
      <c r="B766" s="9" t="n"/>
      <c r="C766" s="65" t="n"/>
      <c r="D766" s="9" t="n"/>
      <c r="E766" s="66">
        <f>IF($B766="","",IF(LEFT($B766,1)="━","⚠️ Chọn hạng mục cụ thể",$C766*VLOOKUP($B766,'4. CÀI ĐẶT'!$A$2:$H$32,2,FALSE)))</f>
        <v/>
      </c>
      <c r="F766" s="67">
        <f>IF($B766="",0,IF(LEFT($B766,1)="━",0,$C766*VLOOKUP($B766,'4. CÀI ĐẶT'!$A$2:$H$32,3,FALSE)))</f>
        <v/>
      </c>
      <c r="G766" s="67">
        <f>IF($B766="",0,IF(LEFT($B766,1)="━",0,$C766*VLOOKUP($B766,'4. CÀI ĐẶT'!$A$2:$H$32,4,FALSE)))</f>
        <v/>
      </c>
      <c r="H766" s="67">
        <f>IF($B766="",0,IF(LEFT($B766,1)="━",0,$C766*VLOOKUP($B766,'4. CÀI ĐẶT'!$A$2:$H$32,5,FALSE)))</f>
        <v/>
      </c>
      <c r="I766">
        <f>IF($B766="","",IF(LEFT($B766,1)="━","",VLOOKUP($B766,'4. CÀI ĐẶT'!$A$2:$H$32,6,FALSE)))</f>
        <v/>
      </c>
      <c r="J766" s="13">
        <f>IF($A766="","",EOMONTH($A766,0))</f>
        <v/>
      </c>
      <c r="K766" s="67">
        <f>IF($B766="",0,IF(LEFT($B766,1)="━",0,$C766*VLOOKUP($B766,'4. CÀI ĐẶT'!$A$2:$H$32,7,FALSE)))</f>
        <v/>
      </c>
    </row>
    <row r="767">
      <c r="A767" s="8" t="n"/>
      <c r="B767" s="9" t="n"/>
      <c r="C767" s="65" t="n"/>
      <c r="D767" s="9" t="n"/>
      <c r="E767" s="66">
        <f>IF($B767="","",IF(LEFT($B767,1)="━","⚠️ Chọn hạng mục cụ thể",$C767*VLOOKUP($B767,'4. CÀI ĐẶT'!$A$2:$H$32,2,FALSE)))</f>
        <v/>
      </c>
      <c r="F767" s="67">
        <f>IF($B767="",0,IF(LEFT($B767,1)="━",0,$C767*VLOOKUP($B767,'4. CÀI ĐẶT'!$A$2:$H$32,3,FALSE)))</f>
        <v/>
      </c>
      <c r="G767" s="67">
        <f>IF($B767="",0,IF(LEFT($B767,1)="━",0,$C767*VLOOKUP($B767,'4. CÀI ĐẶT'!$A$2:$H$32,4,FALSE)))</f>
        <v/>
      </c>
      <c r="H767" s="67">
        <f>IF($B767="",0,IF(LEFT($B767,1)="━",0,$C767*VLOOKUP($B767,'4. CÀI ĐẶT'!$A$2:$H$32,5,FALSE)))</f>
        <v/>
      </c>
      <c r="I767">
        <f>IF($B767="","",IF(LEFT($B767,1)="━","",VLOOKUP($B767,'4. CÀI ĐẶT'!$A$2:$H$32,6,FALSE)))</f>
        <v/>
      </c>
      <c r="J767" s="13">
        <f>IF($A767="","",EOMONTH($A767,0))</f>
        <v/>
      </c>
      <c r="K767" s="67">
        <f>IF($B767="",0,IF(LEFT($B767,1)="━",0,$C767*VLOOKUP($B767,'4. CÀI ĐẶT'!$A$2:$H$32,7,FALSE)))</f>
        <v/>
      </c>
    </row>
    <row r="768">
      <c r="A768" s="8" t="n"/>
      <c r="B768" s="9" t="n"/>
      <c r="C768" s="65" t="n"/>
      <c r="D768" s="9" t="n"/>
      <c r="E768" s="66">
        <f>IF($B768="","",IF(LEFT($B768,1)="━","⚠️ Chọn hạng mục cụ thể",$C768*VLOOKUP($B768,'4. CÀI ĐẶT'!$A$2:$H$32,2,FALSE)))</f>
        <v/>
      </c>
      <c r="F768" s="67">
        <f>IF($B768="",0,IF(LEFT($B768,1)="━",0,$C768*VLOOKUP($B768,'4. CÀI ĐẶT'!$A$2:$H$32,3,FALSE)))</f>
        <v/>
      </c>
      <c r="G768" s="67">
        <f>IF($B768="",0,IF(LEFT($B768,1)="━",0,$C768*VLOOKUP($B768,'4. CÀI ĐẶT'!$A$2:$H$32,4,FALSE)))</f>
        <v/>
      </c>
      <c r="H768" s="67">
        <f>IF($B768="",0,IF(LEFT($B768,1)="━",0,$C768*VLOOKUP($B768,'4. CÀI ĐẶT'!$A$2:$H$32,5,FALSE)))</f>
        <v/>
      </c>
      <c r="I768">
        <f>IF($B768="","",IF(LEFT($B768,1)="━","",VLOOKUP($B768,'4. CÀI ĐẶT'!$A$2:$H$32,6,FALSE)))</f>
        <v/>
      </c>
      <c r="J768" s="13">
        <f>IF($A768="","",EOMONTH($A768,0))</f>
        <v/>
      </c>
      <c r="K768" s="67">
        <f>IF($B768="",0,IF(LEFT($B768,1)="━",0,$C768*VLOOKUP($B768,'4. CÀI ĐẶT'!$A$2:$H$32,7,FALSE)))</f>
        <v/>
      </c>
    </row>
    <row r="769">
      <c r="A769" s="8" t="n"/>
      <c r="B769" s="9" t="n"/>
      <c r="C769" s="65" t="n"/>
      <c r="D769" s="9" t="n"/>
      <c r="E769" s="66">
        <f>IF($B769="","",IF(LEFT($B769,1)="━","⚠️ Chọn hạng mục cụ thể",$C769*VLOOKUP($B769,'4. CÀI ĐẶT'!$A$2:$H$32,2,FALSE)))</f>
        <v/>
      </c>
      <c r="F769" s="67">
        <f>IF($B769="",0,IF(LEFT($B769,1)="━",0,$C769*VLOOKUP($B769,'4. CÀI ĐẶT'!$A$2:$H$32,3,FALSE)))</f>
        <v/>
      </c>
      <c r="G769" s="67">
        <f>IF($B769="",0,IF(LEFT($B769,1)="━",0,$C769*VLOOKUP($B769,'4. CÀI ĐẶT'!$A$2:$H$32,4,FALSE)))</f>
        <v/>
      </c>
      <c r="H769" s="67">
        <f>IF($B769="",0,IF(LEFT($B769,1)="━",0,$C769*VLOOKUP($B769,'4. CÀI ĐẶT'!$A$2:$H$32,5,FALSE)))</f>
        <v/>
      </c>
      <c r="I769">
        <f>IF($B769="","",IF(LEFT($B769,1)="━","",VLOOKUP($B769,'4. CÀI ĐẶT'!$A$2:$H$32,6,FALSE)))</f>
        <v/>
      </c>
      <c r="J769" s="13">
        <f>IF($A769="","",EOMONTH($A769,0))</f>
        <v/>
      </c>
      <c r="K769" s="67">
        <f>IF($B769="",0,IF(LEFT($B769,1)="━",0,$C769*VLOOKUP($B769,'4. CÀI ĐẶT'!$A$2:$H$32,7,FALSE)))</f>
        <v/>
      </c>
    </row>
    <row r="770">
      <c r="A770" s="8" t="n"/>
      <c r="B770" s="9" t="n"/>
      <c r="C770" s="65" t="n"/>
      <c r="D770" s="9" t="n"/>
      <c r="E770" s="66">
        <f>IF($B770="","",IF(LEFT($B770,1)="━","⚠️ Chọn hạng mục cụ thể",$C770*VLOOKUP($B770,'4. CÀI ĐẶT'!$A$2:$H$32,2,FALSE)))</f>
        <v/>
      </c>
      <c r="F770" s="67">
        <f>IF($B770="",0,IF(LEFT($B770,1)="━",0,$C770*VLOOKUP($B770,'4. CÀI ĐẶT'!$A$2:$H$32,3,FALSE)))</f>
        <v/>
      </c>
      <c r="G770" s="67">
        <f>IF($B770="",0,IF(LEFT($B770,1)="━",0,$C770*VLOOKUP($B770,'4. CÀI ĐẶT'!$A$2:$H$32,4,FALSE)))</f>
        <v/>
      </c>
      <c r="H770" s="67">
        <f>IF($B770="",0,IF(LEFT($B770,1)="━",0,$C770*VLOOKUP($B770,'4. CÀI ĐẶT'!$A$2:$H$32,5,FALSE)))</f>
        <v/>
      </c>
      <c r="I770">
        <f>IF($B770="","",IF(LEFT($B770,1)="━","",VLOOKUP($B770,'4. CÀI ĐẶT'!$A$2:$H$32,6,FALSE)))</f>
        <v/>
      </c>
      <c r="J770" s="13">
        <f>IF($A770="","",EOMONTH($A770,0))</f>
        <v/>
      </c>
      <c r="K770" s="67">
        <f>IF($B770="",0,IF(LEFT($B770,1)="━",0,$C770*VLOOKUP($B770,'4. CÀI ĐẶT'!$A$2:$H$32,7,FALSE)))</f>
        <v/>
      </c>
    </row>
    <row r="771">
      <c r="A771" s="8" t="n"/>
      <c r="B771" s="9" t="n"/>
      <c r="C771" s="65" t="n"/>
      <c r="D771" s="9" t="n"/>
      <c r="E771" s="66">
        <f>IF($B771="","",IF(LEFT($B771,1)="━","⚠️ Chọn hạng mục cụ thể",$C771*VLOOKUP($B771,'4. CÀI ĐẶT'!$A$2:$H$32,2,FALSE)))</f>
        <v/>
      </c>
      <c r="F771" s="67">
        <f>IF($B771="",0,IF(LEFT($B771,1)="━",0,$C771*VLOOKUP($B771,'4. CÀI ĐẶT'!$A$2:$H$32,3,FALSE)))</f>
        <v/>
      </c>
      <c r="G771" s="67">
        <f>IF($B771="",0,IF(LEFT($B771,1)="━",0,$C771*VLOOKUP($B771,'4. CÀI ĐẶT'!$A$2:$H$32,4,FALSE)))</f>
        <v/>
      </c>
      <c r="H771" s="67">
        <f>IF($B771="",0,IF(LEFT($B771,1)="━",0,$C771*VLOOKUP($B771,'4. CÀI ĐẶT'!$A$2:$H$32,5,FALSE)))</f>
        <v/>
      </c>
      <c r="I771">
        <f>IF($B771="","",IF(LEFT($B771,1)="━","",VLOOKUP($B771,'4. CÀI ĐẶT'!$A$2:$H$32,6,FALSE)))</f>
        <v/>
      </c>
      <c r="J771" s="13">
        <f>IF($A771="","",EOMONTH($A771,0))</f>
        <v/>
      </c>
      <c r="K771" s="67">
        <f>IF($B771="",0,IF(LEFT($B771,1)="━",0,$C771*VLOOKUP($B771,'4. CÀI ĐẶT'!$A$2:$H$32,7,FALSE)))</f>
        <v/>
      </c>
    </row>
    <row r="772">
      <c r="A772" s="8" t="n"/>
      <c r="B772" s="9" t="n"/>
      <c r="C772" s="65" t="n"/>
      <c r="D772" s="9" t="n"/>
      <c r="E772" s="66">
        <f>IF($B772="","",IF(LEFT($B772,1)="━","⚠️ Chọn hạng mục cụ thể",$C772*VLOOKUP($B772,'4. CÀI ĐẶT'!$A$2:$H$32,2,FALSE)))</f>
        <v/>
      </c>
      <c r="F772" s="67">
        <f>IF($B772="",0,IF(LEFT($B772,1)="━",0,$C772*VLOOKUP($B772,'4. CÀI ĐẶT'!$A$2:$H$32,3,FALSE)))</f>
        <v/>
      </c>
      <c r="G772" s="67">
        <f>IF($B772="",0,IF(LEFT($B772,1)="━",0,$C772*VLOOKUP($B772,'4. CÀI ĐẶT'!$A$2:$H$32,4,FALSE)))</f>
        <v/>
      </c>
      <c r="H772" s="67">
        <f>IF($B772="",0,IF(LEFT($B772,1)="━",0,$C772*VLOOKUP($B772,'4. CÀI ĐẶT'!$A$2:$H$32,5,FALSE)))</f>
        <v/>
      </c>
      <c r="I772">
        <f>IF($B772="","",IF(LEFT($B772,1)="━","",VLOOKUP($B772,'4. CÀI ĐẶT'!$A$2:$H$32,6,FALSE)))</f>
        <v/>
      </c>
      <c r="J772" s="13">
        <f>IF($A772="","",EOMONTH($A772,0))</f>
        <v/>
      </c>
      <c r="K772" s="67">
        <f>IF($B772="",0,IF(LEFT($B772,1)="━",0,$C772*VLOOKUP($B772,'4. CÀI ĐẶT'!$A$2:$H$32,7,FALSE)))</f>
        <v/>
      </c>
    </row>
    <row r="773">
      <c r="A773" s="8" t="n"/>
      <c r="B773" s="9" t="n"/>
      <c r="C773" s="65" t="n"/>
      <c r="D773" s="9" t="n"/>
      <c r="E773" s="66">
        <f>IF($B773="","",IF(LEFT($B773,1)="━","⚠️ Chọn hạng mục cụ thể",$C773*VLOOKUP($B773,'4. CÀI ĐẶT'!$A$2:$H$32,2,FALSE)))</f>
        <v/>
      </c>
      <c r="F773" s="67">
        <f>IF($B773="",0,IF(LEFT($B773,1)="━",0,$C773*VLOOKUP($B773,'4. CÀI ĐẶT'!$A$2:$H$32,3,FALSE)))</f>
        <v/>
      </c>
      <c r="G773" s="67">
        <f>IF($B773="",0,IF(LEFT($B773,1)="━",0,$C773*VLOOKUP($B773,'4. CÀI ĐẶT'!$A$2:$H$32,4,FALSE)))</f>
        <v/>
      </c>
      <c r="H773" s="67">
        <f>IF($B773="",0,IF(LEFT($B773,1)="━",0,$C773*VLOOKUP($B773,'4. CÀI ĐẶT'!$A$2:$H$32,5,FALSE)))</f>
        <v/>
      </c>
      <c r="I773">
        <f>IF($B773="","",IF(LEFT($B773,1)="━","",VLOOKUP($B773,'4. CÀI ĐẶT'!$A$2:$H$32,6,FALSE)))</f>
        <v/>
      </c>
      <c r="J773" s="13">
        <f>IF($A773="","",EOMONTH($A773,0))</f>
        <v/>
      </c>
      <c r="K773" s="67">
        <f>IF($B773="",0,IF(LEFT($B773,1)="━",0,$C773*VLOOKUP($B773,'4. CÀI ĐẶT'!$A$2:$H$32,7,FALSE)))</f>
        <v/>
      </c>
    </row>
    <row r="774">
      <c r="A774" s="8" t="n"/>
      <c r="B774" s="9" t="n"/>
      <c r="C774" s="65" t="n"/>
      <c r="D774" s="9" t="n"/>
      <c r="E774" s="66">
        <f>IF($B774="","",IF(LEFT($B774,1)="━","⚠️ Chọn hạng mục cụ thể",$C774*VLOOKUP($B774,'4. CÀI ĐẶT'!$A$2:$H$32,2,FALSE)))</f>
        <v/>
      </c>
      <c r="F774" s="67">
        <f>IF($B774="",0,IF(LEFT($B774,1)="━",0,$C774*VLOOKUP($B774,'4. CÀI ĐẶT'!$A$2:$H$32,3,FALSE)))</f>
        <v/>
      </c>
      <c r="G774" s="67">
        <f>IF($B774="",0,IF(LEFT($B774,1)="━",0,$C774*VLOOKUP($B774,'4. CÀI ĐẶT'!$A$2:$H$32,4,FALSE)))</f>
        <v/>
      </c>
      <c r="H774" s="67">
        <f>IF($B774="",0,IF(LEFT($B774,1)="━",0,$C774*VLOOKUP($B774,'4. CÀI ĐẶT'!$A$2:$H$32,5,FALSE)))</f>
        <v/>
      </c>
      <c r="I774">
        <f>IF($B774="","",IF(LEFT($B774,1)="━","",VLOOKUP($B774,'4. CÀI ĐẶT'!$A$2:$H$32,6,FALSE)))</f>
        <v/>
      </c>
      <c r="J774" s="13">
        <f>IF($A774="","",EOMONTH($A774,0))</f>
        <v/>
      </c>
      <c r="K774" s="67">
        <f>IF($B774="",0,IF(LEFT($B774,1)="━",0,$C774*VLOOKUP($B774,'4. CÀI ĐẶT'!$A$2:$H$32,7,FALSE)))</f>
        <v/>
      </c>
    </row>
    <row r="775">
      <c r="A775" s="8" t="n"/>
      <c r="B775" s="9" t="n"/>
      <c r="C775" s="65" t="n"/>
      <c r="D775" s="9" t="n"/>
      <c r="E775" s="66">
        <f>IF($B775="","",IF(LEFT($B775,1)="━","⚠️ Chọn hạng mục cụ thể",$C775*VLOOKUP($B775,'4. CÀI ĐẶT'!$A$2:$H$32,2,FALSE)))</f>
        <v/>
      </c>
      <c r="F775" s="67">
        <f>IF($B775="",0,IF(LEFT($B775,1)="━",0,$C775*VLOOKUP($B775,'4. CÀI ĐẶT'!$A$2:$H$32,3,FALSE)))</f>
        <v/>
      </c>
      <c r="G775" s="67">
        <f>IF($B775="",0,IF(LEFT($B775,1)="━",0,$C775*VLOOKUP($B775,'4. CÀI ĐẶT'!$A$2:$H$32,4,FALSE)))</f>
        <v/>
      </c>
      <c r="H775" s="67">
        <f>IF($B775="",0,IF(LEFT($B775,1)="━",0,$C775*VLOOKUP($B775,'4. CÀI ĐẶT'!$A$2:$H$32,5,FALSE)))</f>
        <v/>
      </c>
      <c r="I775">
        <f>IF($B775="","",IF(LEFT($B775,1)="━","",VLOOKUP($B775,'4. CÀI ĐẶT'!$A$2:$H$32,6,FALSE)))</f>
        <v/>
      </c>
      <c r="J775" s="13">
        <f>IF($A775="","",EOMONTH($A775,0))</f>
        <v/>
      </c>
      <c r="K775" s="67">
        <f>IF($B775="",0,IF(LEFT($B775,1)="━",0,$C775*VLOOKUP($B775,'4. CÀI ĐẶT'!$A$2:$H$32,7,FALSE)))</f>
        <v/>
      </c>
    </row>
    <row r="776">
      <c r="A776" s="8" t="n"/>
      <c r="B776" s="9" t="n"/>
      <c r="C776" s="65" t="n"/>
      <c r="D776" s="9" t="n"/>
      <c r="E776" s="66">
        <f>IF($B776="","",IF(LEFT($B776,1)="━","⚠️ Chọn hạng mục cụ thể",$C776*VLOOKUP($B776,'4. CÀI ĐẶT'!$A$2:$H$32,2,FALSE)))</f>
        <v/>
      </c>
      <c r="F776" s="67">
        <f>IF($B776="",0,IF(LEFT($B776,1)="━",0,$C776*VLOOKUP($B776,'4. CÀI ĐẶT'!$A$2:$H$32,3,FALSE)))</f>
        <v/>
      </c>
      <c r="G776" s="67">
        <f>IF($B776="",0,IF(LEFT($B776,1)="━",0,$C776*VLOOKUP($B776,'4. CÀI ĐẶT'!$A$2:$H$32,4,FALSE)))</f>
        <v/>
      </c>
      <c r="H776" s="67">
        <f>IF($B776="",0,IF(LEFT($B776,1)="━",0,$C776*VLOOKUP($B776,'4. CÀI ĐẶT'!$A$2:$H$32,5,FALSE)))</f>
        <v/>
      </c>
      <c r="I776">
        <f>IF($B776="","",IF(LEFT($B776,1)="━","",VLOOKUP($B776,'4. CÀI ĐẶT'!$A$2:$H$32,6,FALSE)))</f>
        <v/>
      </c>
      <c r="J776" s="13">
        <f>IF($A776="","",EOMONTH($A776,0))</f>
        <v/>
      </c>
      <c r="K776" s="67">
        <f>IF($B776="",0,IF(LEFT($B776,1)="━",0,$C776*VLOOKUP($B776,'4. CÀI ĐẶT'!$A$2:$H$32,7,FALSE)))</f>
        <v/>
      </c>
    </row>
    <row r="777">
      <c r="A777" s="8" t="n"/>
      <c r="B777" s="9" t="n"/>
      <c r="C777" s="65" t="n"/>
      <c r="D777" s="9" t="n"/>
      <c r="E777" s="66">
        <f>IF($B777="","",IF(LEFT($B777,1)="━","⚠️ Chọn hạng mục cụ thể",$C777*VLOOKUP($B777,'4. CÀI ĐẶT'!$A$2:$H$32,2,FALSE)))</f>
        <v/>
      </c>
      <c r="F777" s="67">
        <f>IF($B777="",0,IF(LEFT($B777,1)="━",0,$C777*VLOOKUP($B777,'4. CÀI ĐẶT'!$A$2:$H$32,3,FALSE)))</f>
        <v/>
      </c>
      <c r="G777" s="67">
        <f>IF($B777="",0,IF(LEFT($B777,1)="━",0,$C777*VLOOKUP($B777,'4. CÀI ĐẶT'!$A$2:$H$32,4,FALSE)))</f>
        <v/>
      </c>
      <c r="H777" s="67">
        <f>IF($B777="",0,IF(LEFT($B777,1)="━",0,$C777*VLOOKUP($B777,'4. CÀI ĐẶT'!$A$2:$H$32,5,FALSE)))</f>
        <v/>
      </c>
      <c r="I777">
        <f>IF($B777="","",IF(LEFT($B777,1)="━","",VLOOKUP($B777,'4. CÀI ĐẶT'!$A$2:$H$32,6,FALSE)))</f>
        <v/>
      </c>
      <c r="J777" s="13">
        <f>IF($A777="","",EOMONTH($A777,0))</f>
        <v/>
      </c>
      <c r="K777" s="67">
        <f>IF($B777="",0,IF(LEFT($B777,1)="━",0,$C777*VLOOKUP($B777,'4. CÀI ĐẶT'!$A$2:$H$32,7,FALSE)))</f>
        <v/>
      </c>
    </row>
    <row r="778">
      <c r="A778" s="8" t="n"/>
      <c r="B778" s="9" t="n"/>
      <c r="C778" s="65" t="n"/>
      <c r="D778" s="9" t="n"/>
      <c r="E778" s="66">
        <f>IF($B778="","",IF(LEFT($B778,1)="━","⚠️ Chọn hạng mục cụ thể",$C778*VLOOKUP($B778,'4. CÀI ĐẶT'!$A$2:$H$32,2,FALSE)))</f>
        <v/>
      </c>
      <c r="F778" s="67">
        <f>IF($B778="",0,IF(LEFT($B778,1)="━",0,$C778*VLOOKUP($B778,'4. CÀI ĐẶT'!$A$2:$H$32,3,FALSE)))</f>
        <v/>
      </c>
      <c r="G778" s="67">
        <f>IF($B778="",0,IF(LEFT($B778,1)="━",0,$C778*VLOOKUP($B778,'4. CÀI ĐẶT'!$A$2:$H$32,4,FALSE)))</f>
        <v/>
      </c>
      <c r="H778" s="67">
        <f>IF($B778="",0,IF(LEFT($B778,1)="━",0,$C778*VLOOKUP($B778,'4. CÀI ĐẶT'!$A$2:$H$32,5,FALSE)))</f>
        <v/>
      </c>
      <c r="I778">
        <f>IF($B778="","",IF(LEFT($B778,1)="━","",VLOOKUP($B778,'4. CÀI ĐẶT'!$A$2:$H$32,6,FALSE)))</f>
        <v/>
      </c>
      <c r="J778" s="13">
        <f>IF($A778="","",EOMONTH($A778,0))</f>
        <v/>
      </c>
      <c r="K778" s="67">
        <f>IF($B778="",0,IF(LEFT($B778,1)="━",0,$C778*VLOOKUP($B778,'4. CÀI ĐẶT'!$A$2:$H$32,7,FALSE)))</f>
        <v/>
      </c>
    </row>
    <row r="779">
      <c r="A779" s="8" t="n"/>
      <c r="B779" s="9" t="n"/>
      <c r="C779" s="65" t="n"/>
      <c r="D779" s="9" t="n"/>
      <c r="E779" s="66">
        <f>IF($B779="","",IF(LEFT($B779,1)="━","⚠️ Chọn hạng mục cụ thể",$C779*VLOOKUP($B779,'4. CÀI ĐẶT'!$A$2:$H$32,2,FALSE)))</f>
        <v/>
      </c>
      <c r="F779" s="67">
        <f>IF($B779="",0,IF(LEFT($B779,1)="━",0,$C779*VLOOKUP($B779,'4. CÀI ĐẶT'!$A$2:$H$32,3,FALSE)))</f>
        <v/>
      </c>
      <c r="G779" s="67">
        <f>IF($B779="",0,IF(LEFT($B779,1)="━",0,$C779*VLOOKUP($B779,'4. CÀI ĐẶT'!$A$2:$H$32,4,FALSE)))</f>
        <v/>
      </c>
      <c r="H779" s="67">
        <f>IF($B779="",0,IF(LEFT($B779,1)="━",0,$C779*VLOOKUP($B779,'4. CÀI ĐẶT'!$A$2:$H$32,5,FALSE)))</f>
        <v/>
      </c>
      <c r="I779">
        <f>IF($B779="","",IF(LEFT($B779,1)="━","",VLOOKUP($B779,'4. CÀI ĐẶT'!$A$2:$H$32,6,FALSE)))</f>
        <v/>
      </c>
      <c r="J779" s="13">
        <f>IF($A779="","",EOMONTH($A779,0))</f>
        <v/>
      </c>
      <c r="K779" s="67">
        <f>IF($B779="",0,IF(LEFT($B779,1)="━",0,$C779*VLOOKUP($B779,'4. CÀI ĐẶT'!$A$2:$H$32,7,FALSE)))</f>
        <v/>
      </c>
    </row>
    <row r="780">
      <c r="A780" s="8" t="n"/>
      <c r="B780" s="9" t="n"/>
      <c r="C780" s="65" t="n"/>
      <c r="D780" s="9" t="n"/>
      <c r="E780" s="66">
        <f>IF($B780="","",IF(LEFT($B780,1)="━","⚠️ Chọn hạng mục cụ thể",$C780*VLOOKUP($B780,'4. CÀI ĐẶT'!$A$2:$H$32,2,FALSE)))</f>
        <v/>
      </c>
      <c r="F780" s="67">
        <f>IF($B780="",0,IF(LEFT($B780,1)="━",0,$C780*VLOOKUP($B780,'4. CÀI ĐẶT'!$A$2:$H$32,3,FALSE)))</f>
        <v/>
      </c>
      <c r="G780" s="67">
        <f>IF($B780="",0,IF(LEFT($B780,1)="━",0,$C780*VLOOKUP($B780,'4. CÀI ĐẶT'!$A$2:$H$32,4,FALSE)))</f>
        <v/>
      </c>
      <c r="H780" s="67">
        <f>IF($B780="",0,IF(LEFT($B780,1)="━",0,$C780*VLOOKUP($B780,'4. CÀI ĐẶT'!$A$2:$H$32,5,FALSE)))</f>
        <v/>
      </c>
      <c r="I780">
        <f>IF($B780="","",IF(LEFT($B780,1)="━","",VLOOKUP($B780,'4. CÀI ĐẶT'!$A$2:$H$32,6,FALSE)))</f>
        <v/>
      </c>
      <c r="J780" s="13">
        <f>IF($A780="","",EOMONTH($A780,0))</f>
        <v/>
      </c>
      <c r="K780" s="67">
        <f>IF($B780="",0,IF(LEFT($B780,1)="━",0,$C780*VLOOKUP($B780,'4. CÀI ĐẶT'!$A$2:$H$32,7,FALSE)))</f>
        <v/>
      </c>
    </row>
    <row r="781">
      <c r="A781" s="8" t="n"/>
      <c r="B781" s="9" t="n"/>
      <c r="C781" s="65" t="n"/>
      <c r="D781" s="9" t="n"/>
      <c r="E781" s="66">
        <f>IF($B781="","",IF(LEFT($B781,1)="━","⚠️ Chọn hạng mục cụ thể",$C781*VLOOKUP($B781,'4. CÀI ĐẶT'!$A$2:$H$32,2,FALSE)))</f>
        <v/>
      </c>
      <c r="F781" s="67">
        <f>IF($B781="",0,IF(LEFT($B781,1)="━",0,$C781*VLOOKUP($B781,'4. CÀI ĐẶT'!$A$2:$H$32,3,FALSE)))</f>
        <v/>
      </c>
      <c r="G781" s="67">
        <f>IF($B781="",0,IF(LEFT($B781,1)="━",0,$C781*VLOOKUP($B781,'4. CÀI ĐẶT'!$A$2:$H$32,4,FALSE)))</f>
        <v/>
      </c>
      <c r="H781" s="67">
        <f>IF($B781="",0,IF(LEFT($B781,1)="━",0,$C781*VLOOKUP($B781,'4. CÀI ĐẶT'!$A$2:$H$32,5,FALSE)))</f>
        <v/>
      </c>
      <c r="I781">
        <f>IF($B781="","",IF(LEFT($B781,1)="━","",VLOOKUP($B781,'4. CÀI ĐẶT'!$A$2:$H$32,6,FALSE)))</f>
        <v/>
      </c>
      <c r="J781" s="13">
        <f>IF($A781="","",EOMONTH($A781,0))</f>
        <v/>
      </c>
      <c r="K781" s="67">
        <f>IF($B781="",0,IF(LEFT($B781,1)="━",0,$C781*VLOOKUP($B781,'4. CÀI ĐẶT'!$A$2:$H$32,7,FALSE)))</f>
        <v/>
      </c>
    </row>
    <row r="782">
      <c r="A782" s="8" t="n"/>
      <c r="B782" s="9" t="n"/>
      <c r="C782" s="65" t="n"/>
      <c r="D782" s="9" t="n"/>
      <c r="E782" s="66">
        <f>IF($B782="","",IF(LEFT($B782,1)="━","⚠️ Chọn hạng mục cụ thể",$C782*VLOOKUP($B782,'4. CÀI ĐẶT'!$A$2:$H$32,2,FALSE)))</f>
        <v/>
      </c>
      <c r="F782" s="67">
        <f>IF($B782="",0,IF(LEFT($B782,1)="━",0,$C782*VLOOKUP($B782,'4. CÀI ĐẶT'!$A$2:$H$32,3,FALSE)))</f>
        <v/>
      </c>
      <c r="G782" s="67">
        <f>IF($B782="",0,IF(LEFT($B782,1)="━",0,$C782*VLOOKUP($B782,'4. CÀI ĐẶT'!$A$2:$H$32,4,FALSE)))</f>
        <v/>
      </c>
      <c r="H782" s="67">
        <f>IF($B782="",0,IF(LEFT($B782,1)="━",0,$C782*VLOOKUP($B782,'4. CÀI ĐẶT'!$A$2:$H$32,5,FALSE)))</f>
        <v/>
      </c>
      <c r="I782">
        <f>IF($B782="","",IF(LEFT($B782,1)="━","",VLOOKUP($B782,'4. CÀI ĐẶT'!$A$2:$H$32,6,FALSE)))</f>
        <v/>
      </c>
      <c r="J782" s="13">
        <f>IF($A782="","",EOMONTH($A782,0))</f>
        <v/>
      </c>
      <c r="K782" s="67">
        <f>IF($B782="",0,IF(LEFT($B782,1)="━",0,$C782*VLOOKUP($B782,'4. CÀI ĐẶT'!$A$2:$H$32,7,FALSE)))</f>
        <v/>
      </c>
    </row>
    <row r="783">
      <c r="A783" s="8" t="n"/>
      <c r="B783" s="9" t="n"/>
      <c r="C783" s="65" t="n"/>
      <c r="D783" s="9" t="n"/>
      <c r="E783" s="66">
        <f>IF($B783="","",IF(LEFT($B783,1)="━","⚠️ Chọn hạng mục cụ thể",$C783*VLOOKUP($B783,'4. CÀI ĐẶT'!$A$2:$H$32,2,FALSE)))</f>
        <v/>
      </c>
      <c r="F783" s="67">
        <f>IF($B783="",0,IF(LEFT($B783,1)="━",0,$C783*VLOOKUP($B783,'4. CÀI ĐẶT'!$A$2:$H$32,3,FALSE)))</f>
        <v/>
      </c>
      <c r="G783" s="67">
        <f>IF($B783="",0,IF(LEFT($B783,1)="━",0,$C783*VLOOKUP($B783,'4. CÀI ĐẶT'!$A$2:$H$32,4,FALSE)))</f>
        <v/>
      </c>
      <c r="H783" s="67">
        <f>IF($B783="",0,IF(LEFT($B783,1)="━",0,$C783*VLOOKUP($B783,'4. CÀI ĐẶT'!$A$2:$H$32,5,FALSE)))</f>
        <v/>
      </c>
      <c r="I783">
        <f>IF($B783="","",IF(LEFT($B783,1)="━","",VLOOKUP($B783,'4. CÀI ĐẶT'!$A$2:$H$32,6,FALSE)))</f>
        <v/>
      </c>
      <c r="J783" s="13">
        <f>IF($A783="","",EOMONTH($A783,0))</f>
        <v/>
      </c>
      <c r="K783" s="67">
        <f>IF($B783="",0,IF(LEFT($B783,1)="━",0,$C783*VLOOKUP($B783,'4. CÀI ĐẶT'!$A$2:$H$32,7,FALSE)))</f>
        <v/>
      </c>
    </row>
    <row r="784">
      <c r="A784" s="8" t="n"/>
      <c r="B784" s="9" t="n"/>
      <c r="C784" s="65" t="n"/>
      <c r="D784" s="9" t="n"/>
      <c r="E784" s="66">
        <f>IF($B784="","",IF(LEFT($B784,1)="━","⚠️ Chọn hạng mục cụ thể",$C784*VLOOKUP($B784,'4. CÀI ĐẶT'!$A$2:$H$32,2,FALSE)))</f>
        <v/>
      </c>
      <c r="F784" s="67">
        <f>IF($B784="",0,IF(LEFT($B784,1)="━",0,$C784*VLOOKUP($B784,'4. CÀI ĐẶT'!$A$2:$H$32,3,FALSE)))</f>
        <v/>
      </c>
      <c r="G784" s="67">
        <f>IF($B784="",0,IF(LEFT($B784,1)="━",0,$C784*VLOOKUP($B784,'4. CÀI ĐẶT'!$A$2:$H$32,4,FALSE)))</f>
        <v/>
      </c>
      <c r="H784" s="67">
        <f>IF($B784="",0,IF(LEFT($B784,1)="━",0,$C784*VLOOKUP($B784,'4. CÀI ĐẶT'!$A$2:$H$32,5,FALSE)))</f>
        <v/>
      </c>
      <c r="I784">
        <f>IF($B784="","",IF(LEFT($B784,1)="━","",VLOOKUP($B784,'4. CÀI ĐẶT'!$A$2:$H$32,6,FALSE)))</f>
        <v/>
      </c>
      <c r="J784" s="13">
        <f>IF($A784="","",EOMONTH($A784,0))</f>
        <v/>
      </c>
      <c r="K784" s="67">
        <f>IF($B784="",0,IF(LEFT($B784,1)="━",0,$C784*VLOOKUP($B784,'4. CÀI ĐẶT'!$A$2:$H$32,7,FALSE)))</f>
        <v/>
      </c>
    </row>
    <row r="785">
      <c r="A785" s="8" t="n"/>
      <c r="B785" s="9" t="n"/>
      <c r="C785" s="65" t="n"/>
      <c r="D785" s="9" t="n"/>
      <c r="E785" s="66">
        <f>IF($B785="","",IF(LEFT($B785,1)="━","⚠️ Chọn hạng mục cụ thể",$C785*VLOOKUP($B785,'4. CÀI ĐẶT'!$A$2:$H$32,2,FALSE)))</f>
        <v/>
      </c>
      <c r="F785" s="67">
        <f>IF($B785="",0,IF(LEFT($B785,1)="━",0,$C785*VLOOKUP($B785,'4. CÀI ĐẶT'!$A$2:$H$32,3,FALSE)))</f>
        <v/>
      </c>
      <c r="G785" s="67">
        <f>IF($B785="",0,IF(LEFT($B785,1)="━",0,$C785*VLOOKUP($B785,'4. CÀI ĐẶT'!$A$2:$H$32,4,FALSE)))</f>
        <v/>
      </c>
      <c r="H785" s="67">
        <f>IF($B785="",0,IF(LEFT($B785,1)="━",0,$C785*VLOOKUP($B785,'4. CÀI ĐẶT'!$A$2:$H$32,5,FALSE)))</f>
        <v/>
      </c>
      <c r="I785">
        <f>IF($B785="","",IF(LEFT($B785,1)="━","",VLOOKUP($B785,'4. CÀI ĐẶT'!$A$2:$H$32,6,FALSE)))</f>
        <v/>
      </c>
      <c r="J785" s="13">
        <f>IF($A785="","",EOMONTH($A785,0))</f>
        <v/>
      </c>
      <c r="K785" s="67">
        <f>IF($B785="",0,IF(LEFT($B785,1)="━",0,$C785*VLOOKUP($B785,'4. CÀI ĐẶT'!$A$2:$H$32,7,FALSE)))</f>
        <v/>
      </c>
    </row>
    <row r="786">
      <c r="A786" s="8" t="n"/>
      <c r="B786" s="9" t="n"/>
      <c r="C786" s="65" t="n"/>
      <c r="D786" s="9" t="n"/>
      <c r="E786" s="66">
        <f>IF($B786="","",IF(LEFT($B786,1)="━","⚠️ Chọn hạng mục cụ thể",$C786*VLOOKUP($B786,'4. CÀI ĐẶT'!$A$2:$H$32,2,FALSE)))</f>
        <v/>
      </c>
      <c r="F786" s="67">
        <f>IF($B786="",0,IF(LEFT($B786,1)="━",0,$C786*VLOOKUP($B786,'4. CÀI ĐẶT'!$A$2:$H$32,3,FALSE)))</f>
        <v/>
      </c>
      <c r="G786" s="67">
        <f>IF($B786="",0,IF(LEFT($B786,1)="━",0,$C786*VLOOKUP($B786,'4. CÀI ĐẶT'!$A$2:$H$32,4,FALSE)))</f>
        <v/>
      </c>
      <c r="H786" s="67">
        <f>IF($B786="",0,IF(LEFT($B786,1)="━",0,$C786*VLOOKUP($B786,'4. CÀI ĐẶT'!$A$2:$H$32,5,FALSE)))</f>
        <v/>
      </c>
      <c r="I786">
        <f>IF($B786="","",IF(LEFT($B786,1)="━","",VLOOKUP($B786,'4. CÀI ĐẶT'!$A$2:$H$32,6,FALSE)))</f>
        <v/>
      </c>
      <c r="J786" s="13">
        <f>IF($A786="","",EOMONTH($A786,0))</f>
        <v/>
      </c>
      <c r="K786" s="67">
        <f>IF($B786="",0,IF(LEFT($B786,1)="━",0,$C786*VLOOKUP($B786,'4. CÀI ĐẶT'!$A$2:$H$32,7,FALSE)))</f>
        <v/>
      </c>
    </row>
    <row r="787">
      <c r="A787" s="8" t="n"/>
      <c r="B787" s="9" t="n"/>
      <c r="C787" s="65" t="n"/>
      <c r="D787" s="9" t="n"/>
      <c r="E787" s="66">
        <f>IF($B787="","",IF(LEFT($B787,1)="━","⚠️ Chọn hạng mục cụ thể",$C787*VLOOKUP($B787,'4. CÀI ĐẶT'!$A$2:$H$32,2,FALSE)))</f>
        <v/>
      </c>
      <c r="F787" s="67">
        <f>IF($B787="",0,IF(LEFT($B787,1)="━",0,$C787*VLOOKUP($B787,'4. CÀI ĐẶT'!$A$2:$H$32,3,FALSE)))</f>
        <v/>
      </c>
      <c r="G787" s="67">
        <f>IF($B787="",0,IF(LEFT($B787,1)="━",0,$C787*VLOOKUP($B787,'4. CÀI ĐẶT'!$A$2:$H$32,4,FALSE)))</f>
        <v/>
      </c>
      <c r="H787" s="67">
        <f>IF($B787="",0,IF(LEFT($B787,1)="━",0,$C787*VLOOKUP($B787,'4. CÀI ĐẶT'!$A$2:$H$32,5,FALSE)))</f>
        <v/>
      </c>
      <c r="I787">
        <f>IF($B787="","",IF(LEFT($B787,1)="━","",VLOOKUP($B787,'4. CÀI ĐẶT'!$A$2:$H$32,6,FALSE)))</f>
        <v/>
      </c>
      <c r="J787" s="13">
        <f>IF($A787="","",EOMONTH($A787,0))</f>
        <v/>
      </c>
      <c r="K787" s="67">
        <f>IF($B787="",0,IF(LEFT($B787,1)="━",0,$C787*VLOOKUP($B787,'4. CÀI ĐẶT'!$A$2:$H$32,7,FALSE)))</f>
        <v/>
      </c>
    </row>
    <row r="788">
      <c r="A788" s="8" t="n"/>
      <c r="B788" s="9" t="n"/>
      <c r="C788" s="65" t="n"/>
      <c r="D788" s="9" t="n"/>
      <c r="E788" s="66">
        <f>IF($B788="","",IF(LEFT($B788,1)="━","⚠️ Chọn hạng mục cụ thể",$C788*VLOOKUP($B788,'4. CÀI ĐẶT'!$A$2:$H$32,2,FALSE)))</f>
        <v/>
      </c>
      <c r="F788" s="67">
        <f>IF($B788="",0,IF(LEFT($B788,1)="━",0,$C788*VLOOKUP($B788,'4. CÀI ĐẶT'!$A$2:$H$32,3,FALSE)))</f>
        <v/>
      </c>
      <c r="G788" s="67">
        <f>IF($B788="",0,IF(LEFT($B788,1)="━",0,$C788*VLOOKUP($B788,'4. CÀI ĐẶT'!$A$2:$H$32,4,FALSE)))</f>
        <v/>
      </c>
      <c r="H788" s="67">
        <f>IF($B788="",0,IF(LEFT($B788,1)="━",0,$C788*VLOOKUP($B788,'4. CÀI ĐẶT'!$A$2:$H$32,5,FALSE)))</f>
        <v/>
      </c>
      <c r="I788">
        <f>IF($B788="","",IF(LEFT($B788,1)="━","",VLOOKUP($B788,'4. CÀI ĐẶT'!$A$2:$H$32,6,FALSE)))</f>
        <v/>
      </c>
      <c r="J788" s="13">
        <f>IF($A788="","",EOMONTH($A788,0))</f>
        <v/>
      </c>
      <c r="K788" s="67">
        <f>IF($B788="",0,IF(LEFT($B788,1)="━",0,$C788*VLOOKUP($B788,'4. CÀI ĐẶT'!$A$2:$H$32,7,FALSE)))</f>
        <v/>
      </c>
    </row>
    <row r="789">
      <c r="A789" s="8" t="n"/>
      <c r="B789" s="9" t="n"/>
      <c r="C789" s="65" t="n"/>
      <c r="D789" s="9" t="n"/>
      <c r="E789" s="66">
        <f>IF($B789="","",IF(LEFT($B789,1)="━","⚠️ Chọn hạng mục cụ thể",$C789*VLOOKUP($B789,'4. CÀI ĐẶT'!$A$2:$H$32,2,FALSE)))</f>
        <v/>
      </c>
      <c r="F789" s="67">
        <f>IF($B789="",0,IF(LEFT($B789,1)="━",0,$C789*VLOOKUP($B789,'4. CÀI ĐẶT'!$A$2:$H$32,3,FALSE)))</f>
        <v/>
      </c>
      <c r="G789" s="67">
        <f>IF($B789="",0,IF(LEFT($B789,1)="━",0,$C789*VLOOKUP($B789,'4. CÀI ĐẶT'!$A$2:$H$32,4,FALSE)))</f>
        <v/>
      </c>
      <c r="H789" s="67">
        <f>IF($B789="",0,IF(LEFT($B789,1)="━",0,$C789*VLOOKUP($B789,'4. CÀI ĐẶT'!$A$2:$H$32,5,FALSE)))</f>
        <v/>
      </c>
      <c r="I789">
        <f>IF($B789="","",IF(LEFT($B789,1)="━","",VLOOKUP($B789,'4. CÀI ĐẶT'!$A$2:$H$32,6,FALSE)))</f>
        <v/>
      </c>
      <c r="J789" s="13">
        <f>IF($A789="","",EOMONTH($A789,0))</f>
        <v/>
      </c>
      <c r="K789" s="67">
        <f>IF($B789="",0,IF(LEFT($B789,1)="━",0,$C789*VLOOKUP($B789,'4. CÀI ĐẶT'!$A$2:$H$32,7,FALSE)))</f>
        <v/>
      </c>
    </row>
    <row r="790">
      <c r="A790" s="8" t="n"/>
      <c r="B790" s="9" t="n"/>
      <c r="C790" s="65" t="n"/>
      <c r="D790" s="9" t="n"/>
      <c r="E790" s="66">
        <f>IF($B790="","",IF(LEFT($B790,1)="━","⚠️ Chọn hạng mục cụ thể",$C790*VLOOKUP($B790,'4. CÀI ĐẶT'!$A$2:$H$32,2,FALSE)))</f>
        <v/>
      </c>
      <c r="F790" s="67">
        <f>IF($B790="",0,IF(LEFT($B790,1)="━",0,$C790*VLOOKUP($B790,'4. CÀI ĐẶT'!$A$2:$H$32,3,FALSE)))</f>
        <v/>
      </c>
      <c r="G790" s="67">
        <f>IF($B790="",0,IF(LEFT($B790,1)="━",0,$C790*VLOOKUP($B790,'4. CÀI ĐẶT'!$A$2:$H$32,4,FALSE)))</f>
        <v/>
      </c>
      <c r="H790" s="67">
        <f>IF($B790="",0,IF(LEFT($B790,1)="━",0,$C790*VLOOKUP($B790,'4. CÀI ĐẶT'!$A$2:$H$32,5,FALSE)))</f>
        <v/>
      </c>
      <c r="I790">
        <f>IF($B790="","",IF(LEFT($B790,1)="━","",VLOOKUP($B790,'4. CÀI ĐẶT'!$A$2:$H$32,6,FALSE)))</f>
        <v/>
      </c>
      <c r="J790" s="13">
        <f>IF($A790="","",EOMONTH($A790,0))</f>
        <v/>
      </c>
      <c r="K790" s="67">
        <f>IF($B790="",0,IF(LEFT($B790,1)="━",0,$C790*VLOOKUP($B790,'4. CÀI ĐẶT'!$A$2:$H$32,7,FALSE)))</f>
        <v/>
      </c>
    </row>
    <row r="791">
      <c r="A791" s="8" t="n"/>
      <c r="B791" s="9" t="n"/>
      <c r="C791" s="65" t="n"/>
      <c r="D791" s="9" t="n"/>
      <c r="E791" s="66">
        <f>IF($B791="","",IF(LEFT($B791,1)="━","⚠️ Chọn hạng mục cụ thể",$C791*VLOOKUP($B791,'4. CÀI ĐẶT'!$A$2:$H$32,2,FALSE)))</f>
        <v/>
      </c>
      <c r="F791" s="67">
        <f>IF($B791="",0,IF(LEFT($B791,1)="━",0,$C791*VLOOKUP($B791,'4. CÀI ĐẶT'!$A$2:$H$32,3,FALSE)))</f>
        <v/>
      </c>
      <c r="G791" s="67">
        <f>IF($B791="",0,IF(LEFT($B791,1)="━",0,$C791*VLOOKUP($B791,'4. CÀI ĐẶT'!$A$2:$H$32,4,FALSE)))</f>
        <v/>
      </c>
      <c r="H791" s="67">
        <f>IF($B791="",0,IF(LEFT($B791,1)="━",0,$C791*VLOOKUP($B791,'4. CÀI ĐẶT'!$A$2:$H$32,5,FALSE)))</f>
        <v/>
      </c>
      <c r="I791">
        <f>IF($B791="","",IF(LEFT($B791,1)="━","",VLOOKUP($B791,'4. CÀI ĐẶT'!$A$2:$H$32,6,FALSE)))</f>
        <v/>
      </c>
      <c r="J791" s="13">
        <f>IF($A791="","",EOMONTH($A791,0))</f>
        <v/>
      </c>
      <c r="K791" s="67">
        <f>IF($B791="",0,IF(LEFT($B791,1)="━",0,$C791*VLOOKUP($B791,'4. CÀI ĐẶT'!$A$2:$H$32,7,FALSE)))</f>
        <v/>
      </c>
    </row>
    <row r="792">
      <c r="A792" s="8" t="n"/>
      <c r="B792" s="9" t="n"/>
      <c r="C792" s="65" t="n"/>
      <c r="D792" s="9" t="n"/>
      <c r="E792" s="66">
        <f>IF($B792="","",IF(LEFT($B792,1)="━","⚠️ Chọn hạng mục cụ thể",$C792*VLOOKUP($B792,'4. CÀI ĐẶT'!$A$2:$H$32,2,FALSE)))</f>
        <v/>
      </c>
      <c r="F792" s="67">
        <f>IF($B792="",0,IF(LEFT($B792,1)="━",0,$C792*VLOOKUP($B792,'4. CÀI ĐẶT'!$A$2:$H$32,3,FALSE)))</f>
        <v/>
      </c>
      <c r="G792" s="67">
        <f>IF($B792="",0,IF(LEFT($B792,1)="━",0,$C792*VLOOKUP($B792,'4. CÀI ĐẶT'!$A$2:$H$32,4,FALSE)))</f>
        <v/>
      </c>
      <c r="H792" s="67">
        <f>IF($B792="",0,IF(LEFT($B792,1)="━",0,$C792*VLOOKUP($B792,'4. CÀI ĐẶT'!$A$2:$H$32,5,FALSE)))</f>
        <v/>
      </c>
      <c r="I792">
        <f>IF($B792="","",IF(LEFT($B792,1)="━","",VLOOKUP($B792,'4. CÀI ĐẶT'!$A$2:$H$32,6,FALSE)))</f>
        <v/>
      </c>
      <c r="J792" s="13">
        <f>IF($A792="","",EOMONTH($A792,0))</f>
        <v/>
      </c>
      <c r="K792" s="67">
        <f>IF($B792="",0,IF(LEFT($B792,1)="━",0,$C792*VLOOKUP($B792,'4. CÀI ĐẶT'!$A$2:$H$32,7,FALSE)))</f>
        <v/>
      </c>
    </row>
    <row r="793">
      <c r="A793" s="8" t="n"/>
      <c r="B793" s="9" t="n"/>
      <c r="C793" s="65" t="n"/>
      <c r="D793" s="9" t="n"/>
      <c r="E793" s="66">
        <f>IF($B793="","",IF(LEFT($B793,1)="━","⚠️ Chọn hạng mục cụ thể",$C793*VLOOKUP($B793,'4. CÀI ĐẶT'!$A$2:$H$32,2,FALSE)))</f>
        <v/>
      </c>
      <c r="F793" s="67">
        <f>IF($B793="",0,IF(LEFT($B793,1)="━",0,$C793*VLOOKUP($B793,'4. CÀI ĐẶT'!$A$2:$H$32,3,FALSE)))</f>
        <v/>
      </c>
      <c r="G793" s="67">
        <f>IF($B793="",0,IF(LEFT($B793,1)="━",0,$C793*VLOOKUP($B793,'4. CÀI ĐẶT'!$A$2:$H$32,4,FALSE)))</f>
        <v/>
      </c>
      <c r="H793" s="67">
        <f>IF($B793="",0,IF(LEFT($B793,1)="━",0,$C793*VLOOKUP($B793,'4. CÀI ĐẶT'!$A$2:$H$32,5,FALSE)))</f>
        <v/>
      </c>
      <c r="I793">
        <f>IF($B793="","",IF(LEFT($B793,1)="━","",VLOOKUP($B793,'4. CÀI ĐẶT'!$A$2:$H$32,6,FALSE)))</f>
        <v/>
      </c>
      <c r="J793" s="13">
        <f>IF($A793="","",EOMONTH($A793,0))</f>
        <v/>
      </c>
      <c r="K793" s="67">
        <f>IF($B793="",0,IF(LEFT($B793,1)="━",0,$C793*VLOOKUP($B793,'4. CÀI ĐẶT'!$A$2:$H$32,7,FALSE)))</f>
        <v/>
      </c>
    </row>
    <row r="794">
      <c r="A794" s="8" t="n"/>
      <c r="B794" s="9" t="n"/>
      <c r="C794" s="65" t="n"/>
      <c r="D794" s="9" t="n"/>
      <c r="E794" s="66">
        <f>IF($B794="","",IF(LEFT($B794,1)="━","⚠️ Chọn hạng mục cụ thể",$C794*VLOOKUP($B794,'4. CÀI ĐẶT'!$A$2:$H$32,2,FALSE)))</f>
        <v/>
      </c>
      <c r="F794" s="67">
        <f>IF($B794="",0,IF(LEFT($B794,1)="━",0,$C794*VLOOKUP($B794,'4. CÀI ĐẶT'!$A$2:$H$32,3,FALSE)))</f>
        <v/>
      </c>
      <c r="G794" s="67">
        <f>IF($B794="",0,IF(LEFT($B794,1)="━",0,$C794*VLOOKUP($B794,'4. CÀI ĐẶT'!$A$2:$H$32,4,FALSE)))</f>
        <v/>
      </c>
      <c r="H794" s="67">
        <f>IF($B794="",0,IF(LEFT($B794,1)="━",0,$C794*VLOOKUP($B794,'4. CÀI ĐẶT'!$A$2:$H$32,5,FALSE)))</f>
        <v/>
      </c>
      <c r="I794">
        <f>IF($B794="","",IF(LEFT($B794,1)="━","",VLOOKUP($B794,'4. CÀI ĐẶT'!$A$2:$H$32,6,FALSE)))</f>
        <v/>
      </c>
      <c r="J794" s="13">
        <f>IF($A794="","",EOMONTH($A794,0))</f>
        <v/>
      </c>
      <c r="K794" s="67">
        <f>IF($B794="",0,IF(LEFT($B794,1)="━",0,$C794*VLOOKUP($B794,'4. CÀI ĐẶT'!$A$2:$H$32,7,FALSE)))</f>
        <v/>
      </c>
    </row>
    <row r="795">
      <c r="A795" s="8" t="n"/>
      <c r="B795" s="9" t="n"/>
      <c r="C795" s="65" t="n"/>
      <c r="D795" s="9" t="n"/>
      <c r="E795" s="66">
        <f>IF($B795="","",IF(LEFT($B795,1)="━","⚠️ Chọn hạng mục cụ thể",$C795*VLOOKUP($B795,'4. CÀI ĐẶT'!$A$2:$H$32,2,FALSE)))</f>
        <v/>
      </c>
      <c r="F795" s="67">
        <f>IF($B795="",0,IF(LEFT($B795,1)="━",0,$C795*VLOOKUP($B795,'4. CÀI ĐẶT'!$A$2:$H$32,3,FALSE)))</f>
        <v/>
      </c>
      <c r="G795" s="67">
        <f>IF($B795="",0,IF(LEFT($B795,1)="━",0,$C795*VLOOKUP($B795,'4. CÀI ĐẶT'!$A$2:$H$32,4,FALSE)))</f>
        <v/>
      </c>
      <c r="H795" s="67">
        <f>IF($B795="",0,IF(LEFT($B795,1)="━",0,$C795*VLOOKUP($B795,'4. CÀI ĐẶT'!$A$2:$H$32,5,FALSE)))</f>
        <v/>
      </c>
      <c r="I795">
        <f>IF($B795="","",IF(LEFT($B795,1)="━","",VLOOKUP($B795,'4. CÀI ĐẶT'!$A$2:$H$32,6,FALSE)))</f>
        <v/>
      </c>
      <c r="J795" s="13">
        <f>IF($A795="","",EOMONTH($A795,0))</f>
        <v/>
      </c>
      <c r="K795" s="67">
        <f>IF($B795="",0,IF(LEFT($B795,1)="━",0,$C795*VLOOKUP($B795,'4. CÀI ĐẶT'!$A$2:$H$32,7,FALSE)))</f>
        <v/>
      </c>
    </row>
    <row r="796">
      <c r="A796" s="8" t="n"/>
      <c r="B796" s="9" t="n"/>
      <c r="C796" s="65" t="n"/>
      <c r="D796" s="9" t="n"/>
      <c r="E796" s="66">
        <f>IF($B796="","",IF(LEFT($B796,1)="━","⚠️ Chọn hạng mục cụ thể",$C796*VLOOKUP($B796,'4. CÀI ĐẶT'!$A$2:$H$32,2,FALSE)))</f>
        <v/>
      </c>
      <c r="F796" s="67">
        <f>IF($B796="",0,IF(LEFT($B796,1)="━",0,$C796*VLOOKUP($B796,'4. CÀI ĐẶT'!$A$2:$H$32,3,FALSE)))</f>
        <v/>
      </c>
      <c r="G796" s="67">
        <f>IF($B796="",0,IF(LEFT($B796,1)="━",0,$C796*VLOOKUP($B796,'4. CÀI ĐẶT'!$A$2:$H$32,4,FALSE)))</f>
        <v/>
      </c>
      <c r="H796" s="67">
        <f>IF($B796="",0,IF(LEFT($B796,1)="━",0,$C796*VLOOKUP($B796,'4. CÀI ĐẶT'!$A$2:$H$32,5,FALSE)))</f>
        <v/>
      </c>
      <c r="I796">
        <f>IF($B796="","",IF(LEFT($B796,1)="━","",VLOOKUP($B796,'4. CÀI ĐẶT'!$A$2:$H$32,6,FALSE)))</f>
        <v/>
      </c>
      <c r="J796" s="13">
        <f>IF($A796="","",EOMONTH($A796,0))</f>
        <v/>
      </c>
      <c r="K796" s="67">
        <f>IF($B796="",0,IF(LEFT($B796,1)="━",0,$C796*VLOOKUP($B796,'4. CÀI ĐẶT'!$A$2:$H$32,7,FALSE)))</f>
        <v/>
      </c>
    </row>
    <row r="797">
      <c r="A797" s="8" t="n"/>
      <c r="B797" s="9" t="n"/>
      <c r="C797" s="65" t="n"/>
      <c r="D797" s="9" t="n"/>
      <c r="E797" s="66">
        <f>IF($B797="","",IF(LEFT($B797,1)="━","⚠️ Chọn hạng mục cụ thể",$C797*VLOOKUP($B797,'4. CÀI ĐẶT'!$A$2:$H$32,2,FALSE)))</f>
        <v/>
      </c>
      <c r="F797" s="67">
        <f>IF($B797="",0,IF(LEFT($B797,1)="━",0,$C797*VLOOKUP($B797,'4. CÀI ĐẶT'!$A$2:$H$32,3,FALSE)))</f>
        <v/>
      </c>
      <c r="G797" s="67">
        <f>IF($B797="",0,IF(LEFT($B797,1)="━",0,$C797*VLOOKUP($B797,'4. CÀI ĐẶT'!$A$2:$H$32,4,FALSE)))</f>
        <v/>
      </c>
      <c r="H797" s="67">
        <f>IF($B797="",0,IF(LEFT($B797,1)="━",0,$C797*VLOOKUP($B797,'4. CÀI ĐẶT'!$A$2:$H$32,5,FALSE)))</f>
        <v/>
      </c>
      <c r="I797">
        <f>IF($B797="","",IF(LEFT($B797,1)="━","",VLOOKUP($B797,'4. CÀI ĐẶT'!$A$2:$H$32,6,FALSE)))</f>
        <v/>
      </c>
      <c r="J797" s="13">
        <f>IF($A797="","",EOMONTH($A797,0))</f>
        <v/>
      </c>
      <c r="K797" s="67">
        <f>IF($B797="",0,IF(LEFT($B797,1)="━",0,$C797*VLOOKUP($B797,'4. CÀI ĐẶT'!$A$2:$H$32,7,FALSE)))</f>
        <v/>
      </c>
    </row>
    <row r="798">
      <c r="A798" s="8" t="n"/>
      <c r="B798" s="9" t="n"/>
      <c r="C798" s="65" t="n"/>
      <c r="D798" s="9" t="n"/>
      <c r="E798" s="66">
        <f>IF($B798="","",IF(LEFT($B798,1)="━","⚠️ Chọn hạng mục cụ thể",$C798*VLOOKUP($B798,'4. CÀI ĐẶT'!$A$2:$H$32,2,FALSE)))</f>
        <v/>
      </c>
      <c r="F798" s="67">
        <f>IF($B798="",0,IF(LEFT($B798,1)="━",0,$C798*VLOOKUP($B798,'4. CÀI ĐẶT'!$A$2:$H$32,3,FALSE)))</f>
        <v/>
      </c>
      <c r="G798" s="67">
        <f>IF($B798="",0,IF(LEFT($B798,1)="━",0,$C798*VLOOKUP($B798,'4. CÀI ĐẶT'!$A$2:$H$32,4,FALSE)))</f>
        <v/>
      </c>
      <c r="H798" s="67">
        <f>IF($B798="",0,IF(LEFT($B798,1)="━",0,$C798*VLOOKUP($B798,'4. CÀI ĐẶT'!$A$2:$H$32,5,FALSE)))</f>
        <v/>
      </c>
      <c r="I798">
        <f>IF($B798="","",IF(LEFT($B798,1)="━","",VLOOKUP($B798,'4. CÀI ĐẶT'!$A$2:$H$32,6,FALSE)))</f>
        <v/>
      </c>
      <c r="J798" s="13">
        <f>IF($A798="","",EOMONTH($A798,0))</f>
        <v/>
      </c>
      <c r="K798" s="67">
        <f>IF($B798="",0,IF(LEFT($B798,1)="━",0,$C798*VLOOKUP($B798,'4. CÀI ĐẶT'!$A$2:$H$32,7,FALSE)))</f>
        <v/>
      </c>
    </row>
    <row r="799">
      <c r="A799" s="8" t="n"/>
      <c r="B799" s="9" t="n"/>
      <c r="C799" s="65" t="n"/>
      <c r="D799" s="9" t="n"/>
      <c r="E799" s="66">
        <f>IF($B799="","",IF(LEFT($B799,1)="━","⚠️ Chọn hạng mục cụ thể",$C799*VLOOKUP($B799,'4. CÀI ĐẶT'!$A$2:$H$32,2,FALSE)))</f>
        <v/>
      </c>
      <c r="F799" s="67">
        <f>IF($B799="",0,IF(LEFT($B799,1)="━",0,$C799*VLOOKUP($B799,'4. CÀI ĐẶT'!$A$2:$H$32,3,FALSE)))</f>
        <v/>
      </c>
      <c r="G799" s="67">
        <f>IF($B799="",0,IF(LEFT($B799,1)="━",0,$C799*VLOOKUP($B799,'4. CÀI ĐẶT'!$A$2:$H$32,4,FALSE)))</f>
        <v/>
      </c>
      <c r="H799" s="67">
        <f>IF($B799="",0,IF(LEFT($B799,1)="━",0,$C799*VLOOKUP($B799,'4. CÀI ĐẶT'!$A$2:$H$32,5,FALSE)))</f>
        <v/>
      </c>
      <c r="I799">
        <f>IF($B799="","",IF(LEFT($B799,1)="━","",VLOOKUP($B799,'4. CÀI ĐẶT'!$A$2:$H$32,6,FALSE)))</f>
        <v/>
      </c>
      <c r="J799" s="13">
        <f>IF($A799="","",EOMONTH($A799,0))</f>
        <v/>
      </c>
      <c r="K799" s="67">
        <f>IF($B799="",0,IF(LEFT($B799,1)="━",0,$C799*VLOOKUP($B799,'4. CÀI ĐẶT'!$A$2:$H$32,7,FALSE)))</f>
        <v/>
      </c>
    </row>
    <row r="800">
      <c r="A800" s="8" t="n"/>
      <c r="B800" s="9" t="n"/>
      <c r="C800" s="65" t="n"/>
      <c r="D800" s="9" t="n"/>
      <c r="E800" s="66">
        <f>IF($B800="","",IF(LEFT($B800,1)="━","⚠️ Chọn hạng mục cụ thể",$C800*VLOOKUP($B800,'4. CÀI ĐẶT'!$A$2:$H$32,2,FALSE)))</f>
        <v/>
      </c>
      <c r="F800" s="67">
        <f>IF($B800="",0,IF(LEFT($B800,1)="━",0,$C800*VLOOKUP($B800,'4. CÀI ĐẶT'!$A$2:$H$32,3,FALSE)))</f>
        <v/>
      </c>
      <c r="G800" s="67">
        <f>IF($B800="",0,IF(LEFT($B800,1)="━",0,$C800*VLOOKUP($B800,'4. CÀI ĐẶT'!$A$2:$H$32,4,FALSE)))</f>
        <v/>
      </c>
      <c r="H800" s="67">
        <f>IF($B800="",0,IF(LEFT($B800,1)="━",0,$C800*VLOOKUP($B800,'4. CÀI ĐẶT'!$A$2:$H$32,5,FALSE)))</f>
        <v/>
      </c>
      <c r="I800">
        <f>IF($B800="","",IF(LEFT($B800,1)="━","",VLOOKUP($B800,'4. CÀI ĐẶT'!$A$2:$H$32,6,FALSE)))</f>
        <v/>
      </c>
      <c r="J800" s="13">
        <f>IF($A800="","",EOMONTH($A800,0))</f>
        <v/>
      </c>
      <c r="K800" s="67">
        <f>IF($B800="",0,IF(LEFT($B800,1)="━",0,$C800*VLOOKUP($B800,'4. CÀI ĐẶT'!$A$2:$H$32,7,FALSE)))</f>
        <v/>
      </c>
    </row>
    <row r="801">
      <c r="A801" s="8" t="n"/>
      <c r="B801" s="9" t="n"/>
      <c r="C801" s="65" t="n"/>
      <c r="D801" s="9" t="n"/>
      <c r="E801" s="66">
        <f>IF($B801="","",IF(LEFT($B801,1)="━","⚠️ Chọn hạng mục cụ thể",$C801*VLOOKUP($B801,'4. CÀI ĐẶT'!$A$2:$H$32,2,FALSE)))</f>
        <v/>
      </c>
      <c r="F801" s="67">
        <f>IF($B801="",0,IF(LEFT($B801,1)="━",0,$C801*VLOOKUP($B801,'4. CÀI ĐẶT'!$A$2:$H$32,3,FALSE)))</f>
        <v/>
      </c>
      <c r="G801" s="67">
        <f>IF($B801="",0,IF(LEFT($B801,1)="━",0,$C801*VLOOKUP($B801,'4. CÀI ĐẶT'!$A$2:$H$32,4,FALSE)))</f>
        <v/>
      </c>
      <c r="H801" s="67">
        <f>IF($B801="",0,IF(LEFT($B801,1)="━",0,$C801*VLOOKUP($B801,'4. CÀI ĐẶT'!$A$2:$H$32,5,FALSE)))</f>
        <v/>
      </c>
      <c r="I801">
        <f>IF($B801="","",IF(LEFT($B801,1)="━","",VLOOKUP($B801,'4. CÀI ĐẶT'!$A$2:$H$32,6,FALSE)))</f>
        <v/>
      </c>
      <c r="J801" s="13">
        <f>IF($A801="","",EOMONTH($A801,0))</f>
        <v/>
      </c>
      <c r="K801" s="67">
        <f>IF($B801="",0,IF(LEFT($B801,1)="━",0,$C801*VLOOKUP($B801,'4. CÀI ĐẶT'!$A$2:$H$32,7,FALSE)))</f>
        <v/>
      </c>
    </row>
    <row r="802">
      <c r="A802" s="8" t="n"/>
      <c r="B802" s="9" t="n"/>
      <c r="C802" s="65" t="n"/>
      <c r="D802" s="9" t="n"/>
      <c r="E802" s="66">
        <f>IF($B802="","",IF(LEFT($B802,1)="━","⚠️ Chọn hạng mục cụ thể",$C802*VLOOKUP($B802,'4. CÀI ĐẶT'!$A$2:$H$32,2,FALSE)))</f>
        <v/>
      </c>
      <c r="F802" s="67">
        <f>IF($B802="",0,IF(LEFT($B802,1)="━",0,$C802*VLOOKUP($B802,'4. CÀI ĐẶT'!$A$2:$H$32,3,FALSE)))</f>
        <v/>
      </c>
      <c r="G802" s="67">
        <f>IF($B802="",0,IF(LEFT($B802,1)="━",0,$C802*VLOOKUP($B802,'4. CÀI ĐẶT'!$A$2:$H$32,4,FALSE)))</f>
        <v/>
      </c>
      <c r="H802" s="67">
        <f>IF($B802="",0,IF(LEFT($B802,1)="━",0,$C802*VLOOKUP($B802,'4. CÀI ĐẶT'!$A$2:$H$32,5,FALSE)))</f>
        <v/>
      </c>
      <c r="I802">
        <f>IF($B802="","",IF(LEFT($B802,1)="━","",VLOOKUP($B802,'4. CÀI ĐẶT'!$A$2:$H$32,6,FALSE)))</f>
        <v/>
      </c>
      <c r="J802" s="13">
        <f>IF($A802="","",EOMONTH($A802,0))</f>
        <v/>
      </c>
      <c r="K802" s="67">
        <f>IF($B802="",0,IF(LEFT($B802,1)="━",0,$C802*VLOOKUP($B802,'4. CÀI ĐẶT'!$A$2:$H$32,7,FALSE)))</f>
        <v/>
      </c>
    </row>
    <row r="803">
      <c r="A803" s="8" t="n"/>
      <c r="B803" s="9" t="n"/>
      <c r="C803" s="65" t="n"/>
      <c r="D803" s="9" t="n"/>
      <c r="E803" s="66">
        <f>IF($B803="","",IF(LEFT($B803,1)="━","⚠️ Chọn hạng mục cụ thể",$C803*VLOOKUP($B803,'4. CÀI ĐẶT'!$A$2:$H$32,2,FALSE)))</f>
        <v/>
      </c>
      <c r="F803" s="67">
        <f>IF($B803="",0,IF(LEFT($B803,1)="━",0,$C803*VLOOKUP($B803,'4. CÀI ĐẶT'!$A$2:$H$32,3,FALSE)))</f>
        <v/>
      </c>
      <c r="G803" s="67">
        <f>IF($B803="",0,IF(LEFT($B803,1)="━",0,$C803*VLOOKUP($B803,'4. CÀI ĐẶT'!$A$2:$H$32,4,FALSE)))</f>
        <v/>
      </c>
      <c r="H803" s="67">
        <f>IF($B803="",0,IF(LEFT($B803,1)="━",0,$C803*VLOOKUP($B803,'4. CÀI ĐẶT'!$A$2:$H$32,5,FALSE)))</f>
        <v/>
      </c>
      <c r="I803">
        <f>IF($B803="","",IF(LEFT($B803,1)="━","",VLOOKUP($B803,'4. CÀI ĐẶT'!$A$2:$H$32,6,FALSE)))</f>
        <v/>
      </c>
      <c r="J803" s="13">
        <f>IF($A803="","",EOMONTH($A803,0))</f>
        <v/>
      </c>
      <c r="K803" s="67">
        <f>IF($B803="",0,IF(LEFT($B803,1)="━",0,$C803*VLOOKUP($B803,'4. CÀI ĐẶT'!$A$2:$H$32,7,FALSE)))</f>
        <v/>
      </c>
    </row>
    <row r="804">
      <c r="A804" s="8" t="n"/>
      <c r="B804" s="9" t="n"/>
      <c r="C804" s="65" t="n"/>
      <c r="D804" s="9" t="n"/>
      <c r="E804" s="66">
        <f>IF($B804="","",IF(LEFT($B804,1)="━","⚠️ Chọn hạng mục cụ thể",$C804*VLOOKUP($B804,'4. CÀI ĐẶT'!$A$2:$H$32,2,FALSE)))</f>
        <v/>
      </c>
      <c r="F804" s="67">
        <f>IF($B804="",0,IF(LEFT($B804,1)="━",0,$C804*VLOOKUP($B804,'4. CÀI ĐẶT'!$A$2:$H$32,3,FALSE)))</f>
        <v/>
      </c>
      <c r="G804" s="67">
        <f>IF($B804="",0,IF(LEFT($B804,1)="━",0,$C804*VLOOKUP($B804,'4. CÀI ĐẶT'!$A$2:$H$32,4,FALSE)))</f>
        <v/>
      </c>
      <c r="H804" s="67">
        <f>IF($B804="",0,IF(LEFT($B804,1)="━",0,$C804*VLOOKUP($B804,'4. CÀI ĐẶT'!$A$2:$H$32,5,FALSE)))</f>
        <v/>
      </c>
      <c r="I804">
        <f>IF($B804="","",IF(LEFT($B804,1)="━","",VLOOKUP($B804,'4. CÀI ĐẶT'!$A$2:$H$32,6,FALSE)))</f>
        <v/>
      </c>
      <c r="J804" s="13">
        <f>IF($A804="","",EOMONTH($A804,0))</f>
        <v/>
      </c>
      <c r="K804" s="67">
        <f>IF($B804="",0,IF(LEFT($B804,1)="━",0,$C804*VLOOKUP($B804,'4. CÀI ĐẶT'!$A$2:$H$32,7,FALSE)))</f>
        <v/>
      </c>
    </row>
    <row r="805">
      <c r="A805" s="8" t="n"/>
      <c r="B805" s="9" t="n"/>
      <c r="C805" s="65" t="n"/>
      <c r="D805" s="9" t="n"/>
      <c r="E805" s="66">
        <f>IF($B805="","",IF(LEFT($B805,1)="━","⚠️ Chọn hạng mục cụ thể",$C805*VLOOKUP($B805,'4. CÀI ĐẶT'!$A$2:$H$32,2,FALSE)))</f>
        <v/>
      </c>
      <c r="F805" s="67">
        <f>IF($B805="",0,IF(LEFT($B805,1)="━",0,$C805*VLOOKUP($B805,'4. CÀI ĐẶT'!$A$2:$H$32,3,FALSE)))</f>
        <v/>
      </c>
      <c r="G805" s="67">
        <f>IF($B805="",0,IF(LEFT($B805,1)="━",0,$C805*VLOOKUP($B805,'4. CÀI ĐẶT'!$A$2:$H$32,4,FALSE)))</f>
        <v/>
      </c>
      <c r="H805" s="67">
        <f>IF($B805="",0,IF(LEFT($B805,1)="━",0,$C805*VLOOKUP($B805,'4. CÀI ĐẶT'!$A$2:$H$32,5,FALSE)))</f>
        <v/>
      </c>
      <c r="I805">
        <f>IF($B805="","",IF(LEFT($B805,1)="━","",VLOOKUP($B805,'4. CÀI ĐẶT'!$A$2:$H$32,6,FALSE)))</f>
        <v/>
      </c>
      <c r="J805" s="13">
        <f>IF($A805="","",EOMONTH($A805,0))</f>
        <v/>
      </c>
      <c r="K805" s="67">
        <f>IF($B805="",0,IF(LEFT($B805,1)="━",0,$C805*VLOOKUP($B805,'4. CÀI ĐẶT'!$A$2:$H$32,7,FALSE)))</f>
        <v/>
      </c>
    </row>
    <row r="806">
      <c r="A806" s="8" t="n"/>
      <c r="B806" s="9" t="n"/>
      <c r="C806" s="65" t="n"/>
      <c r="D806" s="9" t="n"/>
      <c r="E806" s="66">
        <f>IF($B806="","",IF(LEFT($B806,1)="━","⚠️ Chọn hạng mục cụ thể",$C806*VLOOKUP($B806,'4. CÀI ĐẶT'!$A$2:$H$32,2,FALSE)))</f>
        <v/>
      </c>
      <c r="F806" s="67">
        <f>IF($B806="",0,IF(LEFT($B806,1)="━",0,$C806*VLOOKUP($B806,'4. CÀI ĐẶT'!$A$2:$H$32,3,FALSE)))</f>
        <v/>
      </c>
      <c r="G806" s="67">
        <f>IF($B806="",0,IF(LEFT($B806,1)="━",0,$C806*VLOOKUP($B806,'4. CÀI ĐẶT'!$A$2:$H$32,4,FALSE)))</f>
        <v/>
      </c>
      <c r="H806" s="67">
        <f>IF($B806="",0,IF(LEFT($B806,1)="━",0,$C806*VLOOKUP($B806,'4. CÀI ĐẶT'!$A$2:$H$32,5,FALSE)))</f>
        <v/>
      </c>
      <c r="I806">
        <f>IF($B806="","",IF(LEFT($B806,1)="━","",VLOOKUP($B806,'4. CÀI ĐẶT'!$A$2:$H$32,6,FALSE)))</f>
        <v/>
      </c>
      <c r="J806" s="13">
        <f>IF($A806="","",EOMONTH($A806,0))</f>
        <v/>
      </c>
      <c r="K806" s="67">
        <f>IF($B806="",0,IF(LEFT($B806,1)="━",0,$C806*VLOOKUP($B806,'4. CÀI ĐẶT'!$A$2:$H$32,7,FALSE)))</f>
        <v/>
      </c>
    </row>
    <row r="807">
      <c r="A807" s="8" t="n"/>
      <c r="B807" s="9" t="n"/>
      <c r="C807" s="65" t="n"/>
      <c r="D807" s="9" t="n"/>
      <c r="E807" s="66">
        <f>IF($B807="","",IF(LEFT($B807,1)="━","⚠️ Chọn hạng mục cụ thể",$C807*VLOOKUP($B807,'4. CÀI ĐẶT'!$A$2:$H$32,2,FALSE)))</f>
        <v/>
      </c>
      <c r="F807" s="67">
        <f>IF($B807="",0,IF(LEFT($B807,1)="━",0,$C807*VLOOKUP($B807,'4. CÀI ĐẶT'!$A$2:$H$32,3,FALSE)))</f>
        <v/>
      </c>
      <c r="G807" s="67">
        <f>IF($B807="",0,IF(LEFT($B807,1)="━",0,$C807*VLOOKUP($B807,'4. CÀI ĐẶT'!$A$2:$H$32,4,FALSE)))</f>
        <v/>
      </c>
      <c r="H807" s="67">
        <f>IF($B807="",0,IF(LEFT($B807,1)="━",0,$C807*VLOOKUP($B807,'4. CÀI ĐẶT'!$A$2:$H$32,5,FALSE)))</f>
        <v/>
      </c>
      <c r="I807">
        <f>IF($B807="","",IF(LEFT($B807,1)="━","",VLOOKUP($B807,'4. CÀI ĐẶT'!$A$2:$H$32,6,FALSE)))</f>
        <v/>
      </c>
      <c r="J807" s="13">
        <f>IF($A807="","",EOMONTH($A807,0))</f>
        <v/>
      </c>
      <c r="K807" s="67">
        <f>IF($B807="",0,IF(LEFT($B807,1)="━",0,$C807*VLOOKUP($B807,'4. CÀI ĐẶT'!$A$2:$H$32,7,FALSE)))</f>
        <v/>
      </c>
    </row>
    <row r="808">
      <c r="A808" s="8" t="n"/>
      <c r="B808" s="9" t="n"/>
      <c r="C808" s="65" t="n"/>
      <c r="D808" s="9" t="n"/>
      <c r="E808" s="66">
        <f>IF($B808="","",IF(LEFT($B808,1)="━","⚠️ Chọn hạng mục cụ thể",$C808*VLOOKUP($B808,'4. CÀI ĐẶT'!$A$2:$H$32,2,FALSE)))</f>
        <v/>
      </c>
      <c r="F808" s="67">
        <f>IF($B808="",0,IF(LEFT($B808,1)="━",0,$C808*VLOOKUP($B808,'4. CÀI ĐẶT'!$A$2:$H$32,3,FALSE)))</f>
        <v/>
      </c>
      <c r="G808" s="67">
        <f>IF($B808="",0,IF(LEFT($B808,1)="━",0,$C808*VLOOKUP($B808,'4. CÀI ĐẶT'!$A$2:$H$32,4,FALSE)))</f>
        <v/>
      </c>
      <c r="H808" s="67">
        <f>IF($B808="",0,IF(LEFT($B808,1)="━",0,$C808*VLOOKUP($B808,'4. CÀI ĐẶT'!$A$2:$H$32,5,FALSE)))</f>
        <v/>
      </c>
      <c r="I808">
        <f>IF($B808="","",IF(LEFT($B808,1)="━","",VLOOKUP($B808,'4. CÀI ĐẶT'!$A$2:$H$32,6,FALSE)))</f>
        <v/>
      </c>
      <c r="J808" s="13">
        <f>IF($A808="","",EOMONTH($A808,0))</f>
        <v/>
      </c>
      <c r="K808" s="67">
        <f>IF($B808="",0,IF(LEFT($B808,1)="━",0,$C808*VLOOKUP($B808,'4. CÀI ĐẶT'!$A$2:$H$32,7,FALSE)))</f>
        <v/>
      </c>
    </row>
    <row r="809">
      <c r="A809" s="8" t="n"/>
      <c r="B809" s="9" t="n"/>
      <c r="C809" s="65" t="n"/>
      <c r="D809" s="9" t="n"/>
      <c r="E809" s="66">
        <f>IF($B809="","",IF(LEFT($B809,1)="━","⚠️ Chọn hạng mục cụ thể",$C809*VLOOKUP($B809,'4. CÀI ĐẶT'!$A$2:$H$32,2,FALSE)))</f>
        <v/>
      </c>
      <c r="F809" s="67">
        <f>IF($B809="",0,IF(LEFT($B809,1)="━",0,$C809*VLOOKUP($B809,'4. CÀI ĐẶT'!$A$2:$H$32,3,FALSE)))</f>
        <v/>
      </c>
      <c r="G809" s="67">
        <f>IF($B809="",0,IF(LEFT($B809,1)="━",0,$C809*VLOOKUP($B809,'4. CÀI ĐẶT'!$A$2:$H$32,4,FALSE)))</f>
        <v/>
      </c>
      <c r="H809" s="67">
        <f>IF($B809="",0,IF(LEFT($B809,1)="━",0,$C809*VLOOKUP($B809,'4. CÀI ĐẶT'!$A$2:$H$32,5,FALSE)))</f>
        <v/>
      </c>
      <c r="I809">
        <f>IF($B809="","",IF(LEFT($B809,1)="━","",VLOOKUP($B809,'4. CÀI ĐẶT'!$A$2:$H$32,6,FALSE)))</f>
        <v/>
      </c>
      <c r="J809" s="13">
        <f>IF($A809="","",EOMONTH($A809,0))</f>
        <v/>
      </c>
      <c r="K809" s="67">
        <f>IF($B809="",0,IF(LEFT($B809,1)="━",0,$C809*VLOOKUP($B809,'4. CÀI ĐẶT'!$A$2:$H$32,7,FALSE)))</f>
        <v/>
      </c>
    </row>
    <row r="810">
      <c r="A810" s="8" t="n"/>
      <c r="B810" s="9" t="n"/>
      <c r="C810" s="65" t="n"/>
      <c r="D810" s="9" t="n"/>
      <c r="E810" s="66">
        <f>IF($B810="","",IF(LEFT($B810,1)="━","⚠️ Chọn hạng mục cụ thể",$C810*VLOOKUP($B810,'4. CÀI ĐẶT'!$A$2:$H$32,2,FALSE)))</f>
        <v/>
      </c>
      <c r="F810" s="67">
        <f>IF($B810="",0,IF(LEFT($B810,1)="━",0,$C810*VLOOKUP($B810,'4. CÀI ĐẶT'!$A$2:$H$32,3,FALSE)))</f>
        <v/>
      </c>
      <c r="G810" s="67">
        <f>IF($B810="",0,IF(LEFT($B810,1)="━",0,$C810*VLOOKUP($B810,'4. CÀI ĐẶT'!$A$2:$H$32,4,FALSE)))</f>
        <v/>
      </c>
      <c r="H810" s="67">
        <f>IF($B810="",0,IF(LEFT($B810,1)="━",0,$C810*VLOOKUP($B810,'4. CÀI ĐẶT'!$A$2:$H$32,5,FALSE)))</f>
        <v/>
      </c>
      <c r="I810">
        <f>IF($B810="","",IF(LEFT($B810,1)="━","",VLOOKUP($B810,'4. CÀI ĐẶT'!$A$2:$H$32,6,FALSE)))</f>
        <v/>
      </c>
      <c r="J810" s="13">
        <f>IF($A810="","",EOMONTH($A810,0))</f>
        <v/>
      </c>
      <c r="K810" s="67">
        <f>IF($B810="",0,IF(LEFT($B810,1)="━",0,$C810*VLOOKUP($B810,'4. CÀI ĐẶT'!$A$2:$H$32,7,FALSE)))</f>
        <v/>
      </c>
    </row>
    <row r="811">
      <c r="A811" s="8" t="n"/>
      <c r="B811" s="9" t="n"/>
      <c r="C811" s="65" t="n"/>
      <c r="D811" s="9" t="n"/>
      <c r="E811" s="66">
        <f>IF($B811="","",IF(LEFT($B811,1)="━","⚠️ Chọn hạng mục cụ thể",$C811*VLOOKUP($B811,'4. CÀI ĐẶT'!$A$2:$H$32,2,FALSE)))</f>
        <v/>
      </c>
      <c r="F811" s="67">
        <f>IF($B811="",0,IF(LEFT($B811,1)="━",0,$C811*VLOOKUP($B811,'4. CÀI ĐẶT'!$A$2:$H$32,3,FALSE)))</f>
        <v/>
      </c>
      <c r="G811" s="67">
        <f>IF($B811="",0,IF(LEFT($B811,1)="━",0,$C811*VLOOKUP($B811,'4. CÀI ĐẶT'!$A$2:$H$32,4,FALSE)))</f>
        <v/>
      </c>
      <c r="H811" s="67">
        <f>IF($B811="",0,IF(LEFT($B811,1)="━",0,$C811*VLOOKUP($B811,'4. CÀI ĐẶT'!$A$2:$H$32,5,FALSE)))</f>
        <v/>
      </c>
      <c r="I811">
        <f>IF($B811="","",IF(LEFT($B811,1)="━","",VLOOKUP($B811,'4. CÀI ĐẶT'!$A$2:$H$32,6,FALSE)))</f>
        <v/>
      </c>
      <c r="J811" s="13">
        <f>IF($A811="","",EOMONTH($A811,0))</f>
        <v/>
      </c>
      <c r="K811" s="67">
        <f>IF($B811="",0,IF(LEFT($B811,1)="━",0,$C811*VLOOKUP($B811,'4. CÀI ĐẶT'!$A$2:$H$32,7,FALSE)))</f>
        <v/>
      </c>
    </row>
    <row r="812">
      <c r="A812" s="8" t="n"/>
      <c r="B812" s="9" t="n"/>
      <c r="C812" s="65" t="n"/>
      <c r="D812" s="9" t="n"/>
      <c r="E812" s="66">
        <f>IF($B812="","",IF(LEFT($B812,1)="━","⚠️ Chọn hạng mục cụ thể",$C812*VLOOKUP($B812,'4. CÀI ĐẶT'!$A$2:$H$32,2,FALSE)))</f>
        <v/>
      </c>
      <c r="F812" s="67">
        <f>IF($B812="",0,IF(LEFT($B812,1)="━",0,$C812*VLOOKUP($B812,'4. CÀI ĐẶT'!$A$2:$H$32,3,FALSE)))</f>
        <v/>
      </c>
      <c r="G812" s="67">
        <f>IF($B812="",0,IF(LEFT($B812,1)="━",0,$C812*VLOOKUP($B812,'4. CÀI ĐẶT'!$A$2:$H$32,4,FALSE)))</f>
        <v/>
      </c>
      <c r="H812" s="67">
        <f>IF($B812="",0,IF(LEFT($B812,1)="━",0,$C812*VLOOKUP($B812,'4. CÀI ĐẶT'!$A$2:$H$32,5,FALSE)))</f>
        <v/>
      </c>
      <c r="I812">
        <f>IF($B812="","",IF(LEFT($B812,1)="━","",VLOOKUP($B812,'4. CÀI ĐẶT'!$A$2:$H$32,6,FALSE)))</f>
        <v/>
      </c>
      <c r="J812" s="13">
        <f>IF($A812="","",EOMONTH($A812,0))</f>
        <v/>
      </c>
      <c r="K812" s="67">
        <f>IF($B812="",0,IF(LEFT($B812,1)="━",0,$C812*VLOOKUP($B812,'4. CÀI ĐẶT'!$A$2:$H$32,7,FALSE)))</f>
        <v/>
      </c>
    </row>
    <row r="813">
      <c r="A813" s="8" t="n"/>
      <c r="B813" s="9" t="n"/>
      <c r="C813" s="65" t="n"/>
      <c r="D813" s="9" t="n"/>
      <c r="E813" s="66">
        <f>IF($B813="","",IF(LEFT($B813,1)="━","⚠️ Chọn hạng mục cụ thể",$C813*VLOOKUP($B813,'4. CÀI ĐẶT'!$A$2:$H$32,2,FALSE)))</f>
        <v/>
      </c>
      <c r="F813" s="67">
        <f>IF($B813="",0,IF(LEFT($B813,1)="━",0,$C813*VLOOKUP($B813,'4. CÀI ĐẶT'!$A$2:$H$32,3,FALSE)))</f>
        <v/>
      </c>
      <c r="G813" s="67">
        <f>IF($B813="",0,IF(LEFT($B813,1)="━",0,$C813*VLOOKUP($B813,'4. CÀI ĐẶT'!$A$2:$H$32,4,FALSE)))</f>
        <v/>
      </c>
      <c r="H813" s="67">
        <f>IF($B813="",0,IF(LEFT($B813,1)="━",0,$C813*VLOOKUP($B813,'4. CÀI ĐẶT'!$A$2:$H$32,5,FALSE)))</f>
        <v/>
      </c>
      <c r="I813">
        <f>IF($B813="","",IF(LEFT($B813,1)="━","",VLOOKUP($B813,'4. CÀI ĐẶT'!$A$2:$H$32,6,FALSE)))</f>
        <v/>
      </c>
      <c r="J813" s="13">
        <f>IF($A813="","",EOMONTH($A813,0))</f>
        <v/>
      </c>
      <c r="K813" s="67">
        <f>IF($B813="",0,IF(LEFT($B813,1)="━",0,$C813*VLOOKUP($B813,'4. CÀI ĐẶT'!$A$2:$H$32,7,FALSE)))</f>
        <v/>
      </c>
    </row>
    <row r="814">
      <c r="A814" s="8" t="n"/>
      <c r="B814" s="9" t="n"/>
      <c r="C814" s="65" t="n"/>
      <c r="D814" s="9" t="n"/>
      <c r="E814" s="66">
        <f>IF($B814="","",IF(LEFT($B814,1)="━","⚠️ Chọn hạng mục cụ thể",$C814*VLOOKUP($B814,'4. CÀI ĐẶT'!$A$2:$H$32,2,FALSE)))</f>
        <v/>
      </c>
      <c r="F814" s="67">
        <f>IF($B814="",0,IF(LEFT($B814,1)="━",0,$C814*VLOOKUP($B814,'4. CÀI ĐẶT'!$A$2:$H$32,3,FALSE)))</f>
        <v/>
      </c>
      <c r="G814" s="67">
        <f>IF($B814="",0,IF(LEFT($B814,1)="━",0,$C814*VLOOKUP($B814,'4. CÀI ĐẶT'!$A$2:$H$32,4,FALSE)))</f>
        <v/>
      </c>
      <c r="H814" s="67">
        <f>IF($B814="",0,IF(LEFT($B814,1)="━",0,$C814*VLOOKUP($B814,'4. CÀI ĐẶT'!$A$2:$H$32,5,FALSE)))</f>
        <v/>
      </c>
      <c r="I814">
        <f>IF($B814="","",IF(LEFT($B814,1)="━","",VLOOKUP($B814,'4. CÀI ĐẶT'!$A$2:$H$32,6,FALSE)))</f>
        <v/>
      </c>
      <c r="J814" s="13">
        <f>IF($A814="","",EOMONTH($A814,0))</f>
        <v/>
      </c>
      <c r="K814" s="67">
        <f>IF($B814="",0,IF(LEFT($B814,1)="━",0,$C814*VLOOKUP($B814,'4. CÀI ĐẶT'!$A$2:$H$32,7,FALSE)))</f>
        <v/>
      </c>
    </row>
    <row r="815">
      <c r="A815" s="8" t="n"/>
      <c r="B815" s="9" t="n"/>
      <c r="C815" s="65" t="n"/>
      <c r="D815" s="9" t="n"/>
      <c r="E815" s="66">
        <f>IF($B815="","",IF(LEFT($B815,1)="━","⚠️ Chọn hạng mục cụ thể",$C815*VLOOKUP($B815,'4. CÀI ĐẶT'!$A$2:$H$32,2,FALSE)))</f>
        <v/>
      </c>
      <c r="F815" s="67">
        <f>IF($B815="",0,IF(LEFT($B815,1)="━",0,$C815*VLOOKUP($B815,'4. CÀI ĐẶT'!$A$2:$H$32,3,FALSE)))</f>
        <v/>
      </c>
      <c r="G815" s="67">
        <f>IF($B815="",0,IF(LEFT($B815,1)="━",0,$C815*VLOOKUP($B815,'4. CÀI ĐẶT'!$A$2:$H$32,4,FALSE)))</f>
        <v/>
      </c>
      <c r="H815" s="67">
        <f>IF($B815="",0,IF(LEFT($B815,1)="━",0,$C815*VLOOKUP($B815,'4. CÀI ĐẶT'!$A$2:$H$32,5,FALSE)))</f>
        <v/>
      </c>
      <c r="I815">
        <f>IF($B815="","",IF(LEFT($B815,1)="━","",VLOOKUP($B815,'4. CÀI ĐẶT'!$A$2:$H$32,6,FALSE)))</f>
        <v/>
      </c>
      <c r="J815" s="13">
        <f>IF($A815="","",EOMONTH($A815,0))</f>
        <v/>
      </c>
      <c r="K815" s="67">
        <f>IF($B815="",0,IF(LEFT($B815,1)="━",0,$C815*VLOOKUP($B815,'4. CÀI ĐẶT'!$A$2:$H$32,7,FALSE)))</f>
        <v/>
      </c>
    </row>
    <row r="816">
      <c r="A816" s="8" t="n"/>
      <c r="B816" s="9" t="n"/>
      <c r="C816" s="65" t="n"/>
      <c r="D816" s="9" t="n"/>
      <c r="E816" s="66">
        <f>IF($B816="","",IF(LEFT($B816,1)="━","⚠️ Chọn hạng mục cụ thể",$C816*VLOOKUP($B816,'4. CÀI ĐẶT'!$A$2:$H$32,2,FALSE)))</f>
        <v/>
      </c>
      <c r="F816" s="67">
        <f>IF($B816="",0,IF(LEFT($B816,1)="━",0,$C816*VLOOKUP($B816,'4. CÀI ĐẶT'!$A$2:$H$32,3,FALSE)))</f>
        <v/>
      </c>
      <c r="G816" s="67">
        <f>IF($B816="",0,IF(LEFT($B816,1)="━",0,$C816*VLOOKUP($B816,'4. CÀI ĐẶT'!$A$2:$H$32,4,FALSE)))</f>
        <v/>
      </c>
      <c r="H816" s="67">
        <f>IF($B816="",0,IF(LEFT($B816,1)="━",0,$C816*VLOOKUP($B816,'4. CÀI ĐẶT'!$A$2:$H$32,5,FALSE)))</f>
        <v/>
      </c>
      <c r="I816">
        <f>IF($B816="","",IF(LEFT($B816,1)="━","",VLOOKUP($B816,'4. CÀI ĐẶT'!$A$2:$H$32,6,FALSE)))</f>
        <v/>
      </c>
      <c r="J816" s="13">
        <f>IF($A816="","",EOMONTH($A816,0))</f>
        <v/>
      </c>
      <c r="K816" s="67">
        <f>IF($B816="",0,IF(LEFT($B816,1)="━",0,$C816*VLOOKUP($B816,'4. CÀI ĐẶT'!$A$2:$H$32,7,FALSE)))</f>
        <v/>
      </c>
    </row>
    <row r="817">
      <c r="A817" s="8" t="n"/>
      <c r="B817" s="9" t="n"/>
      <c r="C817" s="65" t="n"/>
      <c r="D817" s="9" t="n"/>
      <c r="E817" s="66">
        <f>IF($B817="","",IF(LEFT($B817,1)="━","⚠️ Chọn hạng mục cụ thể",$C817*VLOOKUP($B817,'4. CÀI ĐẶT'!$A$2:$H$32,2,FALSE)))</f>
        <v/>
      </c>
      <c r="F817" s="67">
        <f>IF($B817="",0,IF(LEFT($B817,1)="━",0,$C817*VLOOKUP($B817,'4. CÀI ĐẶT'!$A$2:$H$32,3,FALSE)))</f>
        <v/>
      </c>
      <c r="G817" s="67">
        <f>IF($B817="",0,IF(LEFT($B817,1)="━",0,$C817*VLOOKUP($B817,'4. CÀI ĐẶT'!$A$2:$H$32,4,FALSE)))</f>
        <v/>
      </c>
      <c r="H817" s="67">
        <f>IF($B817="",0,IF(LEFT($B817,1)="━",0,$C817*VLOOKUP($B817,'4. CÀI ĐẶT'!$A$2:$H$32,5,FALSE)))</f>
        <v/>
      </c>
      <c r="I817">
        <f>IF($B817="","",IF(LEFT($B817,1)="━","",VLOOKUP($B817,'4. CÀI ĐẶT'!$A$2:$H$32,6,FALSE)))</f>
        <v/>
      </c>
      <c r="J817" s="13">
        <f>IF($A817="","",EOMONTH($A817,0))</f>
        <v/>
      </c>
      <c r="K817" s="67">
        <f>IF($B817="",0,IF(LEFT($B817,1)="━",0,$C817*VLOOKUP($B817,'4. CÀI ĐẶT'!$A$2:$H$32,7,FALSE)))</f>
        <v/>
      </c>
    </row>
    <row r="818">
      <c r="A818" s="8" t="n"/>
      <c r="B818" s="9" t="n"/>
      <c r="C818" s="65" t="n"/>
      <c r="D818" s="9" t="n"/>
      <c r="E818" s="66">
        <f>IF($B818="","",IF(LEFT($B818,1)="━","⚠️ Chọn hạng mục cụ thể",$C818*VLOOKUP($B818,'4. CÀI ĐẶT'!$A$2:$H$32,2,FALSE)))</f>
        <v/>
      </c>
      <c r="F818" s="67">
        <f>IF($B818="",0,IF(LEFT($B818,1)="━",0,$C818*VLOOKUP($B818,'4. CÀI ĐẶT'!$A$2:$H$32,3,FALSE)))</f>
        <v/>
      </c>
      <c r="G818" s="67">
        <f>IF($B818="",0,IF(LEFT($B818,1)="━",0,$C818*VLOOKUP($B818,'4. CÀI ĐẶT'!$A$2:$H$32,4,FALSE)))</f>
        <v/>
      </c>
      <c r="H818" s="67">
        <f>IF($B818="",0,IF(LEFT($B818,1)="━",0,$C818*VLOOKUP($B818,'4. CÀI ĐẶT'!$A$2:$H$32,5,FALSE)))</f>
        <v/>
      </c>
      <c r="I818">
        <f>IF($B818="","",IF(LEFT($B818,1)="━","",VLOOKUP($B818,'4. CÀI ĐẶT'!$A$2:$H$32,6,FALSE)))</f>
        <v/>
      </c>
      <c r="J818" s="13">
        <f>IF($A818="","",EOMONTH($A818,0))</f>
        <v/>
      </c>
      <c r="K818" s="67">
        <f>IF($B818="",0,IF(LEFT($B818,1)="━",0,$C818*VLOOKUP($B818,'4. CÀI ĐẶT'!$A$2:$H$32,7,FALSE)))</f>
        <v/>
      </c>
    </row>
    <row r="819">
      <c r="A819" s="8" t="n"/>
      <c r="B819" s="9" t="n"/>
      <c r="C819" s="65" t="n"/>
      <c r="D819" s="9" t="n"/>
      <c r="E819" s="66">
        <f>IF($B819="","",IF(LEFT($B819,1)="━","⚠️ Chọn hạng mục cụ thể",$C819*VLOOKUP($B819,'4. CÀI ĐẶT'!$A$2:$H$32,2,FALSE)))</f>
        <v/>
      </c>
      <c r="F819" s="67">
        <f>IF($B819="",0,IF(LEFT($B819,1)="━",0,$C819*VLOOKUP($B819,'4. CÀI ĐẶT'!$A$2:$H$32,3,FALSE)))</f>
        <v/>
      </c>
      <c r="G819" s="67">
        <f>IF($B819="",0,IF(LEFT($B819,1)="━",0,$C819*VLOOKUP($B819,'4. CÀI ĐẶT'!$A$2:$H$32,4,FALSE)))</f>
        <v/>
      </c>
      <c r="H819" s="67">
        <f>IF($B819="",0,IF(LEFT($B819,1)="━",0,$C819*VLOOKUP($B819,'4. CÀI ĐẶT'!$A$2:$H$32,5,FALSE)))</f>
        <v/>
      </c>
      <c r="I819">
        <f>IF($B819="","",IF(LEFT($B819,1)="━","",VLOOKUP($B819,'4. CÀI ĐẶT'!$A$2:$H$32,6,FALSE)))</f>
        <v/>
      </c>
      <c r="J819" s="13">
        <f>IF($A819="","",EOMONTH($A819,0))</f>
        <v/>
      </c>
      <c r="K819" s="67">
        <f>IF($B819="",0,IF(LEFT($B819,1)="━",0,$C819*VLOOKUP($B819,'4. CÀI ĐẶT'!$A$2:$H$32,7,FALSE)))</f>
        <v/>
      </c>
    </row>
    <row r="820">
      <c r="A820" s="8" t="n"/>
      <c r="B820" s="9" t="n"/>
      <c r="C820" s="65" t="n"/>
      <c r="D820" s="9" t="n"/>
      <c r="E820" s="66">
        <f>IF($B820="","",IF(LEFT($B820,1)="━","⚠️ Chọn hạng mục cụ thể",$C820*VLOOKUP($B820,'4. CÀI ĐẶT'!$A$2:$H$32,2,FALSE)))</f>
        <v/>
      </c>
      <c r="F820" s="67">
        <f>IF($B820="",0,IF(LEFT($B820,1)="━",0,$C820*VLOOKUP($B820,'4. CÀI ĐẶT'!$A$2:$H$32,3,FALSE)))</f>
        <v/>
      </c>
      <c r="G820" s="67">
        <f>IF($B820="",0,IF(LEFT($B820,1)="━",0,$C820*VLOOKUP($B820,'4. CÀI ĐẶT'!$A$2:$H$32,4,FALSE)))</f>
        <v/>
      </c>
      <c r="H820" s="67">
        <f>IF($B820="",0,IF(LEFT($B820,1)="━",0,$C820*VLOOKUP($B820,'4. CÀI ĐẶT'!$A$2:$H$32,5,FALSE)))</f>
        <v/>
      </c>
      <c r="I820">
        <f>IF($B820="","",IF(LEFT($B820,1)="━","",VLOOKUP($B820,'4. CÀI ĐẶT'!$A$2:$H$32,6,FALSE)))</f>
        <v/>
      </c>
      <c r="J820" s="13">
        <f>IF($A820="","",EOMONTH($A820,0))</f>
        <v/>
      </c>
      <c r="K820" s="67">
        <f>IF($B820="",0,IF(LEFT($B820,1)="━",0,$C820*VLOOKUP($B820,'4. CÀI ĐẶT'!$A$2:$H$32,7,FALSE)))</f>
        <v/>
      </c>
    </row>
    <row r="821">
      <c r="A821" s="8" t="n"/>
      <c r="B821" s="9" t="n"/>
      <c r="C821" s="65" t="n"/>
      <c r="D821" s="9" t="n"/>
      <c r="E821" s="66">
        <f>IF($B821="","",IF(LEFT($B821,1)="━","⚠️ Chọn hạng mục cụ thể",$C821*VLOOKUP($B821,'4. CÀI ĐẶT'!$A$2:$H$32,2,FALSE)))</f>
        <v/>
      </c>
      <c r="F821" s="67">
        <f>IF($B821="",0,IF(LEFT($B821,1)="━",0,$C821*VLOOKUP($B821,'4. CÀI ĐẶT'!$A$2:$H$32,3,FALSE)))</f>
        <v/>
      </c>
      <c r="G821" s="67">
        <f>IF($B821="",0,IF(LEFT($B821,1)="━",0,$C821*VLOOKUP($B821,'4. CÀI ĐẶT'!$A$2:$H$32,4,FALSE)))</f>
        <v/>
      </c>
      <c r="H821" s="67">
        <f>IF($B821="",0,IF(LEFT($B821,1)="━",0,$C821*VLOOKUP($B821,'4. CÀI ĐẶT'!$A$2:$H$32,5,FALSE)))</f>
        <v/>
      </c>
      <c r="I821">
        <f>IF($B821="","",IF(LEFT($B821,1)="━","",VLOOKUP($B821,'4. CÀI ĐẶT'!$A$2:$H$32,6,FALSE)))</f>
        <v/>
      </c>
      <c r="J821" s="13">
        <f>IF($A821="","",EOMONTH($A821,0))</f>
        <v/>
      </c>
      <c r="K821" s="67">
        <f>IF($B821="",0,IF(LEFT($B821,1)="━",0,$C821*VLOOKUP($B821,'4. CÀI ĐẶT'!$A$2:$H$32,7,FALSE)))</f>
        <v/>
      </c>
    </row>
    <row r="822">
      <c r="A822" s="8" t="n"/>
      <c r="B822" s="9" t="n"/>
      <c r="C822" s="65" t="n"/>
      <c r="D822" s="9" t="n"/>
      <c r="E822" s="66">
        <f>IF($B822="","",IF(LEFT($B822,1)="━","⚠️ Chọn hạng mục cụ thể",$C822*VLOOKUP($B822,'4. CÀI ĐẶT'!$A$2:$H$32,2,FALSE)))</f>
        <v/>
      </c>
      <c r="F822" s="67">
        <f>IF($B822="",0,IF(LEFT($B822,1)="━",0,$C822*VLOOKUP($B822,'4. CÀI ĐẶT'!$A$2:$H$32,3,FALSE)))</f>
        <v/>
      </c>
      <c r="G822" s="67">
        <f>IF($B822="",0,IF(LEFT($B822,1)="━",0,$C822*VLOOKUP($B822,'4. CÀI ĐẶT'!$A$2:$H$32,4,FALSE)))</f>
        <v/>
      </c>
      <c r="H822" s="67">
        <f>IF($B822="",0,IF(LEFT($B822,1)="━",0,$C822*VLOOKUP($B822,'4. CÀI ĐẶT'!$A$2:$H$32,5,FALSE)))</f>
        <v/>
      </c>
      <c r="I822">
        <f>IF($B822="","",IF(LEFT($B822,1)="━","",VLOOKUP($B822,'4. CÀI ĐẶT'!$A$2:$H$32,6,FALSE)))</f>
        <v/>
      </c>
      <c r="J822" s="13">
        <f>IF($A822="","",EOMONTH($A822,0))</f>
        <v/>
      </c>
      <c r="K822" s="67">
        <f>IF($B822="",0,IF(LEFT($B822,1)="━",0,$C822*VLOOKUP($B822,'4. CÀI ĐẶT'!$A$2:$H$32,7,FALSE)))</f>
        <v/>
      </c>
    </row>
    <row r="823">
      <c r="A823" s="8" t="n"/>
      <c r="B823" s="9" t="n"/>
      <c r="C823" s="65" t="n"/>
      <c r="D823" s="9" t="n"/>
      <c r="E823" s="66">
        <f>IF($B823="","",IF(LEFT($B823,1)="━","⚠️ Chọn hạng mục cụ thể",$C823*VLOOKUP($B823,'4. CÀI ĐẶT'!$A$2:$H$32,2,FALSE)))</f>
        <v/>
      </c>
      <c r="F823" s="67">
        <f>IF($B823="",0,IF(LEFT($B823,1)="━",0,$C823*VLOOKUP($B823,'4. CÀI ĐẶT'!$A$2:$H$32,3,FALSE)))</f>
        <v/>
      </c>
      <c r="G823" s="67">
        <f>IF($B823="",0,IF(LEFT($B823,1)="━",0,$C823*VLOOKUP($B823,'4. CÀI ĐẶT'!$A$2:$H$32,4,FALSE)))</f>
        <v/>
      </c>
      <c r="H823" s="67">
        <f>IF($B823="",0,IF(LEFT($B823,1)="━",0,$C823*VLOOKUP($B823,'4. CÀI ĐẶT'!$A$2:$H$32,5,FALSE)))</f>
        <v/>
      </c>
      <c r="I823">
        <f>IF($B823="","",IF(LEFT($B823,1)="━","",VLOOKUP($B823,'4. CÀI ĐẶT'!$A$2:$H$32,6,FALSE)))</f>
        <v/>
      </c>
      <c r="J823" s="13">
        <f>IF($A823="","",EOMONTH($A823,0))</f>
        <v/>
      </c>
      <c r="K823" s="67">
        <f>IF($B823="",0,IF(LEFT($B823,1)="━",0,$C823*VLOOKUP($B823,'4. CÀI ĐẶT'!$A$2:$H$32,7,FALSE)))</f>
        <v/>
      </c>
    </row>
    <row r="824">
      <c r="A824" s="8" t="n"/>
      <c r="B824" s="9" t="n"/>
      <c r="C824" s="65" t="n"/>
      <c r="D824" s="9" t="n"/>
      <c r="E824" s="66">
        <f>IF($B824="","",IF(LEFT($B824,1)="━","⚠️ Chọn hạng mục cụ thể",$C824*VLOOKUP($B824,'4. CÀI ĐẶT'!$A$2:$H$32,2,FALSE)))</f>
        <v/>
      </c>
      <c r="F824" s="67">
        <f>IF($B824="",0,IF(LEFT($B824,1)="━",0,$C824*VLOOKUP($B824,'4. CÀI ĐẶT'!$A$2:$H$32,3,FALSE)))</f>
        <v/>
      </c>
      <c r="G824" s="67">
        <f>IF($B824="",0,IF(LEFT($B824,1)="━",0,$C824*VLOOKUP($B824,'4. CÀI ĐẶT'!$A$2:$H$32,4,FALSE)))</f>
        <v/>
      </c>
      <c r="H824" s="67">
        <f>IF($B824="",0,IF(LEFT($B824,1)="━",0,$C824*VLOOKUP($B824,'4. CÀI ĐẶT'!$A$2:$H$32,5,FALSE)))</f>
        <v/>
      </c>
      <c r="I824">
        <f>IF($B824="","",IF(LEFT($B824,1)="━","",VLOOKUP($B824,'4. CÀI ĐẶT'!$A$2:$H$32,6,FALSE)))</f>
        <v/>
      </c>
      <c r="J824" s="13">
        <f>IF($A824="","",EOMONTH($A824,0))</f>
        <v/>
      </c>
      <c r="K824" s="67">
        <f>IF($B824="",0,IF(LEFT($B824,1)="━",0,$C824*VLOOKUP($B824,'4. CÀI ĐẶT'!$A$2:$H$32,7,FALSE)))</f>
        <v/>
      </c>
    </row>
    <row r="825">
      <c r="A825" s="8" t="n"/>
      <c r="B825" s="9" t="n"/>
      <c r="C825" s="65" t="n"/>
      <c r="D825" s="9" t="n"/>
      <c r="E825" s="66">
        <f>IF($B825="","",IF(LEFT($B825,1)="━","⚠️ Chọn hạng mục cụ thể",$C825*VLOOKUP($B825,'4. CÀI ĐẶT'!$A$2:$H$32,2,FALSE)))</f>
        <v/>
      </c>
      <c r="F825" s="67">
        <f>IF($B825="",0,IF(LEFT($B825,1)="━",0,$C825*VLOOKUP($B825,'4. CÀI ĐẶT'!$A$2:$H$32,3,FALSE)))</f>
        <v/>
      </c>
      <c r="G825" s="67">
        <f>IF($B825="",0,IF(LEFT($B825,1)="━",0,$C825*VLOOKUP($B825,'4. CÀI ĐẶT'!$A$2:$H$32,4,FALSE)))</f>
        <v/>
      </c>
      <c r="H825" s="67">
        <f>IF($B825="",0,IF(LEFT($B825,1)="━",0,$C825*VLOOKUP($B825,'4. CÀI ĐẶT'!$A$2:$H$32,5,FALSE)))</f>
        <v/>
      </c>
      <c r="I825">
        <f>IF($B825="","",IF(LEFT($B825,1)="━","",VLOOKUP($B825,'4. CÀI ĐẶT'!$A$2:$H$32,6,FALSE)))</f>
        <v/>
      </c>
      <c r="J825" s="13">
        <f>IF($A825="","",EOMONTH($A825,0))</f>
        <v/>
      </c>
      <c r="K825" s="67">
        <f>IF($B825="",0,IF(LEFT($B825,1)="━",0,$C825*VLOOKUP($B825,'4. CÀI ĐẶT'!$A$2:$H$32,7,FALSE)))</f>
        <v/>
      </c>
    </row>
    <row r="826">
      <c r="A826" s="8" t="n"/>
      <c r="B826" s="9" t="n"/>
      <c r="C826" s="65" t="n"/>
      <c r="D826" s="9" t="n"/>
      <c r="E826" s="66">
        <f>IF($B826="","",IF(LEFT($B826,1)="━","⚠️ Chọn hạng mục cụ thể",$C826*VLOOKUP($B826,'4. CÀI ĐẶT'!$A$2:$H$32,2,FALSE)))</f>
        <v/>
      </c>
      <c r="F826" s="67">
        <f>IF($B826="",0,IF(LEFT($B826,1)="━",0,$C826*VLOOKUP($B826,'4. CÀI ĐẶT'!$A$2:$H$32,3,FALSE)))</f>
        <v/>
      </c>
      <c r="G826" s="67">
        <f>IF($B826="",0,IF(LEFT($B826,1)="━",0,$C826*VLOOKUP($B826,'4. CÀI ĐẶT'!$A$2:$H$32,4,FALSE)))</f>
        <v/>
      </c>
      <c r="H826" s="67">
        <f>IF($B826="",0,IF(LEFT($B826,1)="━",0,$C826*VLOOKUP($B826,'4. CÀI ĐẶT'!$A$2:$H$32,5,FALSE)))</f>
        <v/>
      </c>
      <c r="I826">
        <f>IF($B826="","",IF(LEFT($B826,1)="━","",VLOOKUP($B826,'4. CÀI ĐẶT'!$A$2:$H$32,6,FALSE)))</f>
        <v/>
      </c>
      <c r="J826" s="13">
        <f>IF($A826="","",EOMONTH($A826,0))</f>
        <v/>
      </c>
      <c r="K826" s="67">
        <f>IF($B826="",0,IF(LEFT($B826,1)="━",0,$C826*VLOOKUP($B826,'4. CÀI ĐẶT'!$A$2:$H$32,7,FALSE)))</f>
        <v/>
      </c>
    </row>
    <row r="827">
      <c r="A827" s="8" t="n"/>
      <c r="B827" s="9" t="n"/>
      <c r="C827" s="65" t="n"/>
      <c r="D827" s="9" t="n"/>
      <c r="E827" s="66">
        <f>IF($B827="","",IF(LEFT($B827,1)="━","⚠️ Chọn hạng mục cụ thể",$C827*VLOOKUP($B827,'4. CÀI ĐẶT'!$A$2:$H$32,2,FALSE)))</f>
        <v/>
      </c>
      <c r="F827" s="67">
        <f>IF($B827="",0,IF(LEFT($B827,1)="━",0,$C827*VLOOKUP($B827,'4. CÀI ĐẶT'!$A$2:$H$32,3,FALSE)))</f>
        <v/>
      </c>
      <c r="G827" s="67">
        <f>IF($B827="",0,IF(LEFT($B827,1)="━",0,$C827*VLOOKUP($B827,'4. CÀI ĐẶT'!$A$2:$H$32,4,FALSE)))</f>
        <v/>
      </c>
      <c r="H827" s="67">
        <f>IF($B827="",0,IF(LEFT($B827,1)="━",0,$C827*VLOOKUP($B827,'4. CÀI ĐẶT'!$A$2:$H$32,5,FALSE)))</f>
        <v/>
      </c>
      <c r="I827">
        <f>IF($B827="","",IF(LEFT($B827,1)="━","",VLOOKUP($B827,'4. CÀI ĐẶT'!$A$2:$H$32,6,FALSE)))</f>
        <v/>
      </c>
      <c r="J827" s="13">
        <f>IF($A827="","",EOMONTH($A827,0))</f>
        <v/>
      </c>
      <c r="K827" s="67">
        <f>IF($B827="",0,IF(LEFT($B827,1)="━",0,$C827*VLOOKUP($B827,'4. CÀI ĐẶT'!$A$2:$H$32,7,FALSE)))</f>
        <v/>
      </c>
    </row>
    <row r="828">
      <c r="A828" s="8" t="n"/>
      <c r="B828" s="9" t="n"/>
      <c r="C828" s="65" t="n"/>
      <c r="D828" s="9" t="n"/>
      <c r="E828" s="66">
        <f>IF($B828="","",IF(LEFT($B828,1)="━","⚠️ Chọn hạng mục cụ thể",$C828*VLOOKUP($B828,'4. CÀI ĐẶT'!$A$2:$H$32,2,FALSE)))</f>
        <v/>
      </c>
      <c r="F828" s="67">
        <f>IF($B828="",0,IF(LEFT($B828,1)="━",0,$C828*VLOOKUP($B828,'4. CÀI ĐẶT'!$A$2:$H$32,3,FALSE)))</f>
        <v/>
      </c>
      <c r="G828" s="67">
        <f>IF($B828="",0,IF(LEFT($B828,1)="━",0,$C828*VLOOKUP($B828,'4. CÀI ĐẶT'!$A$2:$H$32,4,FALSE)))</f>
        <v/>
      </c>
      <c r="H828" s="67">
        <f>IF($B828="",0,IF(LEFT($B828,1)="━",0,$C828*VLOOKUP($B828,'4. CÀI ĐẶT'!$A$2:$H$32,5,FALSE)))</f>
        <v/>
      </c>
      <c r="I828">
        <f>IF($B828="","",IF(LEFT($B828,1)="━","",VLOOKUP($B828,'4. CÀI ĐẶT'!$A$2:$H$32,6,FALSE)))</f>
        <v/>
      </c>
      <c r="J828" s="13">
        <f>IF($A828="","",EOMONTH($A828,0))</f>
        <v/>
      </c>
      <c r="K828" s="67">
        <f>IF($B828="",0,IF(LEFT($B828,1)="━",0,$C828*VLOOKUP($B828,'4. CÀI ĐẶT'!$A$2:$H$32,7,FALSE)))</f>
        <v/>
      </c>
    </row>
    <row r="829">
      <c r="A829" s="8" t="n"/>
      <c r="B829" s="9" t="n"/>
      <c r="C829" s="65" t="n"/>
      <c r="D829" s="9" t="n"/>
      <c r="E829" s="66">
        <f>IF($B829="","",IF(LEFT($B829,1)="━","⚠️ Chọn hạng mục cụ thể",$C829*VLOOKUP($B829,'4. CÀI ĐẶT'!$A$2:$H$32,2,FALSE)))</f>
        <v/>
      </c>
      <c r="F829" s="67">
        <f>IF($B829="",0,IF(LEFT($B829,1)="━",0,$C829*VLOOKUP($B829,'4. CÀI ĐẶT'!$A$2:$H$32,3,FALSE)))</f>
        <v/>
      </c>
      <c r="G829" s="67">
        <f>IF($B829="",0,IF(LEFT($B829,1)="━",0,$C829*VLOOKUP($B829,'4. CÀI ĐẶT'!$A$2:$H$32,4,FALSE)))</f>
        <v/>
      </c>
      <c r="H829" s="67">
        <f>IF($B829="",0,IF(LEFT($B829,1)="━",0,$C829*VLOOKUP($B829,'4. CÀI ĐẶT'!$A$2:$H$32,5,FALSE)))</f>
        <v/>
      </c>
      <c r="I829">
        <f>IF($B829="","",IF(LEFT($B829,1)="━","",VLOOKUP($B829,'4. CÀI ĐẶT'!$A$2:$H$32,6,FALSE)))</f>
        <v/>
      </c>
      <c r="J829" s="13">
        <f>IF($A829="","",EOMONTH($A829,0))</f>
        <v/>
      </c>
      <c r="K829" s="67">
        <f>IF($B829="",0,IF(LEFT($B829,1)="━",0,$C829*VLOOKUP($B829,'4. CÀI ĐẶT'!$A$2:$H$32,7,FALSE)))</f>
        <v/>
      </c>
    </row>
    <row r="830">
      <c r="A830" s="8" t="n"/>
      <c r="B830" s="9" t="n"/>
      <c r="C830" s="65" t="n"/>
      <c r="D830" s="9" t="n"/>
      <c r="E830" s="66">
        <f>IF($B830="","",IF(LEFT($B830,1)="━","⚠️ Chọn hạng mục cụ thể",$C830*VLOOKUP($B830,'4. CÀI ĐẶT'!$A$2:$H$32,2,FALSE)))</f>
        <v/>
      </c>
      <c r="F830" s="67">
        <f>IF($B830="",0,IF(LEFT($B830,1)="━",0,$C830*VLOOKUP($B830,'4. CÀI ĐẶT'!$A$2:$H$32,3,FALSE)))</f>
        <v/>
      </c>
      <c r="G830" s="67">
        <f>IF($B830="",0,IF(LEFT($B830,1)="━",0,$C830*VLOOKUP($B830,'4. CÀI ĐẶT'!$A$2:$H$32,4,FALSE)))</f>
        <v/>
      </c>
      <c r="H830" s="67">
        <f>IF($B830="",0,IF(LEFT($B830,1)="━",0,$C830*VLOOKUP($B830,'4. CÀI ĐẶT'!$A$2:$H$32,5,FALSE)))</f>
        <v/>
      </c>
      <c r="I830">
        <f>IF($B830="","",IF(LEFT($B830,1)="━","",VLOOKUP($B830,'4. CÀI ĐẶT'!$A$2:$H$32,6,FALSE)))</f>
        <v/>
      </c>
      <c r="J830" s="13">
        <f>IF($A830="","",EOMONTH($A830,0))</f>
        <v/>
      </c>
      <c r="K830" s="67">
        <f>IF($B830="",0,IF(LEFT($B830,1)="━",0,$C830*VLOOKUP($B830,'4. CÀI ĐẶT'!$A$2:$H$32,7,FALSE)))</f>
        <v/>
      </c>
    </row>
    <row r="831">
      <c r="A831" s="8" t="n"/>
      <c r="B831" s="9" t="n"/>
      <c r="C831" s="65" t="n"/>
      <c r="D831" s="9" t="n"/>
      <c r="E831" s="66">
        <f>IF($B831="","",IF(LEFT($B831,1)="━","⚠️ Chọn hạng mục cụ thể",$C831*VLOOKUP($B831,'4. CÀI ĐẶT'!$A$2:$H$32,2,FALSE)))</f>
        <v/>
      </c>
      <c r="F831" s="67">
        <f>IF($B831="",0,IF(LEFT($B831,1)="━",0,$C831*VLOOKUP($B831,'4. CÀI ĐẶT'!$A$2:$H$32,3,FALSE)))</f>
        <v/>
      </c>
      <c r="G831" s="67">
        <f>IF($B831="",0,IF(LEFT($B831,1)="━",0,$C831*VLOOKUP($B831,'4. CÀI ĐẶT'!$A$2:$H$32,4,FALSE)))</f>
        <v/>
      </c>
      <c r="H831" s="67">
        <f>IF($B831="",0,IF(LEFT($B831,1)="━",0,$C831*VLOOKUP($B831,'4. CÀI ĐẶT'!$A$2:$H$32,5,FALSE)))</f>
        <v/>
      </c>
      <c r="I831">
        <f>IF($B831="","",IF(LEFT($B831,1)="━","",VLOOKUP($B831,'4. CÀI ĐẶT'!$A$2:$H$32,6,FALSE)))</f>
        <v/>
      </c>
      <c r="J831" s="13">
        <f>IF($A831="","",EOMONTH($A831,0))</f>
        <v/>
      </c>
      <c r="K831" s="67">
        <f>IF($B831="",0,IF(LEFT($B831,1)="━",0,$C831*VLOOKUP($B831,'4. CÀI ĐẶT'!$A$2:$H$32,7,FALSE)))</f>
        <v/>
      </c>
    </row>
    <row r="832">
      <c r="A832" s="8" t="n"/>
      <c r="B832" s="9" t="n"/>
      <c r="C832" s="65" t="n"/>
      <c r="D832" s="9" t="n"/>
      <c r="E832" s="66">
        <f>IF($B832="","",IF(LEFT($B832,1)="━","⚠️ Chọn hạng mục cụ thể",$C832*VLOOKUP($B832,'4. CÀI ĐẶT'!$A$2:$H$32,2,FALSE)))</f>
        <v/>
      </c>
      <c r="F832" s="67">
        <f>IF($B832="",0,IF(LEFT($B832,1)="━",0,$C832*VLOOKUP($B832,'4. CÀI ĐẶT'!$A$2:$H$32,3,FALSE)))</f>
        <v/>
      </c>
      <c r="G832" s="67">
        <f>IF($B832="",0,IF(LEFT($B832,1)="━",0,$C832*VLOOKUP($B832,'4. CÀI ĐẶT'!$A$2:$H$32,4,FALSE)))</f>
        <v/>
      </c>
      <c r="H832" s="67">
        <f>IF($B832="",0,IF(LEFT($B832,1)="━",0,$C832*VLOOKUP($B832,'4. CÀI ĐẶT'!$A$2:$H$32,5,FALSE)))</f>
        <v/>
      </c>
      <c r="I832">
        <f>IF($B832="","",IF(LEFT($B832,1)="━","",VLOOKUP($B832,'4. CÀI ĐẶT'!$A$2:$H$32,6,FALSE)))</f>
        <v/>
      </c>
      <c r="J832" s="13">
        <f>IF($A832="","",EOMONTH($A832,0))</f>
        <v/>
      </c>
      <c r="K832" s="67">
        <f>IF($B832="",0,IF(LEFT($B832,1)="━",0,$C832*VLOOKUP($B832,'4. CÀI ĐẶT'!$A$2:$H$32,7,FALSE)))</f>
        <v/>
      </c>
    </row>
    <row r="833">
      <c r="A833" s="8" t="n"/>
      <c r="B833" s="9" t="n"/>
      <c r="C833" s="65" t="n"/>
      <c r="D833" s="9" t="n"/>
      <c r="E833" s="66">
        <f>IF($B833="","",IF(LEFT($B833,1)="━","⚠️ Chọn hạng mục cụ thể",$C833*VLOOKUP($B833,'4. CÀI ĐẶT'!$A$2:$H$32,2,FALSE)))</f>
        <v/>
      </c>
      <c r="F833" s="67">
        <f>IF($B833="",0,IF(LEFT($B833,1)="━",0,$C833*VLOOKUP($B833,'4. CÀI ĐẶT'!$A$2:$H$32,3,FALSE)))</f>
        <v/>
      </c>
      <c r="G833" s="67">
        <f>IF($B833="",0,IF(LEFT($B833,1)="━",0,$C833*VLOOKUP($B833,'4. CÀI ĐẶT'!$A$2:$H$32,4,FALSE)))</f>
        <v/>
      </c>
      <c r="H833" s="67">
        <f>IF($B833="",0,IF(LEFT($B833,1)="━",0,$C833*VLOOKUP($B833,'4. CÀI ĐẶT'!$A$2:$H$32,5,FALSE)))</f>
        <v/>
      </c>
      <c r="I833">
        <f>IF($B833="","",IF(LEFT($B833,1)="━","",VLOOKUP($B833,'4. CÀI ĐẶT'!$A$2:$H$32,6,FALSE)))</f>
        <v/>
      </c>
      <c r="J833" s="13">
        <f>IF($A833="","",EOMONTH($A833,0))</f>
        <v/>
      </c>
      <c r="K833" s="67">
        <f>IF($B833="",0,IF(LEFT($B833,1)="━",0,$C833*VLOOKUP($B833,'4. CÀI ĐẶT'!$A$2:$H$32,7,FALSE)))</f>
        <v/>
      </c>
    </row>
    <row r="834">
      <c r="A834" s="8" t="n"/>
      <c r="B834" s="9" t="n"/>
      <c r="C834" s="65" t="n"/>
      <c r="D834" s="9" t="n"/>
      <c r="E834" s="66">
        <f>IF($B834="","",IF(LEFT($B834,1)="━","⚠️ Chọn hạng mục cụ thể",$C834*VLOOKUP($B834,'4. CÀI ĐẶT'!$A$2:$H$32,2,FALSE)))</f>
        <v/>
      </c>
      <c r="F834" s="67">
        <f>IF($B834="",0,IF(LEFT($B834,1)="━",0,$C834*VLOOKUP($B834,'4. CÀI ĐẶT'!$A$2:$H$32,3,FALSE)))</f>
        <v/>
      </c>
      <c r="G834" s="67">
        <f>IF($B834="",0,IF(LEFT($B834,1)="━",0,$C834*VLOOKUP($B834,'4. CÀI ĐẶT'!$A$2:$H$32,4,FALSE)))</f>
        <v/>
      </c>
      <c r="H834" s="67">
        <f>IF($B834="",0,IF(LEFT($B834,1)="━",0,$C834*VLOOKUP($B834,'4. CÀI ĐẶT'!$A$2:$H$32,5,FALSE)))</f>
        <v/>
      </c>
      <c r="I834">
        <f>IF($B834="","",IF(LEFT($B834,1)="━","",VLOOKUP($B834,'4. CÀI ĐẶT'!$A$2:$H$32,6,FALSE)))</f>
        <v/>
      </c>
      <c r="J834" s="13">
        <f>IF($A834="","",EOMONTH($A834,0))</f>
        <v/>
      </c>
      <c r="K834" s="67">
        <f>IF($B834="",0,IF(LEFT($B834,1)="━",0,$C834*VLOOKUP($B834,'4. CÀI ĐẶT'!$A$2:$H$32,7,FALSE)))</f>
        <v/>
      </c>
    </row>
    <row r="835">
      <c r="A835" s="8" t="n"/>
      <c r="B835" s="9" t="n"/>
      <c r="C835" s="65" t="n"/>
      <c r="D835" s="9" t="n"/>
      <c r="E835" s="66">
        <f>IF($B835="","",IF(LEFT($B835,1)="━","⚠️ Chọn hạng mục cụ thể",$C835*VLOOKUP($B835,'4. CÀI ĐẶT'!$A$2:$H$32,2,FALSE)))</f>
        <v/>
      </c>
      <c r="F835" s="67">
        <f>IF($B835="",0,IF(LEFT($B835,1)="━",0,$C835*VLOOKUP($B835,'4. CÀI ĐẶT'!$A$2:$H$32,3,FALSE)))</f>
        <v/>
      </c>
      <c r="G835" s="67">
        <f>IF($B835="",0,IF(LEFT($B835,1)="━",0,$C835*VLOOKUP($B835,'4. CÀI ĐẶT'!$A$2:$H$32,4,FALSE)))</f>
        <v/>
      </c>
      <c r="H835" s="67">
        <f>IF($B835="",0,IF(LEFT($B835,1)="━",0,$C835*VLOOKUP($B835,'4. CÀI ĐẶT'!$A$2:$H$32,5,FALSE)))</f>
        <v/>
      </c>
      <c r="I835">
        <f>IF($B835="","",IF(LEFT($B835,1)="━","",VLOOKUP($B835,'4. CÀI ĐẶT'!$A$2:$H$32,6,FALSE)))</f>
        <v/>
      </c>
      <c r="J835" s="13">
        <f>IF($A835="","",EOMONTH($A835,0))</f>
        <v/>
      </c>
      <c r="K835" s="67">
        <f>IF($B835="",0,IF(LEFT($B835,1)="━",0,$C835*VLOOKUP($B835,'4. CÀI ĐẶT'!$A$2:$H$32,7,FALSE)))</f>
        <v/>
      </c>
    </row>
    <row r="836">
      <c r="A836" s="8" t="n"/>
      <c r="B836" s="9" t="n"/>
      <c r="C836" s="65" t="n"/>
      <c r="D836" s="9" t="n"/>
      <c r="E836" s="66">
        <f>IF($B836="","",IF(LEFT($B836,1)="━","⚠️ Chọn hạng mục cụ thể",$C836*VLOOKUP($B836,'4. CÀI ĐẶT'!$A$2:$H$32,2,FALSE)))</f>
        <v/>
      </c>
      <c r="F836" s="67">
        <f>IF($B836="",0,IF(LEFT($B836,1)="━",0,$C836*VLOOKUP($B836,'4. CÀI ĐẶT'!$A$2:$H$32,3,FALSE)))</f>
        <v/>
      </c>
      <c r="G836" s="67">
        <f>IF($B836="",0,IF(LEFT($B836,1)="━",0,$C836*VLOOKUP($B836,'4. CÀI ĐẶT'!$A$2:$H$32,4,FALSE)))</f>
        <v/>
      </c>
      <c r="H836" s="67">
        <f>IF($B836="",0,IF(LEFT($B836,1)="━",0,$C836*VLOOKUP($B836,'4. CÀI ĐẶT'!$A$2:$H$32,5,FALSE)))</f>
        <v/>
      </c>
      <c r="I836">
        <f>IF($B836="","",IF(LEFT($B836,1)="━","",VLOOKUP($B836,'4. CÀI ĐẶT'!$A$2:$H$32,6,FALSE)))</f>
        <v/>
      </c>
      <c r="J836" s="13">
        <f>IF($A836="","",EOMONTH($A836,0))</f>
        <v/>
      </c>
      <c r="K836" s="67">
        <f>IF($B836="",0,IF(LEFT($B836,1)="━",0,$C836*VLOOKUP($B836,'4. CÀI ĐẶT'!$A$2:$H$32,7,FALSE)))</f>
        <v/>
      </c>
    </row>
    <row r="837">
      <c r="A837" s="8" t="n"/>
      <c r="B837" s="9" t="n"/>
      <c r="C837" s="65" t="n"/>
      <c r="D837" s="9" t="n"/>
      <c r="E837" s="66">
        <f>IF($B837="","",IF(LEFT($B837,1)="━","⚠️ Chọn hạng mục cụ thể",$C837*VLOOKUP($B837,'4. CÀI ĐẶT'!$A$2:$H$32,2,FALSE)))</f>
        <v/>
      </c>
      <c r="F837" s="67">
        <f>IF($B837="",0,IF(LEFT($B837,1)="━",0,$C837*VLOOKUP($B837,'4. CÀI ĐẶT'!$A$2:$H$32,3,FALSE)))</f>
        <v/>
      </c>
      <c r="G837" s="67">
        <f>IF($B837="",0,IF(LEFT($B837,1)="━",0,$C837*VLOOKUP($B837,'4. CÀI ĐẶT'!$A$2:$H$32,4,FALSE)))</f>
        <v/>
      </c>
      <c r="H837" s="67">
        <f>IF($B837="",0,IF(LEFT($B837,1)="━",0,$C837*VLOOKUP($B837,'4. CÀI ĐẶT'!$A$2:$H$32,5,FALSE)))</f>
        <v/>
      </c>
      <c r="I837">
        <f>IF($B837="","",IF(LEFT($B837,1)="━","",VLOOKUP($B837,'4. CÀI ĐẶT'!$A$2:$H$32,6,FALSE)))</f>
        <v/>
      </c>
      <c r="J837" s="13">
        <f>IF($A837="","",EOMONTH($A837,0))</f>
        <v/>
      </c>
      <c r="K837" s="67">
        <f>IF($B837="",0,IF(LEFT($B837,1)="━",0,$C837*VLOOKUP($B837,'4. CÀI ĐẶT'!$A$2:$H$32,7,FALSE)))</f>
        <v/>
      </c>
    </row>
    <row r="838">
      <c r="A838" s="8" t="n"/>
      <c r="B838" s="9" t="n"/>
      <c r="C838" s="65" t="n"/>
      <c r="D838" s="9" t="n"/>
      <c r="E838" s="66">
        <f>IF($B838="","",IF(LEFT($B838,1)="━","⚠️ Chọn hạng mục cụ thể",$C838*VLOOKUP($B838,'4. CÀI ĐẶT'!$A$2:$H$32,2,FALSE)))</f>
        <v/>
      </c>
      <c r="F838" s="67">
        <f>IF($B838="",0,IF(LEFT($B838,1)="━",0,$C838*VLOOKUP($B838,'4. CÀI ĐẶT'!$A$2:$H$32,3,FALSE)))</f>
        <v/>
      </c>
      <c r="G838" s="67">
        <f>IF($B838="",0,IF(LEFT($B838,1)="━",0,$C838*VLOOKUP($B838,'4. CÀI ĐẶT'!$A$2:$H$32,4,FALSE)))</f>
        <v/>
      </c>
      <c r="H838" s="67">
        <f>IF($B838="",0,IF(LEFT($B838,1)="━",0,$C838*VLOOKUP($B838,'4. CÀI ĐẶT'!$A$2:$H$32,5,FALSE)))</f>
        <v/>
      </c>
      <c r="I838">
        <f>IF($B838="","",IF(LEFT($B838,1)="━","",VLOOKUP($B838,'4. CÀI ĐẶT'!$A$2:$H$32,6,FALSE)))</f>
        <v/>
      </c>
      <c r="J838" s="13">
        <f>IF($A838="","",EOMONTH($A838,0))</f>
        <v/>
      </c>
      <c r="K838" s="67">
        <f>IF($B838="",0,IF(LEFT($B838,1)="━",0,$C838*VLOOKUP($B838,'4. CÀI ĐẶT'!$A$2:$H$32,7,FALSE)))</f>
        <v/>
      </c>
    </row>
    <row r="839">
      <c r="A839" s="8" t="n"/>
      <c r="B839" s="9" t="n"/>
      <c r="C839" s="65" t="n"/>
      <c r="D839" s="9" t="n"/>
      <c r="E839" s="66">
        <f>IF($B839="","",IF(LEFT($B839,1)="━","⚠️ Chọn hạng mục cụ thể",$C839*VLOOKUP($B839,'4. CÀI ĐẶT'!$A$2:$H$32,2,FALSE)))</f>
        <v/>
      </c>
      <c r="F839" s="67">
        <f>IF($B839="",0,IF(LEFT($B839,1)="━",0,$C839*VLOOKUP($B839,'4. CÀI ĐẶT'!$A$2:$H$32,3,FALSE)))</f>
        <v/>
      </c>
      <c r="G839" s="67">
        <f>IF($B839="",0,IF(LEFT($B839,1)="━",0,$C839*VLOOKUP($B839,'4. CÀI ĐẶT'!$A$2:$H$32,4,FALSE)))</f>
        <v/>
      </c>
      <c r="H839" s="67">
        <f>IF($B839="",0,IF(LEFT($B839,1)="━",0,$C839*VLOOKUP($B839,'4. CÀI ĐẶT'!$A$2:$H$32,5,FALSE)))</f>
        <v/>
      </c>
      <c r="I839">
        <f>IF($B839="","",IF(LEFT($B839,1)="━","",VLOOKUP($B839,'4. CÀI ĐẶT'!$A$2:$H$32,6,FALSE)))</f>
        <v/>
      </c>
      <c r="J839" s="13">
        <f>IF($A839="","",EOMONTH($A839,0))</f>
        <v/>
      </c>
      <c r="K839" s="67">
        <f>IF($B839="",0,IF(LEFT($B839,1)="━",0,$C839*VLOOKUP($B839,'4. CÀI ĐẶT'!$A$2:$H$32,7,FALSE)))</f>
        <v/>
      </c>
    </row>
    <row r="840">
      <c r="A840" s="8" t="n"/>
      <c r="B840" s="9" t="n"/>
      <c r="C840" s="65" t="n"/>
      <c r="D840" s="9" t="n"/>
      <c r="E840" s="66">
        <f>IF($B840="","",IF(LEFT($B840,1)="━","⚠️ Chọn hạng mục cụ thể",$C840*VLOOKUP($B840,'4. CÀI ĐẶT'!$A$2:$H$32,2,FALSE)))</f>
        <v/>
      </c>
      <c r="F840" s="67">
        <f>IF($B840="",0,IF(LEFT($B840,1)="━",0,$C840*VLOOKUP($B840,'4. CÀI ĐẶT'!$A$2:$H$32,3,FALSE)))</f>
        <v/>
      </c>
      <c r="G840" s="67">
        <f>IF($B840="",0,IF(LEFT($B840,1)="━",0,$C840*VLOOKUP($B840,'4. CÀI ĐẶT'!$A$2:$H$32,4,FALSE)))</f>
        <v/>
      </c>
      <c r="H840" s="67">
        <f>IF($B840="",0,IF(LEFT($B840,1)="━",0,$C840*VLOOKUP($B840,'4. CÀI ĐẶT'!$A$2:$H$32,5,FALSE)))</f>
        <v/>
      </c>
      <c r="I840">
        <f>IF($B840="","",IF(LEFT($B840,1)="━","",VLOOKUP($B840,'4. CÀI ĐẶT'!$A$2:$H$32,6,FALSE)))</f>
        <v/>
      </c>
      <c r="J840" s="13">
        <f>IF($A840="","",EOMONTH($A840,0))</f>
        <v/>
      </c>
      <c r="K840" s="67">
        <f>IF($B840="",0,IF(LEFT($B840,1)="━",0,$C840*VLOOKUP($B840,'4. CÀI ĐẶT'!$A$2:$H$32,7,FALSE)))</f>
        <v/>
      </c>
    </row>
    <row r="841">
      <c r="A841" s="8" t="n"/>
      <c r="B841" s="9" t="n"/>
      <c r="C841" s="65" t="n"/>
      <c r="D841" s="9" t="n"/>
      <c r="E841" s="66">
        <f>IF($B841="","",IF(LEFT($B841,1)="━","⚠️ Chọn hạng mục cụ thể",$C841*VLOOKUP($B841,'4. CÀI ĐẶT'!$A$2:$H$32,2,FALSE)))</f>
        <v/>
      </c>
      <c r="F841" s="67">
        <f>IF($B841="",0,IF(LEFT($B841,1)="━",0,$C841*VLOOKUP($B841,'4. CÀI ĐẶT'!$A$2:$H$32,3,FALSE)))</f>
        <v/>
      </c>
      <c r="G841" s="67">
        <f>IF($B841="",0,IF(LEFT($B841,1)="━",0,$C841*VLOOKUP($B841,'4. CÀI ĐẶT'!$A$2:$H$32,4,FALSE)))</f>
        <v/>
      </c>
      <c r="H841" s="67">
        <f>IF($B841="",0,IF(LEFT($B841,1)="━",0,$C841*VLOOKUP($B841,'4. CÀI ĐẶT'!$A$2:$H$32,5,FALSE)))</f>
        <v/>
      </c>
      <c r="I841">
        <f>IF($B841="","",IF(LEFT($B841,1)="━","",VLOOKUP($B841,'4. CÀI ĐẶT'!$A$2:$H$32,6,FALSE)))</f>
        <v/>
      </c>
      <c r="J841" s="13">
        <f>IF($A841="","",EOMONTH($A841,0))</f>
        <v/>
      </c>
      <c r="K841" s="67">
        <f>IF($B841="",0,IF(LEFT($B841,1)="━",0,$C841*VLOOKUP($B841,'4. CÀI ĐẶT'!$A$2:$H$32,7,FALSE)))</f>
        <v/>
      </c>
    </row>
    <row r="842">
      <c r="A842" s="8" t="n"/>
      <c r="B842" s="9" t="n"/>
      <c r="C842" s="65" t="n"/>
      <c r="D842" s="9" t="n"/>
      <c r="E842" s="66">
        <f>IF($B842="","",IF(LEFT($B842,1)="━","⚠️ Chọn hạng mục cụ thể",$C842*VLOOKUP($B842,'4. CÀI ĐẶT'!$A$2:$H$32,2,FALSE)))</f>
        <v/>
      </c>
      <c r="F842" s="67">
        <f>IF($B842="",0,IF(LEFT($B842,1)="━",0,$C842*VLOOKUP($B842,'4. CÀI ĐẶT'!$A$2:$H$32,3,FALSE)))</f>
        <v/>
      </c>
      <c r="G842" s="67">
        <f>IF($B842="",0,IF(LEFT($B842,1)="━",0,$C842*VLOOKUP($B842,'4. CÀI ĐẶT'!$A$2:$H$32,4,FALSE)))</f>
        <v/>
      </c>
      <c r="H842" s="67">
        <f>IF($B842="",0,IF(LEFT($B842,1)="━",0,$C842*VLOOKUP($B842,'4. CÀI ĐẶT'!$A$2:$H$32,5,FALSE)))</f>
        <v/>
      </c>
      <c r="I842">
        <f>IF($B842="","",IF(LEFT($B842,1)="━","",VLOOKUP($B842,'4. CÀI ĐẶT'!$A$2:$H$32,6,FALSE)))</f>
        <v/>
      </c>
      <c r="J842" s="13">
        <f>IF($A842="","",EOMONTH($A842,0))</f>
        <v/>
      </c>
      <c r="K842" s="67">
        <f>IF($B842="",0,IF(LEFT($B842,1)="━",0,$C842*VLOOKUP($B842,'4. CÀI ĐẶT'!$A$2:$H$32,7,FALSE)))</f>
        <v/>
      </c>
    </row>
    <row r="843">
      <c r="A843" s="8" t="n"/>
      <c r="B843" s="9" t="n"/>
      <c r="C843" s="65" t="n"/>
      <c r="D843" s="9" t="n"/>
      <c r="E843" s="66">
        <f>IF($B843="","",IF(LEFT($B843,1)="━","⚠️ Chọn hạng mục cụ thể",$C843*VLOOKUP($B843,'4. CÀI ĐẶT'!$A$2:$H$32,2,FALSE)))</f>
        <v/>
      </c>
      <c r="F843" s="67">
        <f>IF($B843="",0,IF(LEFT($B843,1)="━",0,$C843*VLOOKUP($B843,'4. CÀI ĐẶT'!$A$2:$H$32,3,FALSE)))</f>
        <v/>
      </c>
      <c r="G843" s="67">
        <f>IF($B843="",0,IF(LEFT($B843,1)="━",0,$C843*VLOOKUP($B843,'4. CÀI ĐẶT'!$A$2:$H$32,4,FALSE)))</f>
        <v/>
      </c>
      <c r="H843" s="67">
        <f>IF($B843="",0,IF(LEFT($B843,1)="━",0,$C843*VLOOKUP($B843,'4. CÀI ĐẶT'!$A$2:$H$32,5,FALSE)))</f>
        <v/>
      </c>
      <c r="I843">
        <f>IF($B843="","",IF(LEFT($B843,1)="━","",VLOOKUP($B843,'4. CÀI ĐẶT'!$A$2:$H$32,6,FALSE)))</f>
        <v/>
      </c>
      <c r="J843" s="13">
        <f>IF($A843="","",EOMONTH($A843,0))</f>
        <v/>
      </c>
      <c r="K843" s="67">
        <f>IF($B843="",0,IF(LEFT($B843,1)="━",0,$C843*VLOOKUP($B843,'4. CÀI ĐẶT'!$A$2:$H$32,7,FALSE)))</f>
        <v/>
      </c>
    </row>
    <row r="844">
      <c r="A844" s="8" t="n"/>
      <c r="B844" s="9" t="n"/>
      <c r="C844" s="65" t="n"/>
      <c r="D844" s="9" t="n"/>
      <c r="E844" s="66">
        <f>IF($B844="","",IF(LEFT($B844,1)="━","⚠️ Chọn hạng mục cụ thể",$C844*VLOOKUP($B844,'4. CÀI ĐẶT'!$A$2:$H$32,2,FALSE)))</f>
        <v/>
      </c>
      <c r="F844" s="67">
        <f>IF($B844="",0,IF(LEFT($B844,1)="━",0,$C844*VLOOKUP($B844,'4. CÀI ĐẶT'!$A$2:$H$32,3,FALSE)))</f>
        <v/>
      </c>
      <c r="G844" s="67">
        <f>IF($B844="",0,IF(LEFT($B844,1)="━",0,$C844*VLOOKUP($B844,'4. CÀI ĐẶT'!$A$2:$H$32,4,FALSE)))</f>
        <v/>
      </c>
      <c r="H844" s="67">
        <f>IF($B844="",0,IF(LEFT($B844,1)="━",0,$C844*VLOOKUP($B844,'4. CÀI ĐẶT'!$A$2:$H$32,5,FALSE)))</f>
        <v/>
      </c>
      <c r="I844">
        <f>IF($B844="","",IF(LEFT($B844,1)="━","",VLOOKUP($B844,'4. CÀI ĐẶT'!$A$2:$H$32,6,FALSE)))</f>
        <v/>
      </c>
      <c r="J844" s="13">
        <f>IF($A844="","",EOMONTH($A844,0))</f>
        <v/>
      </c>
      <c r="K844" s="67">
        <f>IF($B844="",0,IF(LEFT($B844,1)="━",0,$C844*VLOOKUP($B844,'4. CÀI ĐẶT'!$A$2:$H$32,7,FALSE)))</f>
        <v/>
      </c>
    </row>
    <row r="845">
      <c r="A845" s="8" t="n"/>
      <c r="B845" s="9" t="n"/>
      <c r="C845" s="65" t="n"/>
      <c r="D845" s="9" t="n"/>
      <c r="E845" s="66">
        <f>IF($B845="","",IF(LEFT($B845,1)="━","⚠️ Chọn hạng mục cụ thể",$C845*VLOOKUP($B845,'4. CÀI ĐẶT'!$A$2:$H$32,2,FALSE)))</f>
        <v/>
      </c>
      <c r="F845" s="67">
        <f>IF($B845="",0,IF(LEFT($B845,1)="━",0,$C845*VLOOKUP($B845,'4. CÀI ĐẶT'!$A$2:$H$32,3,FALSE)))</f>
        <v/>
      </c>
      <c r="G845" s="67">
        <f>IF($B845="",0,IF(LEFT($B845,1)="━",0,$C845*VLOOKUP($B845,'4. CÀI ĐẶT'!$A$2:$H$32,4,FALSE)))</f>
        <v/>
      </c>
      <c r="H845" s="67">
        <f>IF($B845="",0,IF(LEFT($B845,1)="━",0,$C845*VLOOKUP($B845,'4. CÀI ĐẶT'!$A$2:$H$32,5,FALSE)))</f>
        <v/>
      </c>
      <c r="I845">
        <f>IF($B845="","",IF(LEFT($B845,1)="━","",VLOOKUP($B845,'4. CÀI ĐẶT'!$A$2:$H$32,6,FALSE)))</f>
        <v/>
      </c>
      <c r="J845" s="13">
        <f>IF($A845="","",EOMONTH($A845,0))</f>
        <v/>
      </c>
      <c r="K845" s="67">
        <f>IF($B845="",0,IF(LEFT($B845,1)="━",0,$C845*VLOOKUP($B845,'4. CÀI ĐẶT'!$A$2:$H$32,7,FALSE)))</f>
        <v/>
      </c>
    </row>
    <row r="846">
      <c r="A846" s="8" t="n"/>
      <c r="B846" s="9" t="n"/>
      <c r="C846" s="65" t="n"/>
      <c r="D846" s="9" t="n"/>
      <c r="E846" s="66">
        <f>IF($B846="","",IF(LEFT($B846,1)="━","⚠️ Chọn hạng mục cụ thể",$C846*VLOOKUP($B846,'4. CÀI ĐẶT'!$A$2:$H$32,2,FALSE)))</f>
        <v/>
      </c>
      <c r="F846" s="67">
        <f>IF($B846="",0,IF(LEFT($B846,1)="━",0,$C846*VLOOKUP($B846,'4. CÀI ĐẶT'!$A$2:$H$32,3,FALSE)))</f>
        <v/>
      </c>
      <c r="G846" s="67">
        <f>IF($B846="",0,IF(LEFT($B846,1)="━",0,$C846*VLOOKUP($B846,'4. CÀI ĐẶT'!$A$2:$H$32,4,FALSE)))</f>
        <v/>
      </c>
      <c r="H846" s="67">
        <f>IF($B846="",0,IF(LEFT($B846,1)="━",0,$C846*VLOOKUP($B846,'4. CÀI ĐẶT'!$A$2:$H$32,5,FALSE)))</f>
        <v/>
      </c>
      <c r="I846">
        <f>IF($B846="","",IF(LEFT($B846,1)="━","",VLOOKUP($B846,'4. CÀI ĐẶT'!$A$2:$H$32,6,FALSE)))</f>
        <v/>
      </c>
      <c r="J846" s="13">
        <f>IF($A846="","",EOMONTH($A846,0))</f>
        <v/>
      </c>
      <c r="K846" s="67">
        <f>IF($B846="",0,IF(LEFT($B846,1)="━",0,$C846*VLOOKUP($B846,'4. CÀI ĐẶT'!$A$2:$H$32,7,FALSE)))</f>
        <v/>
      </c>
    </row>
    <row r="847">
      <c r="A847" s="8" t="n"/>
      <c r="B847" s="9" t="n"/>
      <c r="C847" s="65" t="n"/>
      <c r="D847" s="9" t="n"/>
      <c r="E847" s="66">
        <f>IF($B847="","",IF(LEFT($B847,1)="━","⚠️ Chọn hạng mục cụ thể",$C847*VLOOKUP($B847,'4. CÀI ĐẶT'!$A$2:$H$32,2,FALSE)))</f>
        <v/>
      </c>
      <c r="F847" s="67">
        <f>IF($B847="",0,IF(LEFT($B847,1)="━",0,$C847*VLOOKUP($B847,'4. CÀI ĐẶT'!$A$2:$H$32,3,FALSE)))</f>
        <v/>
      </c>
      <c r="G847" s="67">
        <f>IF($B847="",0,IF(LEFT($B847,1)="━",0,$C847*VLOOKUP($B847,'4. CÀI ĐẶT'!$A$2:$H$32,4,FALSE)))</f>
        <v/>
      </c>
      <c r="H847" s="67">
        <f>IF($B847="",0,IF(LEFT($B847,1)="━",0,$C847*VLOOKUP($B847,'4. CÀI ĐẶT'!$A$2:$H$32,5,FALSE)))</f>
        <v/>
      </c>
      <c r="I847">
        <f>IF($B847="","",IF(LEFT($B847,1)="━","",VLOOKUP($B847,'4. CÀI ĐẶT'!$A$2:$H$32,6,FALSE)))</f>
        <v/>
      </c>
      <c r="J847" s="13">
        <f>IF($A847="","",EOMONTH($A847,0))</f>
        <v/>
      </c>
      <c r="K847" s="67">
        <f>IF($B847="",0,IF(LEFT($B847,1)="━",0,$C847*VLOOKUP($B847,'4. CÀI ĐẶT'!$A$2:$H$32,7,FALSE)))</f>
        <v/>
      </c>
    </row>
    <row r="848">
      <c r="A848" s="8" t="n"/>
      <c r="B848" s="9" t="n"/>
      <c r="C848" s="65" t="n"/>
      <c r="D848" s="9" t="n"/>
      <c r="E848" s="66">
        <f>IF($B848="","",IF(LEFT($B848,1)="━","⚠️ Chọn hạng mục cụ thể",$C848*VLOOKUP($B848,'4. CÀI ĐẶT'!$A$2:$H$32,2,FALSE)))</f>
        <v/>
      </c>
      <c r="F848" s="67">
        <f>IF($B848="",0,IF(LEFT($B848,1)="━",0,$C848*VLOOKUP($B848,'4. CÀI ĐẶT'!$A$2:$H$32,3,FALSE)))</f>
        <v/>
      </c>
      <c r="G848" s="67">
        <f>IF($B848="",0,IF(LEFT($B848,1)="━",0,$C848*VLOOKUP($B848,'4. CÀI ĐẶT'!$A$2:$H$32,4,FALSE)))</f>
        <v/>
      </c>
      <c r="H848" s="67">
        <f>IF($B848="",0,IF(LEFT($B848,1)="━",0,$C848*VLOOKUP($B848,'4. CÀI ĐẶT'!$A$2:$H$32,5,FALSE)))</f>
        <v/>
      </c>
      <c r="I848">
        <f>IF($B848="","",IF(LEFT($B848,1)="━","",VLOOKUP($B848,'4. CÀI ĐẶT'!$A$2:$H$32,6,FALSE)))</f>
        <v/>
      </c>
      <c r="J848" s="13">
        <f>IF($A848="","",EOMONTH($A848,0))</f>
        <v/>
      </c>
      <c r="K848" s="67">
        <f>IF($B848="",0,IF(LEFT($B848,1)="━",0,$C848*VLOOKUP($B848,'4. CÀI ĐẶT'!$A$2:$H$32,7,FALSE)))</f>
        <v/>
      </c>
    </row>
    <row r="849">
      <c r="A849" s="8" t="n"/>
      <c r="B849" s="9" t="n"/>
      <c r="C849" s="65" t="n"/>
      <c r="D849" s="9" t="n"/>
      <c r="E849" s="66">
        <f>IF($B849="","",IF(LEFT($B849,1)="━","⚠️ Chọn hạng mục cụ thể",$C849*VLOOKUP($B849,'4. CÀI ĐẶT'!$A$2:$H$32,2,FALSE)))</f>
        <v/>
      </c>
      <c r="F849" s="67">
        <f>IF($B849="",0,IF(LEFT($B849,1)="━",0,$C849*VLOOKUP($B849,'4. CÀI ĐẶT'!$A$2:$H$32,3,FALSE)))</f>
        <v/>
      </c>
      <c r="G849" s="67">
        <f>IF($B849="",0,IF(LEFT($B849,1)="━",0,$C849*VLOOKUP($B849,'4. CÀI ĐẶT'!$A$2:$H$32,4,FALSE)))</f>
        <v/>
      </c>
      <c r="H849" s="67">
        <f>IF($B849="",0,IF(LEFT($B849,1)="━",0,$C849*VLOOKUP($B849,'4. CÀI ĐẶT'!$A$2:$H$32,5,FALSE)))</f>
        <v/>
      </c>
      <c r="I849">
        <f>IF($B849="","",IF(LEFT($B849,1)="━","",VLOOKUP($B849,'4. CÀI ĐẶT'!$A$2:$H$32,6,FALSE)))</f>
        <v/>
      </c>
      <c r="J849" s="13">
        <f>IF($A849="","",EOMONTH($A849,0))</f>
        <v/>
      </c>
      <c r="K849" s="67">
        <f>IF($B849="",0,IF(LEFT($B849,1)="━",0,$C849*VLOOKUP($B849,'4. CÀI ĐẶT'!$A$2:$H$32,7,FALSE)))</f>
        <v/>
      </c>
    </row>
    <row r="850">
      <c r="A850" s="8" t="n"/>
      <c r="B850" s="9" t="n"/>
      <c r="C850" s="65" t="n"/>
      <c r="D850" s="9" t="n"/>
      <c r="E850" s="66">
        <f>IF($B850="","",IF(LEFT($B850,1)="━","⚠️ Chọn hạng mục cụ thể",$C850*VLOOKUP($B850,'4. CÀI ĐẶT'!$A$2:$H$32,2,FALSE)))</f>
        <v/>
      </c>
      <c r="F850" s="67">
        <f>IF($B850="",0,IF(LEFT($B850,1)="━",0,$C850*VLOOKUP($B850,'4. CÀI ĐẶT'!$A$2:$H$32,3,FALSE)))</f>
        <v/>
      </c>
      <c r="G850" s="67">
        <f>IF($B850="",0,IF(LEFT($B850,1)="━",0,$C850*VLOOKUP($B850,'4. CÀI ĐẶT'!$A$2:$H$32,4,FALSE)))</f>
        <v/>
      </c>
      <c r="H850" s="67">
        <f>IF($B850="",0,IF(LEFT($B850,1)="━",0,$C850*VLOOKUP($B850,'4. CÀI ĐẶT'!$A$2:$H$32,5,FALSE)))</f>
        <v/>
      </c>
      <c r="I850">
        <f>IF($B850="","",IF(LEFT($B850,1)="━","",VLOOKUP($B850,'4. CÀI ĐẶT'!$A$2:$H$32,6,FALSE)))</f>
        <v/>
      </c>
      <c r="J850" s="13">
        <f>IF($A850="","",EOMONTH($A850,0))</f>
        <v/>
      </c>
      <c r="K850" s="67">
        <f>IF($B850="",0,IF(LEFT($B850,1)="━",0,$C850*VLOOKUP($B850,'4. CÀI ĐẶT'!$A$2:$H$32,7,FALSE)))</f>
        <v/>
      </c>
    </row>
    <row r="851">
      <c r="A851" s="8" t="n"/>
      <c r="B851" s="9" t="n"/>
      <c r="C851" s="65" t="n"/>
      <c r="D851" s="9" t="n"/>
      <c r="E851" s="66">
        <f>IF($B851="","",IF(LEFT($B851,1)="━","⚠️ Chọn hạng mục cụ thể",$C851*VLOOKUP($B851,'4. CÀI ĐẶT'!$A$2:$H$32,2,FALSE)))</f>
        <v/>
      </c>
      <c r="F851" s="67">
        <f>IF($B851="",0,IF(LEFT($B851,1)="━",0,$C851*VLOOKUP($B851,'4. CÀI ĐẶT'!$A$2:$H$32,3,FALSE)))</f>
        <v/>
      </c>
      <c r="G851" s="67">
        <f>IF($B851="",0,IF(LEFT($B851,1)="━",0,$C851*VLOOKUP($B851,'4. CÀI ĐẶT'!$A$2:$H$32,4,FALSE)))</f>
        <v/>
      </c>
      <c r="H851" s="67">
        <f>IF($B851="",0,IF(LEFT($B851,1)="━",0,$C851*VLOOKUP($B851,'4. CÀI ĐẶT'!$A$2:$H$32,5,FALSE)))</f>
        <v/>
      </c>
      <c r="I851">
        <f>IF($B851="","",IF(LEFT($B851,1)="━","",VLOOKUP($B851,'4. CÀI ĐẶT'!$A$2:$H$32,6,FALSE)))</f>
        <v/>
      </c>
      <c r="J851" s="13">
        <f>IF($A851="","",EOMONTH($A851,0))</f>
        <v/>
      </c>
      <c r="K851" s="67">
        <f>IF($B851="",0,IF(LEFT($B851,1)="━",0,$C851*VLOOKUP($B851,'4. CÀI ĐẶT'!$A$2:$H$32,7,FALSE)))</f>
        <v/>
      </c>
    </row>
    <row r="852">
      <c r="A852" s="8" t="n"/>
      <c r="B852" s="9" t="n"/>
      <c r="C852" s="65" t="n"/>
      <c r="D852" s="9" t="n"/>
      <c r="E852" s="66">
        <f>IF($B852="","",IF(LEFT($B852,1)="━","⚠️ Chọn hạng mục cụ thể",$C852*VLOOKUP($B852,'4. CÀI ĐẶT'!$A$2:$H$32,2,FALSE)))</f>
        <v/>
      </c>
      <c r="F852" s="67">
        <f>IF($B852="",0,IF(LEFT($B852,1)="━",0,$C852*VLOOKUP($B852,'4. CÀI ĐẶT'!$A$2:$H$32,3,FALSE)))</f>
        <v/>
      </c>
      <c r="G852" s="67">
        <f>IF($B852="",0,IF(LEFT($B852,1)="━",0,$C852*VLOOKUP($B852,'4. CÀI ĐẶT'!$A$2:$H$32,4,FALSE)))</f>
        <v/>
      </c>
      <c r="H852" s="67">
        <f>IF($B852="",0,IF(LEFT($B852,1)="━",0,$C852*VLOOKUP($B852,'4. CÀI ĐẶT'!$A$2:$H$32,5,FALSE)))</f>
        <v/>
      </c>
      <c r="I852">
        <f>IF($B852="","",IF(LEFT($B852,1)="━","",VLOOKUP($B852,'4. CÀI ĐẶT'!$A$2:$H$32,6,FALSE)))</f>
        <v/>
      </c>
      <c r="J852" s="13">
        <f>IF($A852="","",EOMONTH($A852,0))</f>
        <v/>
      </c>
      <c r="K852" s="67">
        <f>IF($B852="",0,IF(LEFT($B852,1)="━",0,$C852*VLOOKUP($B852,'4. CÀI ĐẶT'!$A$2:$H$32,7,FALSE)))</f>
        <v/>
      </c>
    </row>
    <row r="853">
      <c r="A853" s="8" t="n"/>
      <c r="B853" s="9" t="n"/>
      <c r="C853" s="65" t="n"/>
      <c r="D853" s="9" t="n"/>
      <c r="E853" s="66">
        <f>IF($B853="","",IF(LEFT($B853,1)="━","⚠️ Chọn hạng mục cụ thể",$C853*VLOOKUP($B853,'4. CÀI ĐẶT'!$A$2:$H$32,2,FALSE)))</f>
        <v/>
      </c>
      <c r="F853" s="67">
        <f>IF($B853="",0,IF(LEFT($B853,1)="━",0,$C853*VLOOKUP($B853,'4. CÀI ĐẶT'!$A$2:$H$32,3,FALSE)))</f>
        <v/>
      </c>
      <c r="G853" s="67">
        <f>IF($B853="",0,IF(LEFT($B853,1)="━",0,$C853*VLOOKUP($B853,'4. CÀI ĐẶT'!$A$2:$H$32,4,FALSE)))</f>
        <v/>
      </c>
      <c r="H853" s="67">
        <f>IF($B853="",0,IF(LEFT($B853,1)="━",0,$C853*VLOOKUP($B853,'4. CÀI ĐẶT'!$A$2:$H$32,5,FALSE)))</f>
        <v/>
      </c>
      <c r="I853">
        <f>IF($B853="","",IF(LEFT($B853,1)="━","",VLOOKUP($B853,'4. CÀI ĐẶT'!$A$2:$H$32,6,FALSE)))</f>
        <v/>
      </c>
      <c r="J853" s="13">
        <f>IF($A853="","",EOMONTH($A853,0))</f>
        <v/>
      </c>
      <c r="K853" s="67">
        <f>IF($B853="",0,IF(LEFT($B853,1)="━",0,$C853*VLOOKUP($B853,'4. CÀI ĐẶT'!$A$2:$H$32,7,FALSE)))</f>
        <v/>
      </c>
    </row>
    <row r="854">
      <c r="A854" s="8" t="n"/>
      <c r="B854" s="9" t="n"/>
      <c r="C854" s="65" t="n"/>
      <c r="D854" s="9" t="n"/>
      <c r="E854" s="66">
        <f>IF($B854="","",IF(LEFT($B854,1)="━","⚠️ Chọn hạng mục cụ thể",$C854*VLOOKUP($B854,'4. CÀI ĐẶT'!$A$2:$H$32,2,FALSE)))</f>
        <v/>
      </c>
      <c r="F854" s="67">
        <f>IF($B854="",0,IF(LEFT($B854,1)="━",0,$C854*VLOOKUP($B854,'4. CÀI ĐẶT'!$A$2:$H$32,3,FALSE)))</f>
        <v/>
      </c>
      <c r="G854" s="67">
        <f>IF($B854="",0,IF(LEFT($B854,1)="━",0,$C854*VLOOKUP($B854,'4. CÀI ĐẶT'!$A$2:$H$32,4,FALSE)))</f>
        <v/>
      </c>
      <c r="H854" s="67">
        <f>IF($B854="",0,IF(LEFT($B854,1)="━",0,$C854*VLOOKUP($B854,'4. CÀI ĐẶT'!$A$2:$H$32,5,FALSE)))</f>
        <v/>
      </c>
      <c r="I854">
        <f>IF($B854="","",IF(LEFT($B854,1)="━","",VLOOKUP($B854,'4. CÀI ĐẶT'!$A$2:$H$32,6,FALSE)))</f>
        <v/>
      </c>
      <c r="J854" s="13">
        <f>IF($A854="","",EOMONTH($A854,0))</f>
        <v/>
      </c>
      <c r="K854" s="67">
        <f>IF($B854="",0,IF(LEFT($B854,1)="━",0,$C854*VLOOKUP($B854,'4. CÀI ĐẶT'!$A$2:$H$32,7,FALSE)))</f>
        <v/>
      </c>
    </row>
    <row r="855">
      <c r="A855" s="8" t="n"/>
      <c r="B855" s="9" t="n"/>
      <c r="C855" s="65" t="n"/>
      <c r="D855" s="9" t="n"/>
      <c r="E855" s="66">
        <f>IF($B855="","",IF(LEFT($B855,1)="━","⚠️ Chọn hạng mục cụ thể",$C855*VLOOKUP($B855,'4. CÀI ĐẶT'!$A$2:$H$32,2,FALSE)))</f>
        <v/>
      </c>
      <c r="F855" s="67">
        <f>IF($B855="",0,IF(LEFT($B855,1)="━",0,$C855*VLOOKUP($B855,'4. CÀI ĐẶT'!$A$2:$H$32,3,FALSE)))</f>
        <v/>
      </c>
      <c r="G855" s="67">
        <f>IF($B855="",0,IF(LEFT($B855,1)="━",0,$C855*VLOOKUP($B855,'4. CÀI ĐẶT'!$A$2:$H$32,4,FALSE)))</f>
        <v/>
      </c>
      <c r="H855" s="67">
        <f>IF($B855="",0,IF(LEFT($B855,1)="━",0,$C855*VLOOKUP($B855,'4. CÀI ĐẶT'!$A$2:$H$32,5,FALSE)))</f>
        <v/>
      </c>
      <c r="I855">
        <f>IF($B855="","",IF(LEFT($B855,1)="━","",VLOOKUP($B855,'4. CÀI ĐẶT'!$A$2:$H$32,6,FALSE)))</f>
        <v/>
      </c>
      <c r="J855" s="13">
        <f>IF($A855="","",EOMONTH($A855,0))</f>
        <v/>
      </c>
      <c r="K855" s="67">
        <f>IF($B855="",0,IF(LEFT($B855,1)="━",0,$C855*VLOOKUP($B855,'4. CÀI ĐẶT'!$A$2:$H$32,7,FALSE)))</f>
        <v/>
      </c>
    </row>
    <row r="856">
      <c r="A856" s="8" t="n"/>
      <c r="B856" s="9" t="n"/>
      <c r="C856" s="65" t="n"/>
      <c r="D856" s="9" t="n"/>
      <c r="E856" s="66">
        <f>IF($B856="","",IF(LEFT($B856,1)="━","⚠️ Chọn hạng mục cụ thể",$C856*VLOOKUP($B856,'4. CÀI ĐẶT'!$A$2:$H$32,2,FALSE)))</f>
        <v/>
      </c>
      <c r="F856" s="67">
        <f>IF($B856="",0,IF(LEFT($B856,1)="━",0,$C856*VLOOKUP($B856,'4. CÀI ĐẶT'!$A$2:$H$32,3,FALSE)))</f>
        <v/>
      </c>
      <c r="G856" s="67">
        <f>IF($B856="",0,IF(LEFT($B856,1)="━",0,$C856*VLOOKUP($B856,'4. CÀI ĐẶT'!$A$2:$H$32,4,FALSE)))</f>
        <v/>
      </c>
      <c r="H856" s="67">
        <f>IF($B856="",0,IF(LEFT($B856,1)="━",0,$C856*VLOOKUP($B856,'4. CÀI ĐẶT'!$A$2:$H$32,5,FALSE)))</f>
        <v/>
      </c>
      <c r="I856">
        <f>IF($B856="","",IF(LEFT($B856,1)="━","",VLOOKUP($B856,'4. CÀI ĐẶT'!$A$2:$H$32,6,FALSE)))</f>
        <v/>
      </c>
      <c r="J856" s="13">
        <f>IF($A856="","",EOMONTH($A856,0))</f>
        <v/>
      </c>
      <c r="K856" s="67">
        <f>IF($B856="",0,IF(LEFT($B856,1)="━",0,$C856*VLOOKUP($B856,'4. CÀI ĐẶT'!$A$2:$H$32,7,FALSE)))</f>
        <v/>
      </c>
    </row>
    <row r="857">
      <c r="A857" s="8" t="n"/>
      <c r="B857" s="9" t="n"/>
      <c r="C857" s="65" t="n"/>
      <c r="D857" s="9" t="n"/>
      <c r="E857" s="66">
        <f>IF($B857="","",IF(LEFT($B857,1)="━","⚠️ Chọn hạng mục cụ thể",$C857*VLOOKUP($B857,'4. CÀI ĐẶT'!$A$2:$H$32,2,FALSE)))</f>
        <v/>
      </c>
      <c r="F857" s="67">
        <f>IF($B857="",0,IF(LEFT($B857,1)="━",0,$C857*VLOOKUP($B857,'4. CÀI ĐẶT'!$A$2:$H$32,3,FALSE)))</f>
        <v/>
      </c>
      <c r="G857" s="67">
        <f>IF($B857="",0,IF(LEFT($B857,1)="━",0,$C857*VLOOKUP($B857,'4. CÀI ĐẶT'!$A$2:$H$32,4,FALSE)))</f>
        <v/>
      </c>
      <c r="H857" s="67">
        <f>IF($B857="",0,IF(LEFT($B857,1)="━",0,$C857*VLOOKUP($B857,'4. CÀI ĐẶT'!$A$2:$H$32,5,FALSE)))</f>
        <v/>
      </c>
      <c r="I857">
        <f>IF($B857="","",IF(LEFT($B857,1)="━","",VLOOKUP($B857,'4. CÀI ĐẶT'!$A$2:$H$32,6,FALSE)))</f>
        <v/>
      </c>
      <c r="J857" s="13">
        <f>IF($A857="","",EOMONTH($A857,0))</f>
        <v/>
      </c>
      <c r="K857" s="67">
        <f>IF($B857="",0,IF(LEFT($B857,1)="━",0,$C857*VLOOKUP($B857,'4. CÀI ĐẶT'!$A$2:$H$32,7,FALSE)))</f>
        <v/>
      </c>
    </row>
    <row r="858">
      <c r="A858" s="8" t="n"/>
      <c r="B858" s="9" t="n"/>
      <c r="C858" s="65" t="n"/>
      <c r="D858" s="9" t="n"/>
      <c r="E858" s="66">
        <f>IF($B858="","",IF(LEFT($B858,1)="━","⚠️ Chọn hạng mục cụ thể",$C858*VLOOKUP($B858,'4. CÀI ĐẶT'!$A$2:$H$32,2,FALSE)))</f>
        <v/>
      </c>
      <c r="F858" s="67">
        <f>IF($B858="",0,IF(LEFT($B858,1)="━",0,$C858*VLOOKUP($B858,'4. CÀI ĐẶT'!$A$2:$H$32,3,FALSE)))</f>
        <v/>
      </c>
      <c r="G858" s="67">
        <f>IF($B858="",0,IF(LEFT($B858,1)="━",0,$C858*VLOOKUP($B858,'4. CÀI ĐẶT'!$A$2:$H$32,4,FALSE)))</f>
        <v/>
      </c>
      <c r="H858" s="67">
        <f>IF($B858="",0,IF(LEFT($B858,1)="━",0,$C858*VLOOKUP($B858,'4. CÀI ĐẶT'!$A$2:$H$32,5,FALSE)))</f>
        <v/>
      </c>
      <c r="I858">
        <f>IF($B858="","",IF(LEFT($B858,1)="━","",VLOOKUP($B858,'4. CÀI ĐẶT'!$A$2:$H$32,6,FALSE)))</f>
        <v/>
      </c>
      <c r="J858" s="13">
        <f>IF($A858="","",EOMONTH($A858,0))</f>
        <v/>
      </c>
      <c r="K858" s="67">
        <f>IF($B858="",0,IF(LEFT($B858,1)="━",0,$C858*VLOOKUP($B858,'4. CÀI ĐẶT'!$A$2:$H$32,7,FALSE)))</f>
        <v/>
      </c>
    </row>
    <row r="859">
      <c r="A859" s="8" t="n"/>
      <c r="B859" s="9" t="n"/>
      <c r="C859" s="65" t="n"/>
      <c r="D859" s="9" t="n"/>
      <c r="E859" s="66">
        <f>IF($B859="","",IF(LEFT($B859,1)="━","⚠️ Chọn hạng mục cụ thể",$C859*VLOOKUP($B859,'4. CÀI ĐẶT'!$A$2:$H$32,2,FALSE)))</f>
        <v/>
      </c>
      <c r="F859" s="67">
        <f>IF($B859="",0,IF(LEFT($B859,1)="━",0,$C859*VLOOKUP($B859,'4. CÀI ĐẶT'!$A$2:$H$32,3,FALSE)))</f>
        <v/>
      </c>
      <c r="G859" s="67">
        <f>IF($B859="",0,IF(LEFT($B859,1)="━",0,$C859*VLOOKUP($B859,'4. CÀI ĐẶT'!$A$2:$H$32,4,FALSE)))</f>
        <v/>
      </c>
      <c r="H859" s="67">
        <f>IF($B859="",0,IF(LEFT($B859,1)="━",0,$C859*VLOOKUP($B859,'4. CÀI ĐẶT'!$A$2:$H$32,5,FALSE)))</f>
        <v/>
      </c>
      <c r="I859">
        <f>IF($B859="","",IF(LEFT($B859,1)="━","",VLOOKUP($B859,'4. CÀI ĐẶT'!$A$2:$H$32,6,FALSE)))</f>
        <v/>
      </c>
      <c r="J859" s="13">
        <f>IF($A859="","",EOMONTH($A859,0))</f>
        <v/>
      </c>
      <c r="K859" s="67">
        <f>IF($B859="",0,IF(LEFT($B859,1)="━",0,$C859*VLOOKUP($B859,'4. CÀI ĐẶT'!$A$2:$H$32,7,FALSE)))</f>
        <v/>
      </c>
    </row>
    <row r="860">
      <c r="A860" s="8" t="n"/>
      <c r="B860" s="9" t="n"/>
      <c r="C860" s="65" t="n"/>
      <c r="D860" s="9" t="n"/>
      <c r="E860" s="66">
        <f>IF($B860="","",IF(LEFT($B860,1)="━","⚠️ Chọn hạng mục cụ thể",$C860*VLOOKUP($B860,'4. CÀI ĐẶT'!$A$2:$H$32,2,FALSE)))</f>
        <v/>
      </c>
      <c r="F860" s="67">
        <f>IF($B860="",0,IF(LEFT($B860,1)="━",0,$C860*VLOOKUP($B860,'4. CÀI ĐẶT'!$A$2:$H$32,3,FALSE)))</f>
        <v/>
      </c>
      <c r="G860" s="67">
        <f>IF($B860="",0,IF(LEFT($B860,1)="━",0,$C860*VLOOKUP($B860,'4. CÀI ĐẶT'!$A$2:$H$32,4,FALSE)))</f>
        <v/>
      </c>
      <c r="H860" s="67">
        <f>IF($B860="",0,IF(LEFT($B860,1)="━",0,$C860*VLOOKUP($B860,'4. CÀI ĐẶT'!$A$2:$H$32,5,FALSE)))</f>
        <v/>
      </c>
      <c r="I860">
        <f>IF($B860="","",IF(LEFT($B860,1)="━","",VLOOKUP($B860,'4. CÀI ĐẶT'!$A$2:$H$32,6,FALSE)))</f>
        <v/>
      </c>
      <c r="J860" s="13">
        <f>IF($A860="","",EOMONTH($A860,0))</f>
        <v/>
      </c>
      <c r="K860" s="67">
        <f>IF($B860="",0,IF(LEFT($B860,1)="━",0,$C860*VLOOKUP($B860,'4. CÀI ĐẶT'!$A$2:$H$32,7,FALSE)))</f>
        <v/>
      </c>
    </row>
    <row r="861">
      <c r="A861" s="8" t="n"/>
      <c r="B861" s="9" t="n"/>
      <c r="C861" s="65" t="n"/>
      <c r="D861" s="9" t="n"/>
      <c r="E861" s="66">
        <f>IF($B861="","",IF(LEFT($B861,1)="━","⚠️ Chọn hạng mục cụ thể",$C861*VLOOKUP($B861,'4. CÀI ĐẶT'!$A$2:$H$32,2,FALSE)))</f>
        <v/>
      </c>
      <c r="F861" s="67">
        <f>IF($B861="",0,IF(LEFT($B861,1)="━",0,$C861*VLOOKUP($B861,'4. CÀI ĐẶT'!$A$2:$H$32,3,FALSE)))</f>
        <v/>
      </c>
      <c r="G861" s="67">
        <f>IF($B861="",0,IF(LEFT($B861,1)="━",0,$C861*VLOOKUP($B861,'4. CÀI ĐẶT'!$A$2:$H$32,4,FALSE)))</f>
        <v/>
      </c>
      <c r="H861" s="67">
        <f>IF($B861="",0,IF(LEFT($B861,1)="━",0,$C861*VLOOKUP($B861,'4. CÀI ĐẶT'!$A$2:$H$32,5,FALSE)))</f>
        <v/>
      </c>
      <c r="I861">
        <f>IF($B861="","",IF(LEFT($B861,1)="━","",VLOOKUP($B861,'4. CÀI ĐẶT'!$A$2:$H$32,6,FALSE)))</f>
        <v/>
      </c>
      <c r="J861" s="13">
        <f>IF($A861="","",EOMONTH($A861,0))</f>
        <v/>
      </c>
      <c r="K861" s="67">
        <f>IF($B861="",0,IF(LEFT($B861,1)="━",0,$C861*VLOOKUP($B861,'4. CÀI ĐẶT'!$A$2:$H$32,7,FALSE)))</f>
        <v/>
      </c>
    </row>
    <row r="862">
      <c r="A862" s="8" t="n"/>
      <c r="B862" s="9" t="n"/>
      <c r="C862" s="65" t="n"/>
      <c r="D862" s="9" t="n"/>
      <c r="E862" s="66">
        <f>IF($B862="","",IF(LEFT($B862,1)="━","⚠️ Chọn hạng mục cụ thể",$C862*VLOOKUP($B862,'4. CÀI ĐẶT'!$A$2:$H$32,2,FALSE)))</f>
        <v/>
      </c>
      <c r="F862" s="67">
        <f>IF($B862="",0,IF(LEFT($B862,1)="━",0,$C862*VLOOKUP($B862,'4. CÀI ĐẶT'!$A$2:$H$32,3,FALSE)))</f>
        <v/>
      </c>
      <c r="G862" s="67">
        <f>IF($B862="",0,IF(LEFT($B862,1)="━",0,$C862*VLOOKUP($B862,'4. CÀI ĐẶT'!$A$2:$H$32,4,FALSE)))</f>
        <v/>
      </c>
      <c r="H862" s="67">
        <f>IF($B862="",0,IF(LEFT($B862,1)="━",0,$C862*VLOOKUP($B862,'4. CÀI ĐẶT'!$A$2:$H$32,5,FALSE)))</f>
        <v/>
      </c>
      <c r="I862">
        <f>IF($B862="","",IF(LEFT($B862,1)="━","",VLOOKUP($B862,'4. CÀI ĐẶT'!$A$2:$H$32,6,FALSE)))</f>
        <v/>
      </c>
      <c r="J862" s="13">
        <f>IF($A862="","",EOMONTH($A862,0))</f>
        <v/>
      </c>
      <c r="K862" s="67">
        <f>IF($B862="",0,IF(LEFT($B862,1)="━",0,$C862*VLOOKUP($B862,'4. CÀI ĐẶT'!$A$2:$H$32,7,FALSE)))</f>
        <v/>
      </c>
    </row>
    <row r="863">
      <c r="A863" s="8" t="n"/>
      <c r="B863" s="9" t="n"/>
      <c r="C863" s="65" t="n"/>
      <c r="D863" s="9" t="n"/>
      <c r="E863" s="66">
        <f>IF($B863="","",IF(LEFT($B863,1)="━","⚠️ Chọn hạng mục cụ thể",$C863*VLOOKUP($B863,'4. CÀI ĐẶT'!$A$2:$H$32,2,FALSE)))</f>
        <v/>
      </c>
      <c r="F863" s="67">
        <f>IF($B863="",0,IF(LEFT($B863,1)="━",0,$C863*VLOOKUP($B863,'4. CÀI ĐẶT'!$A$2:$H$32,3,FALSE)))</f>
        <v/>
      </c>
      <c r="G863" s="67">
        <f>IF($B863="",0,IF(LEFT($B863,1)="━",0,$C863*VLOOKUP($B863,'4. CÀI ĐẶT'!$A$2:$H$32,4,FALSE)))</f>
        <v/>
      </c>
      <c r="H863" s="67">
        <f>IF($B863="",0,IF(LEFT($B863,1)="━",0,$C863*VLOOKUP($B863,'4. CÀI ĐẶT'!$A$2:$H$32,5,FALSE)))</f>
        <v/>
      </c>
      <c r="I863">
        <f>IF($B863="","",IF(LEFT($B863,1)="━","",VLOOKUP($B863,'4. CÀI ĐẶT'!$A$2:$H$32,6,FALSE)))</f>
        <v/>
      </c>
      <c r="J863" s="13">
        <f>IF($A863="","",EOMONTH($A863,0))</f>
        <v/>
      </c>
      <c r="K863" s="67">
        <f>IF($B863="",0,IF(LEFT($B863,1)="━",0,$C863*VLOOKUP($B863,'4. CÀI ĐẶT'!$A$2:$H$32,7,FALSE)))</f>
        <v/>
      </c>
    </row>
    <row r="864">
      <c r="A864" s="8" t="n"/>
      <c r="B864" s="9" t="n"/>
      <c r="C864" s="65" t="n"/>
      <c r="D864" s="9" t="n"/>
      <c r="E864" s="66">
        <f>IF($B864="","",IF(LEFT($B864,1)="━","⚠️ Chọn hạng mục cụ thể",$C864*VLOOKUP($B864,'4. CÀI ĐẶT'!$A$2:$H$32,2,FALSE)))</f>
        <v/>
      </c>
      <c r="F864" s="67">
        <f>IF($B864="",0,IF(LEFT($B864,1)="━",0,$C864*VLOOKUP($B864,'4. CÀI ĐẶT'!$A$2:$H$32,3,FALSE)))</f>
        <v/>
      </c>
      <c r="G864" s="67">
        <f>IF($B864="",0,IF(LEFT($B864,1)="━",0,$C864*VLOOKUP($B864,'4. CÀI ĐẶT'!$A$2:$H$32,4,FALSE)))</f>
        <v/>
      </c>
      <c r="H864" s="67">
        <f>IF($B864="",0,IF(LEFT($B864,1)="━",0,$C864*VLOOKUP($B864,'4. CÀI ĐẶT'!$A$2:$H$32,5,FALSE)))</f>
        <v/>
      </c>
      <c r="I864">
        <f>IF($B864="","",IF(LEFT($B864,1)="━","",VLOOKUP($B864,'4. CÀI ĐẶT'!$A$2:$H$32,6,FALSE)))</f>
        <v/>
      </c>
      <c r="J864" s="13">
        <f>IF($A864="","",EOMONTH($A864,0))</f>
        <v/>
      </c>
      <c r="K864" s="67">
        <f>IF($B864="",0,IF(LEFT($B864,1)="━",0,$C864*VLOOKUP($B864,'4. CÀI ĐẶT'!$A$2:$H$32,7,FALSE)))</f>
        <v/>
      </c>
    </row>
    <row r="865">
      <c r="A865" s="8" t="n"/>
      <c r="B865" s="9" t="n"/>
      <c r="C865" s="65" t="n"/>
      <c r="D865" s="9" t="n"/>
      <c r="E865" s="66">
        <f>IF($B865="","",IF(LEFT($B865,1)="━","⚠️ Chọn hạng mục cụ thể",$C865*VLOOKUP($B865,'4. CÀI ĐẶT'!$A$2:$H$32,2,FALSE)))</f>
        <v/>
      </c>
      <c r="F865" s="67">
        <f>IF($B865="",0,IF(LEFT($B865,1)="━",0,$C865*VLOOKUP($B865,'4. CÀI ĐẶT'!$A$2:$H$32,3,FALSE)))</f>
        <v/>
      </c>
      <c r="G865" s="67">
        <f>IF($B865="",0,IF(LEFT($B865,1)="━",0,$C865*VLOOKUP($B865,'4. CÀI ĐẶT'!$A$2:$H$32,4,FALSE)))</f>
        <v/>
      </c>
      <c r="H865" s="67">
        <f>IF($B865="",0,IF(LEFT($B865,1)="━",0,$C865*VLOOKUP($B865,'4. CÀI ĐẶT'!$A$2:$H$32,5,FALSE)))</f>
        <v/>
      </c>
      <c r="I865">
        <f>IF($B865="","",IF(LEFT($B865,1)="━","",VLOOKUP($B865,'4. CÀI ĐẶT'!$A$2:$H$32,6,FALSE)))</f>
        <v/>
      </c>
      <c r="J865" s="13">
        <f>IF($A865="","",EOMONTH($A865,0))</f>
        <v/>
      </c>
      <c r="K865" s="67">
        <f>IF($B865="",0,IF(LEFT($B865,1)="━",0,$C865*VLOOKUP($B865,'4. CÀI ĐẶT'!$A$2:$H$32,7,FALSE)))</f>
        <v/>
      </c>
    </row>
    <row r="866">
      <c r="A866" s="8" t="n"/>
      <c r="B866" s="9" t="n"/>
      <c r="C866" s="65" t="n"/>
      <c r="D866" s="9" t="n"/>
      <c r="E866" s="66">
        <f>IF($B866="","",IF(LEFT($B866,1)="━","⚠️ Chọn hạng mục cụ thể",$C866*VLOOKUP($B866,'4. CÀI ĐẶT'!$A$2:$H$32,2,FALSE)))</f>
        <v/>
      </c>
      <c r="F866" s="67">
        <f>IF($B866="",0,IF(LEFT($B866,1)="━",0,$C866*VLOOKUP($B866,'4. CÀI ĐẶT'!$A$2:$H$32,3,FALSE)))</f>
        <v/>
      </c>
      <c r="G866" s="67">
        <f>IF($B866="",0,IF(LEFT($B866,1)="━",0,$C866*VLOOKUP($B866,'4. CÀI ĐẶT'!$A$2:$H$32,4,FALSE)))</f>
        <v/>
      </c>
      <c r="H866" s="67">
        <f>IF($B866="",0,IF(LEFT($B866,1)="━",0,$C866*VLOOKUP($B866,'4. CÀI ĐẶT'!$A$2:$H$32,5,FALSE)))</f>
        <v/>
      </c>
      <c r="I866">
        <f>IF($B866="","",IF(LEFT($B866,1)="━","",VLOOKUP($B866,'4. CÀI ĐẶT'!$A$2:$H$32,6,FALSE)))</f>
        <v/>
      </c>
      <c r="J866" s="13">
        <f>IF($A866="","",EOMONTH($A866,0))</f>
        <v/>
      </c>
      <c r="K866" s="67">
        <f>IF($B866="",0,IF(LEFT($B866,1)="━",0,$C866*VLOOKUP($B866,'4. CÀI ĐẶT'!$A$2:$H$32,7,FALSE)))</f>
        <v/>
      </c>
    </row>
    <row r="867">
      <c r="A867" s="8" t="n"/>
      <c r="B867" s="9" t="n"/>
      <c r="C867" s="65" t="n"/>
      <c r="D867" s="9" t="n"/>
      <c r="E867" s="66">
        <f>IF($B867="","",IF(LEFT($B867,1)="━","⚠️ Chọn hạng mục cụ thể",$C867*VLOOKUP($B867,'4. CÀI ĐẶT'!$A$2:$H$32,2,FALSE)))</f>
        <v/>
      </c>
      <c r="F867" s="67">
        <f>IF($B867="",0,IF(LEFT($B867,1)="━",0,$C867*VLOOKUP($B867,'4. CÀI ĐẶT'!$A$2:$H$32,3,FALSE)))</f>
        <v/>
      </c>
      <c r="G867" s="67">
        <f>IF($B867="",0,IF(LEFT($B867,1)="━",0,$C867*VLOOKUP($B867,'4. CÀI ĐẶT'!$A$2:$H$32,4,FALSE)))</f>
        <v/>
      </c>
      <c r="H867" s="67">
        <f>IF($B867="",0,IF(LEFT($B867,1)="━",0,$C867*VLOOKUP($B867,'4. CÀI ĐẶT'!$A$2:$H$32,5,FALSE)))</f>
        <v/>
      </c>
      <c r="I867">
        <f>IF($B867="","",IF(LEFT($B867,1)="━","",VLOOKUP($B867,'4. CÀI ĐẶT'!$A$2:$H$32,6,FALSE)))</f>
        <v/>
      </c>
      <c r="J867" s="13">
        <f>IF($A867="","",EOMONTH($A867,0))</f>
        <v/>
      </c>
      <c r="K867" s="67">
        <f>IF($B867="",0,IF(LEFT($B867,1)="━",0,$C867*VLOOKUP($B867,'4. CÀI ĐẶT'!$A$2:$H$32,7,FALSE)))</f>
        <v/>
      </c>
    </row>
    <row r="868">
      <c r="A868" s="8" t="n"/>
      <c r="B868" s="9" t="n"/>
      <c r="C868" s="65" t="n"/>
      <c r="D868" s="9" t="n"/>
      <c r="E868" s="66">
        <f>IF($B868="","",IF(LEFT($B868,1)="━","⚠️ Chọn hạng mục cụ thể",$C868*VLOOKUP($B868,'4. CÀI ĐẶT'!$A$2:$H$32,2,FALSE)))</f>
        <v/>
      </c>
      <c r="F868" s="67">
        <f>IF($B868="",0,IF(LEFT($B868,1)="━",0,$C868*VLOOKUP($B868,'4. CÀI ĐẶT'!$A$2:$H$32,3,FALSE)))</f>
        <v/>
      </c>
      <c r="G868" s="67">
        <f>IF($B868="",0,IF(LEFT($B868,1)="━",0,$C868*VLOOKUP($B868,'4. CÀI ĐẶT'!$A$2:$H$32,4,FALSE)))</f>
        <v/>
      </c>
      <c r="H868" s="67">
        <f>IF($B868="",0,IF(LEFT($B868,1)="━",0,$C868*VLOOKUP($B868,'4. CÀI ĐẶT'!$A$2:$H$32,5,FALSE)))</f>
        <v/>
      </c>
      <c r="I868">
        <f>IF($B868="","",IF(LEFT($B868,1)="━","",VLOOKUP($B868,'4. CÀI ĐẶT'!$A$2:$H$32,6,FALSE)))</f>
        <v/>
      </c>
      <c r="J868" s="13">
        <f>IF($A868="","",EOMONTH($A868,0))</f>
        <v/>
      </c>
      <c r="K868" s="67">
        <f>IF($B868="",0,IF(LEFT($B868,1)="━",0,$C868*VLOOKUP($B868,'4. CÀI ĐẶT'!$A$2:$H$32,7,FALSE)))</f>
        <v/>
      </c>
    </row>
    <row r="869">
      <c r="A869" s="8" t="n"/>
      <c r="B869" s="9" t="n"/>
      <c r="C869" s="65" t="n"/>
      <c r="D869" s="9" t="n"/>
      <c r="E869" s="66">
        <f>IF($B869="","",IF(LEFT($B869,1)="━","⚠️ Chọn hạng mục cụ thể",$C869*VLOOKUP($B869,'4. CÀI ĐẶT'!$A$2:$H$32,2,FALSE)))</f>
        <v/>
      </c>
      <c r="F869" s="67">
        <f>IF($B869="",0,IF(LEFT($B869,1)="━",0,$C869*VLOOKUP($B869,'4. CÀI ĐẶT'!$A$2:$H$32,3,FALSE)))</f>
        <v/>
      </c>
      <c r="G869" s="67">
        <f>IF($B869="",0,IF(LEFT($B869,1)="━",0,$C869*VLOOKUP($B869,'4. CÀI ĐẶT'!$A$2:$H$32,4,FALSE)))</f>
        <v/>
      </c>
      <c r="H869" s="67">
        <f>IF($B869="",0,IF(LEFT($B869,1)="━",0,$C869*VLOOKUP($B869,'4. CÀI ĐẶT'!$A$2:$H$32,5,FALSE)))</f>
        <v/>
      </c>
      <c r="I869">
        <f>IF($B869="","",IF(LEFT($B869,1)="━","",VLOOKUP($B869,'4. CÀI ĐẶT'!$A$2:$H$32,6,FALSE)))</f>
        <v/>
      </c>
      <c r="J869" s="13">
        <f>IF($A869="","",EOMONTH($A869,0))</f>
        <v/>
      </c>
      <c r="K869" s="67">
        <f>IF($B869="",0,IF(LEFT($B869,1)="━",0,$C869*VLOOKUP($B869,'4. CÀI ĐẶT'!$A$2:$H$32,7,FALSE)))</f>
        <v/>
      </c>
    </row>
    <row r="870">
      <c r="A870" s="8" t="n"/>
      <c r="B870" s="9" t="n"/>
      <c r="C870" s="65" t="n"/>
      <c r="D870" s="9" t="n"/>
      <c r="E870" s="66">
        <f>IF($B870="","",IF(LEFT($B870,1)="━","⚠️ Chọn hạng mục cụ thể",$C870*VLOOKUP($B870,'4. CÀI ĐẶT'!$A$2:$H$32,2,FALSE)))</f>
        <v/>
      </c>
      <c r="F870" s="67">
        <f>IF($B870="",0,IF(LEFT($B870,1)="━",0,$C870*VLOOKUP($B870,'4. CÀI ĐẶT'!$A$2:$H$32,3,FALSE)))</f>
        <v/>
      </c>
      <c r="G870" s="67">
        <f>IF($B870="",0,IF(LEFT($B870,1)="━",0,$C870*VLOOKUP($B870,'4. CÀI ĐẶT'!$A$2:$H$32,4,FALSE)))</f>
        <v/>
      </c>
      <c r="H870" s="67">
        <f>IF($B870="",0,IF(LEFT($B870,1)="━",0,$C870*VLOOKUP($B870,'4. CÀI ĐẶT'!$A$2:$H$32,5,FALSE)))</f>
        <v/>
      </c>
      <c r="I870">
        <f>IF($B870="","",IF(LEFT($B870,1)="━","",VLOOKUP($B870,'4. CÀI ĐẶT'!$A$2:$H$32,6,FALSE)))</f>
        <v/>
      </c>
      <c r="J870" s="13">
        <f>IF($A870="","",EOMONTH($A870,0))</f>
        <v/>
      </c>
      <c r="K870" s="67">
        <f>IF($B870="",0,IF(LEFT($B870,1)="━",0,$C870*VLOOKUP($B870,'4. CÀI ĐẶT'!$A$2:$H$32,7,FALSE)))</f>
        <v/>
      </c>
    </row>
    <row r="871">
      <c r="A871" s="8" t="n"/>
      <c r="B871" s="9" t="n"/>
      <c r="C871" s="65" t="n"/>
      <c r="D871" s="9" t="n"/>
      <c r="E871" s="66">
        <f>IF($B871="","",IF(LEFT($B871,1)="━","⚠️ Chọn hạng mục cụ thể",$C871*VLOOKUP($B871,'4. CÀI ĐẶT'!$A$2:$H$32,2,FALSE)))</f>
        <v/>
      </c>
      <c r="F871" s="67">
        <f>IF($B871="",0,IF(LEFT($B871,1)="━",0,$C871*VLOOKUP($B871,'4. CÀI ĐẶT'!$A$2:$H$32,3,FALSE)))</f>
        <v/>
      </c>
      <c r="G871" s="67">
        <f>IF($B871="",0,IF(LEFT($B871,1)="━",0,$C871*VLOOKUP($B871,'4. CÀI ĐẶT'!$A$2:$H$32,4,FALSE)))</f>
        <v/>
      </c>
      <c r="H871" s="67">
        <f>IF($B871="",0,IF(LEFT($B871,1)="━",0,$C871*VLOOKUP($B871,'4. CÀI ĐẶT'!$A$2:$H$32,5,FALSE)))</f>
        <v/>
      </c>
      <c r="I871">
        <f>IF($B871="","",IF(LEFT($B871,1)="━","",VLOOKUP($B871,'4. CÀI ĐẶT'!$A$2:$H$32,6,FALSE)))</f>
        <v/>
      </c>
      <c r="J871" s="13">
        <f>IF($A871="","",EOMONTH($A871,0))</f>
        <v/>
      </c>
      <c r="K871" s="67">
        <f>IF($B871="",0,IF(LEFT($B871,1)="━",0,$C871*VLOOKUP($B871,'4. CÀI ĐẶT'!$A$2:$H$32,7,FALSE)))</f>
        <v/>
      </c>
    </row>
    <row r="872">
      <c r="A872" s="8" t="n"/>
      <c r="B872" s="9" t="n"/>
      <c r="C872" s="65" t="n"/>
      <c r="D872" s="9" t="n"/>
      <c r="E872" s="66">
        <f>IF($B872="","",IF(LEFT($B872,1)="━","⚠️ Chọn hạng mục cụ thể",$C872*VLOOKUP($B872,'4. CÀI ĐẶT'!$A$2:$H$32,2,FALSE)))</f>
        <v/>
      </c>
      <c r="F872" s="67">
        <f>IF($B872="",0,IF(LEFT($B872,1)="━",0,$C872*VLOOKUP($B872,'4. CÀI ĐẶT'!$A$2:$H$32,3,FALSE)))</f>
        <v/>
      </c>
      <c r="G872" s="67">
        <f>IF($B872="",0,IF(LEFT($B872,1)="━",0,$C872*VLOOKUP($B872,'4. CÀI ĐẶT'!$A$2:$H$32,4,FALSE)))</f>
        <v/>
      </c>
      <c r="H872" s="67">
        <f>IF($B872="",0,IF(LEFT($B872,1)="━",0,$C872*VLOOKUP($B872,'4. CÀI ĐẶT'!$A$2:$H$32,5,FALSE)))</f>
        <v/>
      </c>
      <c r="I872">
        <f>IF($B872="","",IF(LEFT($B872,1)="━","",VLOOKUP($B872,'4. CÀI ĐẶT'!$A$2:$H$32,6,FALSE)))</f>
        <v/>
      </c>
      <c r="J872" s="13">
        <f>IF($A872="","",EOMONTH($A872,0))</f>
        <v/>
      </c>
      <c r="K872" s="67">
        <f>IF($B872="",0,IF(LEFT($B872,1)="━",0,$C872*VLOOKUP($B872,'4. CÀI ĐẶT'!$A$2:$H$32,7,FALSE)))</f>
        <v/>
      </c>
    </row>
    <row r="873">
      <c r="A873" s="8" t="n"/>
      <c r="B873" s="9" t="n"/>
      <c r="C873" s="65" t="n"/>
      <c r="D873" s="9" t="n"/>
      <c r="E873" s="66">
        <f>IF($B873="","",IF(LEFT($B873,1)="━","⚠️ Chọn hạng mục cụ thể",$C873*VLOOKUP($B873,'4. CÀI ĐẶT'!$A$2:$H$32,2,FALSE)))</f>
        <v/>
      </c>
      <c r="F873" s="67">
        <f>IF($B873="",0,IF(LEFT($B873,1)="━",0,$C873*VLOOKUP($B873,'4. CÀI ĐẶT'!$A$2:$H$32,3,FALSE)))</f>
        <v/>
      </c>
      <c r="G873" s="67">
        <f>IF($B873="",0,IF(LEFT($B873,1)="━",0,$C873*VLOOKUP($B873,'4. CÀI ĐẶT'!$A$2:$H$32,4,FALSE)))</f>
        <v/>
      </c>
      <c r="H873" s="67">
        <f>IF($B873="",0,IF(LEFT($B873,1)="━",0,$C873*VLOOKUP($B873,'4. CÀI ĐẶT'!$A$2:$H$32,5,FALSE)))</f>
        <v/>
      </c>
      <c r="I873">
        <f>IF($B873="","",IF(LEFT($B873,1)="━","",VLOOKUP($B873,'4. CÀI ĐẶT'!$A$2:$H$32,6,FALSE)))</f>
        <v/>
      </c>
      <c r="J873" s="13">
        <f>IF($A873="","",EOMONTH($A873,0))</f>
        <v/>
      </c>
      <c r="K873" s="67">
        <f>IF($B873="",0,IF(LEFT($B873,1)="━",0,$C873*VLOOKUP($B873,'4. CÀI ĐẶT'!$A$2:$H$32,7,FALSE)))</f>
        <v/>
      </c>
    </row>
    <row r="874">
      <c r="A874" s="8" t="n"/>
      <c r="B874" s="9" t="n"/>
      <c r="C874" s="65" t="n"/>
      <c r="D874" s="9" t="n"/>
      <c r="E874" s="66">
        <f>IF($B874="","",IF(LEFT($B874,1)="━","⚠️ Chọn hạng mục cụ thể",$C874*VLOOKUP($B874,'4. CÀI ĐẶT'!$A$2:$H$32,2,FALSE)))</f>
        <v/>
      </c>
      <c r="F874" s="67">
        <f>IF($B874="",0,IF(LEFT($B874,1)="━",0,$C874*VLOOKUP($B874,'4. CÀI ĐẶT'!$A$2:$H$32,3,FALSE)))</f>
        <v/>
      </c>
      <c r="G874" s="67">
        <f>IF($B874="",0,IF(LEFT($B874,1)="━",0,$C874*VLOOKUP($B874,'4. CÀI ĐẶT'!$A$2:$H$32,4,FALSE)))</f>
        <v/>
      </c>
      <c r="H874" s="67">
        <f>IF($B874="",0,IF(LEFT($B874,1)="━",0,$C874*VLOOKUP($B874,'4. CÀI ĐẶT'!$A$2:$H$32,5,FALSE)))</f>
        <v/>
      </c>
      <c r="I874">
        <f>IF($B874="","",IF(LEFT($B874,1)="━","",VLOOKUP($B874,'4. CÀI ĐẶT'!$A$2:$H$32,6,FALSE)))</f>
        <v/>
      </c>
      <c r="J874" s="13">
        <f>IF($A874="","",EOMONTH($A874,0))</f>
        <v/>
      </c>
      <c r="K874" s="67">
        <f>IF($B874="",0,IF(LEFT($B874,1)="━",0,$C874*VLOOKUP($B874,'4. CÀI ĐẶT'!$A$2:$H$32,7,FALSE)))</f>
        <v/>
      </c>
    </row>
    <row r="875">
      <c r="A875" s="8" t="n"/>
      <c r="B875" s="9" t="n"/>
      <c r="C875" s="65" t="n"/>
      <c r="D875" s="9" t="n"/>
      <c r="E875" s="66">
        <f>IF($B875="","",IF(LEFT($B875,1)="━","⚠️ Chọn hạng mục cụ thể",$C875*VLOOKUP($B875,'4. CÀI ĐẶT'!$A$2:$H$32,2,FALSE)))</f>
        <v/>
      </c>
      <c r="F875" s="67">
        <f>IF($B875="",0,IF(LEFT($B875,1)="━",0,$C875*VLOOKUP($B875,'4. CÀI ĐẶT'!$A$2:$H$32,3,FALSE)))</f>
        <v/>
      </c>
      <c r="G875" s="67">
        <f>IF($B875="",0,IF(LEFT($B875,1)="━",0,$C875*VLOOKUP($B875,'4. CÀI ĐẶT'!$A$2:$H$32,4,FALSE)))</f>
        <v/>
      </c>
      <c r="H875" s="67">
        <f>IF($B875="",0,IF(LEFT($B875,1)="━",0,$C875*VLOOKUP($B875,'4. CÀI ĐẶT'!$A$2:$H$32,5,FALSE)))</f>
        <v/>
      </c>
      <c r="I875">
        <f>IF($B875="","",IF(LEFT($B875,1)="━","",VLOOKUP($B875,'4. CÀI ĐẶT'!$A$2:$H$32,6,FALSE)))</f>
        <v/>
      </c>
      <c r="J875" s="13">
        <f>IF($A875="","",EOMONTH($A875,0))</f>
        <v/>
      </c>
      <c r="K875" s="67">
        <f>IF($B875="",0,IF(LEFT($B875,1)="━",0,$C875*VLOOKUP($B875,'4. CÀI ĐẶT'!$A$2:$H$32,7,FALSE)))</f>
        <v/>
      </c>
    </row>
    <row r="876">
      <c r="A876" s="8" t="n"/>
      <c r="B876" s="9" t="n"/>
      <c r="C876" s="65" t="n"/>
      <c r="D876" s="9" t="n"/>
      <c r="E876" s="66">
        <f>IF($B876="","",IF(LEFT($B876,1)="━","⚠️ Chọn hạng mục cụ thể",$C876*VLOOKUP($B876,'4. CÀI ĐẶT'!$A$2:$H$32,2,FALSE)))</f>
        <v/>
      </c>
      <c r="F876" s="67">
        <f>IF($B876="",0,IF(LEFT($B876,1)="━",0,$C876*VLOOKUP($B876,'4. CÀI ĐẶT'!$A$2:$H$32,3,FALSE)))</f>
        <v/>
      </c>
      <c r="G876" s="67">
        <f>IF($B876="",0,IF(LEFT($B876,1)="━",0,$C876*VLOOKUP($B876,'4. CÀI ĐẶT'!$A$2:$H$32,4,FALSE)))</f>
        <v/>
      </c>
      <c r="H876" s="67">
        <f>IF($B876="",0,IF(LEFT($B876,1)="━",0,$C876*VLOOKUP($B876,'4. CÀI ĐẶT'!$A$2:$H$32,5,FALSE)))</f>
        <v/>
      </c>
      <c r="I876">
        <f>IF($B876="","",IF(LEFT($B876,1)="━","",VLOOKUP($B876,'4. CÀI ĐẶT'!$A$2:$H$32,6,FALSE)))</f>
        <v/>
      </c>
      <c r="J876" s="13">
        <f>IF($A876="","",EOMONTH($A876,0))</f>
        <v/>
      </c>
      <c r="K876" s="67">
        <f>IF($B876="",0,IF(LEFT($B876,1)="━",0,$C876*VLOOKUP($B876,'4. CÀI ĐẶT'!$A$2:$H$32,7,FALSE)))</f>
        <v/>
      </c>
    </row>
    <row r="877">
      <c r="A877" s="8" t="n"/>
      <c r="B877" s="9" t="n"/>
      <c r="C877" s="65" t="n"/>
      <c r="D877" s="9" t="n"/>
      <c r="E877" s="66">
        <f>IF($B877="","",IF(LEFT($B877,1)="━","⚠️ Chọn hạng mục cụ thể",$C877*VLOOKUP($B877,'4. CÀI ĐẶT'!$A$2:$H$32,2,FALSE)))</f>
        <v/>
      </c>
      <c r="F877" s="67">
        <f>IF($B877="",0,IF(LEFT($B877,1)="━",0,$C877*VLOOKUP($B877,'4. CÀI ĐẶT'!$A$2:$H$32,3,FALSE)))</f>
        <v/>
      </c>
      <c r="G877" s="67">
        <f>IF($B877="",0,IF(LEFT($B877,1)="━",0,$C877*VLOOKUP($B877,'4. CÀI ĐẶT'!$A$2:$H$32,4,FALSE)))</f>
        <v/>
      </c>
      <c r="H877" s="67">
        <f>IF($B877="",0,IF(LEFT($B877,1)="━",0,$C877*VLOOKUP($B877,'4. CÀI ĐẶT'!$A$2:$H$32,5,FALSE)))</f>
        <v/>
      </c>
      <c r="I877">
        <f>IF($B877="","",IF(LEFT($B877,1)="━","",VLOOKUP($B877,'4. CÀI ĐẶT'!$A$2:$H$32,6,FALSE)))</f>
        <v/>
      </c>
      <c r="J877" s="13">
        <f>IF($A877="","",EOMONTH($A877,0))</f>
        <v/>
      </c>
      <c r="K877" s="67">
        <f>IF($B877="",0,IF(LEFT($B877,1)="━",0,$C877*VLOOKUP($B877,'4. CÀI ĐẶT'!$A$2:$H$32,7,FALSE)))</f>
        <v/>
      </c>
    </row>
    <row r="878">
      <c r="A878" s="8" t="n"/>
      <c r="B878" s="9" t="n"/>
      <c r="C878" s="65" t="n"/>
      <c r="D878" s="9" t="n"/>
      <c r="E878" s="66">
        <f>IF($B878="","",IF(LEFT($B878,1)="━","⚠️ Chọn hạng mục cụ thể",$C878*VLOOKUP($B878,'4. CÀI ĐẶT'!$A$2:$H$32,2,FALSE)))</f>
        <v/>
      </c>
      <c r="F878" s="67">
        <f>IF($B878="",0,IF(LEFT($B878,1)="━",0,$C878*VLOOKUP($B878,'4. CÀI ĐẶT'!$A$2:$H$32,3,FALSE)))</f>
        <v/>
      </c>
      <c r="G878" s="67">
        <f>IF($B878="",0,IF(LEFT($B878,1)="━",0,$C878*VLOOKUP($B878,'4. CÀI ĐẶT'!$A$2:$H$32,4,FALSE)))</f>
        <v/>
      </c>
      <c r="H878" s="67">
        <f>IF($B878="",0,IF(LEFT($B878,1)="━",0,$C878*VLOOKUP($B878,'4. CÀI ĐẶT'!$A$2:$H$32,5,FALSE)))</f>
        <v/>
      </c>
      <c r="I878">
        <f>IF($B878="","",IF(LEFT($B878,1)="━","",VLOOKUP($B878,'4. CÀI ĐẶT'!$A$2:$H$32,6,FALSE)))</f>
        <v/>
      </c>
      <c r="J878" s="13">
        <f>IF($A878="","",EOMONTH($A878,0))</f>
        <v/>
      </c>
      <c r="K878" s="67">
        <f>IF($B878="",0,IF(LEFT($B878,1)="━",0,$C878*VLOOKUP($B878,'4. CÀI ĐẶT'!$A$2:$H$32,7,FALSE)))</f>
        <v/>
      </c>
    </row>
    <row r="879">
      <c r="A879" s="8" t="n"/>
      <c r="B879" s="9" t="n"/>
      <c r="C879" s="65" t="n"/>
      <c r="D879" s="9" t="n"/>
      <c r="E879" s="66">
        <f>IF($B879="","",IF(LEFT($B879,1)="━","⚠️ Chọn hạng mục cụ thể",$C879*VLOOKUP($B879,'4. CÀI ĐẶT'!$A$2:$H$32,2,FALSE)))</f>
        <v/>
      </c>
      <c r="F879" s="67">
        <f>IF($B879="",0,IF(LEFT($B879,1)="━",0,$C879*VLOOKUP($B879,'4. CÀI ĐẶT'!$A$2:$H$32,3,FALSE)))</f>
        <v/>
      </c>
      <c r="G879" s="67">
        <f>IF($B879="",0,IF(LEFT($B879,1)="━",0,$C879*VLOOKUP($B879,'4. CÀI ĐẶT'!$A$2:$H$32,4,FALSE)))</f>
        <v/>
      </c>
      <c r="H879" s="67">
        <f>IF($B879="",0,IF(LEFT($B879,1)="━",0,$C879*VLOOKUP($B879,'4. CÀI ĐẶT'!$A$2:$H$32,5,FALSE)))</f>
        <v/>
      </c>
      <c r="I879">
        <f>IF($B879="","",IF(LEFT($B879,1)="━","",VLOOKUP($B879,'4. CÀI ĐẶT'!$A$2:$H$32,6,FALSE)))</f>
        <v/>
      </c>
      <c r="J879" s="13">
        <f>IF($A879="","",EOMONTH($A879,0))</f>
        <v/>
      </c>
      <c r="K879" s="67">
        <f>IF($B879="",0,IF(LEFT($B879,1)="━",0,$C879*VLOOKUP($B879,'4. CÀI ĐẶT'!$A$2:$H$32,7,FALSE)))</f>
        <v/>
      </c>
    </row>
    <row r="880">
      <c r="A880" s="8" t="n"/>
      <c r="B880" s="9" t="n"/>
      <c r="C880" s="65" t="n"/>
      <c r="D880" s="9" t="n"/>
      <c r="E880" s="66">
        <f>IF($B880="","",IF(LEFT($B880,1)="━","⚠️ Chọn hạng mục cụ thể",$C880*VLOOKUP($B880,'4. CÀI ĐẶT'!$A$2:$H$32,2,FALSE)))</f>
        <v/>
      </c>
      <c r="F880" s="67">
        <f>IF($B880="",0,IF(LEFT($B880,1)="━",0,$C880*VLOOKUP($B880,'4. CÀI ĐẶT'!$A$2:$H$32,3,FALSE)))</f>
        <v/>
      </c>
      <c r="G880" s="67">
        <f>IF($B880="",0,IF(LEFT($B880,1)="━",0,$C880*VLOOKUP($B880,'4. CÀI ĐẶT'!$A$2:$H$32,4,FALSE)))</f>
        <v/>
      </c>
      <c r="H880" s="67">
        <f>IF($B880="",0,IF(LEFT($B880,1)="━",0,$C880*VLOOKUP($B880,'4. CÀI ĐẶT'!$A$2:$H$32,5,FALSE)))</f>
        <v/>
      </c>
      <c r="I880">
        <f>IF($B880="","",IF(LEFT($B880,1)="━","",VLOOKUP($B880,'4. CÀI ĐẶT'!$A$2:$H$32,6,FALSE)))</f>
        <v/>
      </c>
      <c r="J880" s="13">
        <f>IF($A880="","",EOMONTH($A880,0))</f>
        <v/>
      </c>
      <c r="K880" s="67">
        <f>IF($B880="",0,IF(LEFT($B880,1)="━",0,$C880*VLOOKUP($B880,'4. CÀI ĐẶT'!$A$2:$H$32,7,FALSE)))</f>
        <v/>
      </c>
    </row>
    <row r="881">
      <c r="A881" s="8" t="n"/>
      <c r="B881" s="9" t="n"/>
      <c r="C881" s="65" t="n"/>
      <c r="D881" s="9" t="n"/>
      <c r="E881" s="66">
        <f>IF($B881="","",IF(LEFT($B881,1)="━","⚠️ Chọn hạng mục cụ thể",$C881*VLOOKUP($B881,'4. CÀI ĐẶT'!$A$2:$H$32,2,FALSE)))</f>
        <v/>
      </c>
      <c r="F881" s="67">
        <f>IF($B881="",0,IF(LEFT($B881,1)="━",0,$C881*VLOOKUP($B881,'4. CÀI ĐẶT'!$A$2:$H$32,3,FALSE)))</f>
        <v/>
      </c>
      <c r="G881" s="67">
        <f>IF($B881="",0,IF(LEFT($B881,1)="━",0,$C881*VLOOKUP($B881,'4. CÀI ĐẶT'!$A$2:$H$32,4,FALSE)))</f>
        <v/>
      </c>
      <c r="H881" s="67">
        <f>IF($B881="",0,IF(LEFT($B881,1)="━",0,$C881*VLOOKUP($B881,'4. CÀI ĐẶT'!$A$2:$H$32,5,FALSE)))</f>
        <v/>
      </c>
      <c r="I881">
        <f>IF($B881="","",IF(LEFT($B881,1)="━","",VLOOKUP($B881,'4. CÀI ĐẶT'!$A$2:$H$32,6,FALSE)))</f>
        <v/>
      </c>
      <c r="J881" s="13">
        <f>IF($A881="","",EOMONTH($A881,0))</f>
        <v/>
      </c>
      <c r="K881" s="67">
        <f>IF($B881="",0,IF(LEFT($B881,1)="━",0,$C881*VLOOKUP($B881,'4. CÀI ĐẶT'!$A$2:$H$32,7,FALSE)))</f>
        <v/>
      </c>
    </row>
    <row r="882">
      <c r="A882" s="8" t="n"/>
      <c r="B882" s="9" t="n"/>
      <c r="C882" s="65" t="n"/>
      <c r="D882" s="9" t="n"/>
      <c r="E882" s="66">
        <f>IF($B882="","",IF(LEFT($B882,1)="━","⚠️ Chọn hạng mục cụ thể",$C882*VLOOKUP($B882,'4. CÀI ĐẶT'!$A$2:$H$32,2,FALSE)))</f>
        <v/>
      </c>
      <c r="F882" s="67">
        <f>IF($B882="",0,IF(LEFT($B882,1)="━",0,$C882*VLOOKUP($B882,'4. CÀI ĐẶT'!$A$2:$H$32,3,FALSE)))</f>
        <v/>
      </c>
      <c r="G882" s="67">
        <f>IF($B882="",0,IF(LEFT($B882,1)="━",0,$C882*VLOOKUP($B882,'4. CÀI ĐẶT'!$A$2:$H$32,4,FALSE)))</f>
        <v/>
      </c>
      <c r="H882" s="67">
        <f>IF($B882="",0,IF(LEFT($B882,1)="━",0,$C882*VLOOKUP($B882,'4. CÀI ĐẶT'!$A$2:$H$32,5,FALSE)))</f>
        <v/>
      </c>
      <c r="I882">
        <f>IF($B882="","",IF(LEFT($B882,1)="━","",VLOOKUP($B882,'4. CÀI ĐẶT'!$A$2:$H$32,6,FALSE)))</f>
        <v/>
      </c>
      <c r="J882" s="13">
        <f>IF($A882="","",EOMONTH($A882,0))</f>
        <v/>
      </c>
      <c r="K882" s="67">
        <f>IF($B882="",0,IF(LEFT($B882,1)="━",0,$C882*VLOOKUP($B882,'4. CÀI ĐẶT'!$A$2:$H$32,7,FALSE)))</f>
        <v/>
      </c>
    </row>
    <row r="883">
      <c r="A883" s="8" t="n"/>
      <c r="B883" s="9" t="n"/>
      <c r="C883" s="65" t="n"/>
      <c r="D883" s="9" t="n"/>
      <c r="E883" s="66">
        <f>IF($B883="","",IF(LEFT($B883,1)="━","⚠️ Chọn hạng mục cụ thể",$C883*VLOOKUP($B883,'4. CÀI ĐẶT'!$A$2:$H$32,2,FALSE)))</f>
        <v/>
      </c>
      <c r="F883" s="67">
        <f>IF($B883="",0,IF(LEFT($B883,1)="━",0,$C883*VLOOKUP($B883,'4. CÀI ĐẶT'!$A$2:$H$32,3,FALSE)))</f>
        <v/>
      </c>
      <c r="G883" s="67">
        <f>IF($B883="",0,IF(LEFT($B883,1)="━",0,$C883*VLOOKUP($B883,'4. CÀI ĐẶT'!$A$2:$H$32,4,FALSE)))</f>
        <v/>
      </c>
      <c r="H883" s="67">
        <f>IF($B883="",0,IF(LEFT($B883,1)="━",0,$C883*VLOOKUP($B883,'4. CÀI ĐẶT'!$A$2:$H$32,5,FALSE)))</f>
        <v/>
      </c>
      <c r="I883">
        <f>IF($B883="","",IF(LEFT($B883,1)="━","",VLOOKUP($B883,'4. CÀI ĐẶT'!$A$2:$H$32,6,FALSE)))</f>
        <v/>
      </c>
      <c r="J883" s="13">
        <f>IF($A883="","",EOMONTH($A883,0))</f>
        <v/>
      </c>
      <c r="K883" s="67">
        <f>IF($B883="",0,IF(LEFT($B883,1)="━",0,$C883*VLOOKUP($B883,'4. CÀI ĐẶT'!$A$2:$H$32,7,FALSE)))</f>
        <v/>
      </c>
    </row>
    <row r="884">
      <c r="A884" s="8" t="n"/>
      <c r="B884" s="9" t="n"/>
      <c r="C884" s="65" t="n"/>
      <c r="D884" s="9" t="n"/>
      <c r="E884" s="66">
        <f>IF($B884="","",IF(LEFT($B884,1)="━","⚠️ Chọn hạng mục cụ thể",$C884*VLOOKUP($B884,'4. CÀI ĐẶT'!$A$2:$H$32,2,FALSE)))</f>
        <v/>
      </c>
      <c r="F884" s="67">
        <f>IF($B884="",0,IF(LEFT($B884,1)="━",0,$C884*VLOOKUP($B884,'4. CÀI ĐẶT'!$A$2:$H$32,3,FALSE)))</f>
        <v/>
      </c>
      <c r="G884" s="67">
        <f>IF($B884="",0,IF(LEFT($B884,1)="━",0,$C884*VLOOKUP($B884,'4. CÀI ĐẶT'!$A$2:$H$32,4,FALSE)))</f>
        <v/>
      </c>
      <c r="H884" s="67">
        <f>IF($B884="",0,IF(LEFT($B884,1)="━",0,$C884*VLOOKUP($B884,'4. CÀI ĐẶT'!$A$2:$H$32,5,FALSE)))</f>
        <v/>
      </c>
      <c r="I884">
        <f>IF($B884="","",IF(LEFT($B884,1)="━","",VLOOKUP($B884,'4. CÀI ĐẶT'!$A$2:$H$32,6,FALSE)))</f>
        <v/>
      </c>
      <c r="J884" s="13">
        <f>IF($A884="","",EOMONTH($A884,0))</f>
        <v/>
      </c>
      <c r="K884" s="67">
        <f>IF($B884="",0,IF(LEFT($B884,1)="━",0,$C884*VLOOKUP($B884,'4. CÀI ĐẶT'!$A$2:$H$32,7,FALSE)))</f>
        <v/>
      </c>
    </row>
    <row r="885">
      <c r="A885" s="8" t="n"/>
      <c r="B885" s="9" t="n"/>
      <c r="C885" s="65" t="n"/>
      <c r="D885" s="9" t="n"/>
      <c r="E885" s="66">
        <f>IF($B885="","",IF(LEFT($B885,1)="━","⚠️ Chọn hạng mục cụ thể",$C885*VLOOKUP($B885,'4. CÀI ĐẶT'!$A$2:$H$32,2,FALSE)))</f>
        <v/>
      </c>
      <c r="F885" s="67">
        <f>IF($B885="",0,IF(LEFT($B885,1)="━",0,$C885*VLOOKUP($B885,'4. CÀI ĐẶT'!$A$2:$H$32,3,FALSE)))</f>
        <v/>
      </c>
      <c r="G885" s="67">
        <f>IF($B885="",0,IF(LEFT($B885,1)="━",0,$C885*VLOOKUP($B885,'4. CÀI ĐẶT'!$A$2:$H$32,4,FALSE)))</f>
        <v/>
      </c>
      <c r="H885" s="67">
        <f>IF($B885="",0,IF(LEFT($B885,1)="━",0,$C885*VLOOKUP($B885,'4. CÀI ĐẶT'!$A$2:$H$32,5,FALSE)))</f>
        <v/>
      </c>
      <c r="I885">
        <f>IF($B885="","",IF(LEFT($B885,1)="━","",VLOOKUP($B885,'4. CÀI ĐẶT'!$A$2:$H$32,6,FALSE)))</f>
        <v/>
      </c>
      <c r="J885" s="13">
        <f>IF($A885="","",EOMONTH($A885,0))</f>
        <v/>
      </c>
      <c r="K885" s="67">
        <f>IF($B885="",0,IF(LEFT($B885,1)="━",0,$C885*VLOOKUP($B885,'4. CÀI ĐẶT'!$A$2:$H$32,7,FALSE)))</f>
        <v/>
      </c>
    </row>
    <row r="886">
      <c r="A886" s="8" t="n"/>
      <c r="B886" s="9" t="n"/>
      <c r="C886" s="65" t="n"/>
      <c r="D886" s="9" t="n"/>
      <c r="E886" s="66">
        <f>IF($B886="","",IF(LEFT($B886,1)="━","⚠️ Chọn hạng mục cụ thể",$C886*VLOOKUP($B886,'4. CÀI ĐẶT'!$A$2:$H$32,2,FALSE)))</f>
        <v/>
      </c>
      <c r="F886" s="67">
        <f>IF($B886="",0,IF(LEFT($B886,1)="━",0,$C886*VLOOKUP($B886,'4. CÀI ĐẶT'!$A$2:$H$32,3,FALSE)))</f>
        <v/>
      </c>
      <c r="G886" s="67">
        <f>IF($B886="",0,IF(LEFT($B886,1)="━",0,$C886*VLOOKUP($B886,'4. CÀI ĐẶT'!$A$2:$H$32,4,FALSE)))</f>
        <v/>
      </c>
      <c r="H886" s="67">
        <f>IF($B886="",0,IF(LEFT($B886,1)="━",0,$C886*VLOOKUP($B886,'4. CÀI ĐẶT'!$A$2:$H$32,5,FALSE)))</f>
        <v/>
      </c>
      <c r="I886">
        <f>IF($B886="","",IF(LEFT($B886,1)="━","",VLOOKUP($B886,'4. CÀI ĐẶT'!$A$2:$H$32,6,FALSE)))</f>
        <v/>
      </c>
      <c r="J886" s="13">
        <f>IF($A886="","",EOMONTH($A886,0))</f>
        <v/>
      </c>
      <c r="K886" s="67">
        <f>IF($B886="",0,IF(LEFT($B886,1)="━",0,$C886*VLOOKUP($B886,'4. CÀI ĐẶT'!$A$2:$H$32,7,FALSE)))</f>
        <v/>
      </c>
    </row>
    <row r="887">
      <c r="A887" s="8" t="n"/>
      <c r="B887" s="9" t="n"/>
      <c r="C887" s="65" t="n"/>
      <c r="D887" s="9" t="n"/>
      <c r="E887" s="66">
        <f>IF($B887="","",IF(LEFT($B887,1)="━","⚠️ Chọn hạng mục cụ thể",$C887*VLOOKUP($B887,'4. CÀI ĐẶT'!$A$2:$H$32,2,FALSE)))</f>
        <v/>
      </c>
      <c r="F887" s="67">
        <f>IF($B887="",0,IF(LEFT($B887,1)="━",0,$C887*VLOOKUP($B887,'4. CÀI ĐẶT'!$A$2:$H$32,3,FALSE)))</f>
        <v/>
      </c>
      <c r="G887" s="67">
        <f>IF($B887="",0,IF(LEFT($B887,1)="━",0,$C887*VLOOKUP($B887,'4. CÀI ĐẶT'!$A$2:$H$32,4,FALSE)))</f>
        <v/>
      </c>
      <c r="H887" s="67">
        <f>IF($B887="",0,IF(LEFT($B887,1)="━",0,$C887*VLOOKUP($B887,'4. CÀI ĐẶT'!$A$2:$H$32,5,FALSE)))</f>
        <v/>
      </c>
      <c r="I887">
        <f>IF($B887="","",IF(LEFT($B887,1)="━","",VLOOKUP($B887,'4. CÀI ĐẶT'!$A$2:$H$32,6,FALSE)))</f>
        <v/>
      </c>
      <c r="J887" s="13">
        <f>IF($A887="","",EOMONTH($A887,0))</f>
        <v/>
      </c>
      <c r="K887" s="67">
        <f>IF($B887="",0,IF(LEFT($B887,1)="━",0,$C887*VLOOKUP($B887,'4. CÀI ĐẶT'!$A$2:$H$32,7,FALSE)))</f>
        <v/>
      </c>
    </row>
    <row r="888">
      <c r="A888" s="8" t="n"/>
      <c r="B888" s="9" t="n"/>
      <c r="C888" s="65" t="n"/>
      <c r="D888" s="9" t="n"/>
      <c r="E888" s="66">
        <f>IF($B888="","",IF(LEFT($B888,1)="━","⚠️ Chọn hạng mục cụ thể",$C888*VLOOKUP($B888,'4. CÀI ĐẶT'!$A$2:$H$32,2,FALSE)))</f>
        <v/>
      </c>
      <c r="F888" s="67">
        <f>IF($B888="",0,IF(LEFT($B888,1)="━",0,$C888*VLOOKUP($B888,'4. CÀI ĐẶT'!$A$2:$H$32,3,FALSE)))</f>
        <v/>
      </c>
      <c r="G888" s="67">
        <f>IF($B888="",0,IF(LEFT($B888,1)="━",0,$C888*VLOOKUP($B888,'4. CÀI ĐẶT'!$A$2:$H$32,4,FALSE)))</f>
        <v/>
      </c>
      <c r="H888" s="67">
        <f>IF($B888="",0,IF(LEFT($B888,1)="━",0,$C888*VLOOKUP($B888,'4. CÀI ĐẶT'!$A$2:$H$32,5,FALSE)))</f>
        <v/>
      </c>
      <c r="I888">
        <f>IF($B888="","",IF(LEFT($B888,1)="━","",VLOOKUP($B888,'4. CÀI ĐẶT'!$A$2:$H$32,6,FALSE)))</f>
        <v/>
      </c>
      <c r="J888" s="13">
        <f>IF($A888="","",EOMONTH($A888,0))</f>
        <v/>
      </c>
      <c r="K888" s="67">
        <f>IF($B888="",0,IF(LEFT($B888,1)="━",0,$C888*VLOOKUP($B888,'4. CÀI ĐẶT'!$A$2:$H$32,7,FALSE)))</f>
        <v/>
      </c>
    </row>
    <row r="889">
      <c r="A889" s="8" t="n"/>
      <c r="B889" s="9" t="n"/>
      <c r="C889" s="65" t="n"/>
      <c r="D889" s="9" t="n"/>
      <c r="E889" s="66">
        <f>IF($B889="","",IF(LEFT($B889,1)="━","⚠️ Chọn hạng mục cụ thể",$C889*VLOOKUP($B889,'4. CÀI ĐẶT'!$A$2:$H$32,2,FALSE)))</f>
        <v/>
      </c>
      <c r="F889" s="67">
        <f>IF($B889="",0,IF(LEFT($B889,1)="━",0,$C889*VLOOKUP($B889,'4. CÀI ĐẶT'!$A$2:$H$32,3,FALSE)))</f>
        <v/>
      </c>
      <c r="G889" s="67">
        <f>IF($B889="",0,IF(LEFT($B889,1)="━",0,$C889*VLOOKUP($B889,'4. CÀI ĐẶT'!$A$2:$H$32,4,FALSE)))</f>
        <v/>
      </c>
      <c r="H889" s="67">
        <f>IF($B889="",0,IF(LEFT($B889,1)="━",0,$C889*VLOOKUP($B889,'4. CÀI ĐẶT'!$A$2:$H$32,5,FALSE)))</f>
        <v/>
      </c>
      <c r="I889">
        <f>IF($B889="","",IF(LEFT($B889,1)="━","",VLOOKUP($B889,'4. CÀI ĐẶT'!$A$2:$H$32,6,FALSE)))</f>
        <v/>
      </c>
      <c r="J889" s="13">
        <f>IF($A889="","",EOMONTH($A889,0))</f>
        <v/>
      </c>
      <c r="K889" s="67">
        <f>IF($B889="",0,IF(LEFT($B889,1)="━",0,$C889*VLOOKUP($B889,'4. CÀI ĐẶT'!$A$2:$H$32,7,FALSE)))</f>
        <v/>
      </c>
    </row>
    <row r="890">
      <c r="A890" s="8" t="n"/>
      <c r="B890" s="9" t="n"/>
      <c r="C890" s="65" t="n"/>
      <c r="D890" s="9" t="n"/>
      <c r="E890" s="66">
        <f>IF($B890="","",IF(LEFT($B890,1)="━","⚠️ Chọn hạng mục cụ thể",$C890*VLOOKUP($B890,'4. CÀI ĐẶT'!$A$2:$H$32,2,FALSE)))</f>
        <v/>
      </c>
      <c r="F890" s="67">
        <f>IF($B890="",0,IF(LEFT($B890,1)="━",0,$C890*VLOOKUP($B890,'4. CÀI ĐẶT'!$A$2:$H$32,3,FALSE)))</f>
        <v/>
      </c>
      <c r="G890" s="67">
        <f>IF($B890="",0,IF(LEFT($B890,1)="━",0,$C890*VLOOKUP($B890,'4. CÀI ĐẶT'!$A$2:$H$32,4,FALSE)))</f>
        <v/>
      </c>
      <c r="H890" s="67">
        <f>IF($B890="",0,IF(LEFT($B890,1)="━",0,$C890*VLOOKUP($B890,'4. CÀI ĐẶT'!$A$2:$H$32,5,FALSE)))</f>
        <v/>
      </c>
      <c r="I890">
        <f>IF($B890="","",IF(LEFT($B890,1)="━","",VLOOKUP($B890,'4. CÀI ĐẶT'!$A$2:$H$32,6,FALSE)))</f>
        <v/>
      </c>
      <c r="J890" s="13">
        <f>IF($A890="","",EOMONTH($A890,0))</f>
        <v/>
      </c>
      <c r="K890" s="67">
        <f>IF($B890="",0,IF(LEFT($B890,1)="━",0,$C890*VLOOKUP($B890,'4. CÀI ĐẶT'!$A$2:$H$32,7,FALSE)))</f>
        <v/>
      </c>
    </row>
    <row r="891">
      <c r="A891" s="8" t="n"/>
      <c r="B891" s="9" t="n"/>
      <c r="C891" s="65" t="n"/>
      <c r="D891" s="9" t="n"/>
      <c r="E891" s="66">
        <f>IF($B891="","",IF(LEFT($B891,1)="━","⚠️ Chọn hạng mục cụ thể",$C891*VLOOKUP($B891,'4. CÀI ĐẶT'!$A$2:$H$32,2,FALSE)))</f>
        <v/>
      </c>
      <c r="F891" s="67">
        <f>IF($B891="",0,IF(LEFT($B891,1)="━",0,$C891*VLOOKUP($B891,'4. CÀI ĐẶT'!$A$2:$H$32,3,FALSE)))</f>
        <v/>
      </c>
      <c r="G891" s="67">
        <f>IF($B891="",0,IF(LEFT($B891,1)="━",0,$C891*VLOOKUP($B891,'4. CÀI ĐẶT'!$A$2:$H$32,4,FALSE)))</f>
        <v/>
      </c>
      <c r="H891" s="67">
        <f>IF($B891="",0,IF(LEFT($B891,1)="━",0,$C891*VLOOKUP($B891,'4. CÀI ĐẶT'!$A$2:$H$32,5,FALSE)))</f>
        <v/>
      </c>
      <c r="I891">
        <f>IF($B891="","",IF(LEFT($B891,1)="━","",VLOOKUP($B891,'4. CÀI ĐẶT'!$A$2:$H$32,6,FALSE)))</f>
        <v/>
      </c>
      <c r="J891" s="13">
        <f>IF($A891="","",EOMONTH($A891,0))</f>
        <v/>
      </c>
      <c r="K891" s="67">
        <f>IF($B891="",0,IF(LEFT($B891,1)="━",0,$C891*VLOOKUP($B891,'4. CÀI ĐẶT'!$A$2:$H$32,7,FALSE)))</f>
        <v/>
      </c>
    </row>
    <row r="892">
      <c r="A892" s="8" t="n"/>
      <c r="B892" s="9" t="n"/>
      <c r="C892" s="65" t="n"/>
      <c r="D892" s="9" t="n"/>
      <c r="E892" s="66">
        <f>IF($B892="","",IF(LEFT($B892,1)="━","⚠️ Chọn hạng mục cụ thể",$C892*VLOOKUP($B892,'4. CÀI ĐẶT'!$A$2:$H$32,2,FALSE)))</f>
        <v/>
      </c>
      <c r="F892" s="67">
        <f>IF($B892="",0,IF(LEFT($B892,1)="━",0,$C892*VLOOKUP($B892,'4. CÀI ĐẶT'!$A$2:$H$32,3,FALSE)))</f>
        <v/>
      </c>
      <c r="G892" s="67">
        <f>IF($B892="",0,IF(LEFT($B892,1)="━",0,$C892*VLOOKUP($B892,'4. CÀI ĐẶT'!$A$2:$H$32,4,FALSE)))</f>
        <v/>
      </c>
      <c r="H892" s="67">
        <f>IF($B892="",0,IF(LEFT($B892,1)="━",0,$C892*VLOOKUP($B892,'4. CÀI ĐẶT'!$A$2:$H$32,5,FALSE)))</f>
        <v/>
      </c>
      <c r="I892">
        <f>IF($B892="","",IF(LEFT($B892,1)="━","",VLOOKUP($B892,'4. CÀI ĐẶT'!$A$2:$H$32,6,FALSE)))</f>
        <v/>
      </c>
      <c r="J892" s="13">
        <f>IF($A892="","",EOMONTH($A892,0))</f>
        <v/>
      </c>
      <c r="K892" s="67">
        <f>IF($B892="",0,IF(LEFT($B892,1)="━",0,$C892*VLOOKUP($B892,'4. CÀI ĐẶT'!$A$2:$H$32,7,FALSE)))</f>
        <v/>
      </c>
    </row>
    <row r="893">
      <c r="A893" s="8" t="n"/>
      <c r="B893" s="9" t="n"/>
      <c r="C893" s="65" t="n"/>
      <c r="D893" s="9" t="n"/>
      <c r="E893" s="66">
        <f>IF($B893="","",IF(LEFT($B893,1)="━","⚠️ Chọn hạng mục cụ thể",$C893*VLOOKUP($B893,'4. CÀI ĐẶT'!$A$2:$H$32,2,FALSE)))</f>
        <v/>
      </c>
      <c r="F893" s="67">
        <f>IF($B893="",0,IF(LEFT($B893,1)="━",0,$C893*VLOOKUP($B893,'4. CÀI ĐẶT'!$A$2:$H$32,3,FALSE)))</f>
        <v/>
      </c>
      <c r="G893" s="67">
        <f>IF($B893="",0,IF(LEFT($B893,1)="━",0,$C893*VLOOKUP($B893,'4. CÀI ĐẶT'!$A$2:$H$32,4,FALSE)))</f>
        <v/>
      </c>
      <c r="H893" s="67">
        <f>IF($B893="",0,IF(LEFT($B893,1)="━",0,$C893*VLOOKUP($B893,'4. CÀI ĐẶT'!$A$2:$H$32,5,FALSE)))</f>
        <v/>
      </c>
      <c r="I893">
        <f>IF($B893="","",IF(LEFT($B893,1)="━","",VLOOKUP($B893,'4. CÀI ĐẶT'!$A$2:$H$32,6,FALSE)))</f>
        <v/>
      </c>
      <c r="J893" s="13">
        <f>IF($A893="","",EOMONTH($A893,0))</f>
        <v/>
      </c>
      <c r="K893" s="67">
        <f>IF($B893="",0,IF(LEFT($B893,1)="━",0,$C893*VLOOKUP($B893,'4. CÀI ĐẶT'!$A$2:$H$32,7,FALSE)))</f>
        <v/>
      </c>
    </row>
    <row r="894">
      <c r="A894" s="8" t="n"/>
      <c r="B894" s="9" t="n"/>
      <c r="C894" s="65" t="n"/>
      <c r="D894" s="9" t="n"/>
      <c r="E894" s="66">
        <f>IF($B894="","",IF(LEFT($B894,1)="━","⚠️ Chọn hạng mục cụ thể",$C894*VLOOKUP($B894,'4. CÀI ĐẶT'!$A$2:$H$32,2,FALSE)))</f>
        <v/>
      </c>
      <c r="F894" s="67">
        <f>IF($B894="",0,IF(LEFT($B894,1)="━",0,$C894*VLOOKUP($B894,'4. CÀI ĐẶT'!$A$2:$H$32,3,FALSE)))</f>
        <v/>
      </c>
      <c r="G894" s="67">
        <f>IF($B894="",0,IF(LEFT($B894,1)="━",0,$C894*VLOOKUP($B894,'4. CÀI ĐẶT'!$A$2:$H$32,4,FALSE)))</f>
        <v/>
      </c>
      <c r="H894" s="67">
        <f>IF($B894="",0,IF(LEFT($B894,1)="━",0,$C894*VLOOKUP($B894,'4. CÀI ĐẶT'!$A$2:$H$32,5,FALSE)))</f>
        <v/>
      </c>
      <c r="I894">
        <f>IF($B894="","",IF(LEFT($B894,1)="━","",VLOOKUP($B894,'4. CÀI ĐẶT'!$A$2:$H$32,6,FALSE)))</f>
        <v/>
      </c>
      <c r="J894" s="13">
        <f>IF($A894="","",EOMONTH($A894,0))</f>
        <v/>
      </c>
      <c r="K894" s="67">
        <f>IF($B894="",0,IF(LEFT($B894,1)="━",0,$C894*VLOOKUP($B894,'4. CÀI ĐẶT'!$A$2:$H$32,7,FALSE)))</f>
        <v/>
      </c>
    </row>
    <row r="895">
      <c r="A895" s="8" t="n"/>
      <c r="B895" s="9" t="n"/>
      <c r="C895" s="65" t="n"/>
      <c r="D895" s="9" t="n"/>
      <c r="E895" s="66">
        <f>IF($B895="","",IF(LEFT($B895,1)="━","⚠️ Chọn hạng mục cụ thể",$C895*VLOOKUP($B895,'4. CÀI ĐẶT'!$A$2:$H$32,2,FALSE)))</f>
        <v/>
      </c>
      <c r="F895" s="67">
        <f>IF($B895="",0,IF(LEFT($B895,1)="━",0,$C895*VLOOKUP($B895,'4. CÀI ĐẶT'!$A$2:$H$32,3,FALSE)))</f>
        <v/>
      </c>
      <c r="G895" s="67">
        <f>IF($B895="",0,IF(LEFT($B895,1)="━",0,$C895*VLOOKUP($B895,'4. CÀI ĐẶT'!$A$2:$H$32,4,FALSE)))</f>
        <v/>
      </c>
      <c r="H895" s="67">
        <f>IF($B895="",0,IF(LEFT($B895,1)="━",0,$C895*VLOOKUP($B895,'4. CÀI ĐẶT'!$A$2:$H$32,5,FALSE)))</f>
        <v/>
      </c>
      <c r="I895">
        <f>IF($B895="","",IF(LEFT($B895,1)="━","",VLOOKUP($B895,'4. CÀI ĐẶT'!$A$2:$H$32,6,FALSE)))</f>
        <v/>
      </c>
      <c r="J895" s="13">
        <f>IF($A895="","",EOMONTH($A895,0))</f>
        <v/>
      </c>
      <c r="K895" s="67">
        <f>IF($B895="",0,IF(LEFT($B895,1)="━",0,$C895*VLOOKUP($B895,'4. CÀI ĐẶT'!$A$2:$H$32,7,FALSE)))</f>
        <v/>
      </c>
    </row>
    <row r="896">
      <c r="A896" s="8" t="n"/>
      <c r="B896" s="9" t="n"/>
      <c r="C896" s="65" t="n"/>
      <c r="D896" s="9" t="n"/>
      <c r="E896" s="66">
        <f>IF($B896="","",IF(LEFT($B896,1)="━","⚠️ Chọn hạng mục cụ thể",$C896*VLOOKUP($B896,'4. CÀI ĐẶT'!$A$2:$H$32,2,FALSE)))</f>
        <v/>
      </c>
      <c r="F896" s="67">
        <f>IF($B896="",0,IF(LEFT($B896,1)="━",0,$C896*VLOOKUP($B896,'4. CÀI ĐẶT'!$A$2:$H$32,3,FALSE)))</f>
        <v/>
      </c>
      <c r="G896" s="67">
        <f>IF($B896="",0,IF(LEFT($B896,1)="━",0,$C896*VLOOKUP($B896,'4. CÀI ĐẶT'!$A$2:$H$32,4,FALSE)))</f>
        <v/>
      </c>
      <c r="H896" s="67">
        <f>IF($B896="",0,IF(LEFT($B896,1)="━",0,$C896*VLOOKUP($B896,'4. CÀI ĐẶT'!$A$2:$H$32,5,FALSE)))</f>
        <v/>
      </c>
      <c r="I896">
        <f>IF($B896="","",IF(LEFT($B896,1)="━","",VLOOKUP($B896,'4. CÀI ĐẶT'!$A$2:$H$32,6,FALSE)))</f>
        <v/>
      </c>
      <c r="J896" s="13">
        <f>IF($A896="","",EOMONTH($A896,0))</f>
        <v/>
      </c>
      <c r="K896" s="67">
        <f>IF($B896="",0,IF(LEFT($B896,1)="━",0,$C896*VLOOKUP($B896,'4. CÀI ĐẶT'!$A$2:$H$32,7,FALSE)))</f>
        <v/>
      </c>
    </row>
    <row r="897">
      <c r="A897" s="8" t="n"/>
      <c r="B897" s="9" t="n"/>
      <c r="C897" s="65" t="n"/>
      <c r="D897" s="9" t="n"/>
      <c r="E897" s="66">
        <f>IF($B897="","",IF(LEFT($B897,1)="━","⚠️ Chọn hạng mục cụ thể",$C897*VLOOKUP($B897,'4. CÀI ĐẶT'!$A$2:$H$32,2,FALSE)))</f>
        <v/>
      </c>
      <c r="F897" s="67">
        <f>IF($B897="",0,IF(LEFT($B897,1)="━",0,$C897*VLOOKUP($B897,'4. CÀI ĐẶT'!$A$2:$H$32,3,FALSE)))</f>
        <v/>
      </c>
      <c r="G897" s="67">
        <f>IF($B897="",0,IF(LEFT($B897,1)="━",0,$C897*VLOOKUP($B897,'4. CÀI ĐẶT'!$A$2:$H$32,4,FALSE)))</f>
        <v/>
      </c>
      <c r="H897" s="67">
        <f>IF($B897="",0,IF(LEFT($B897,1)="━",0,$C897*VLOOKUP($B897,'4. CÀI ĐẶT'!$A$2:$H$32,5,FALSE)))</f>
        <v/>
      </c>
      <c r="I897">
        <f>IF($B897="","",IF(LEFT($B897,1)="━","",VLOOKUP($B897,'4. CÀI ĐẶT'!$A$2:$H$32,6,FALSE)))</f>
        <v/>
      </c>
      <c r="J897" s="13">
        <f>IF($A897="","",EOMONTH($A897,0))</f>
        <v/>
      </c>
      <c r="K897" s="67">
        <f>IF($B897="",0,IF(LEFT($B897,1)="━",0,$C897*VLOOKUP($B897,'4. CÀI ĐẶT'!$A$2:$H$32,7,FALSE)))</f>
        <v/>
      </c>
    </row>
    <row r="898">
      <c r="A898" s="8" t="n"/>
      <c r="B898" s="9" t="n"/>
      <c r="C898" s="65" t="n"/>
      <c r="D898" s="9" t="n"/>
      <c r="E898" s="66">
        <f>IF($B898="","",IF(LEFT($B898,1)="━","⚠️ Chọn hạng mục cụ thể",$C898*VLOOKUP($B898,'4. CÀI ĐẶT'!$A$2:$H$32,2,FALSE)))</f>
        <v/>
      </c>
      <c r="F898" s="67">
        <f>IF($B898="",0,IF(LEFT($B898,1)="━",0,$C898*VLOOKUP($B898,'4. CÀI ĐẶT'!$A$2:$H$32,3,FALSE)))</f>
        <v/>
      </c>
      <c r="G898" s="67">
        <f>IF($B898="",0,IF(LEFT($B898,1)="━",0,$C898*VLOOKUP($B898,'4. CÀI ĐẶT'!$A$2:$H$32,4,FALSE)))</f>
        <v/>
      </c>
      <c r="H898" s="67">
        <f>IF($B898="",0,IF(LEFT($B898,1)="━",0,$C898*VLOOKUP($B898,'4. CÀI ĐẶT'!$A$2:$H$32,5,FALSE)))</f>
        <v/>
      </c>
      <c r="I898">
        <f>IF($B898="","",IF(LEFT($B898,1)="━","",VLOOKUP($B898,'4. CÀI ĐẶT'!$A$2:$H$32,6,FALSE)))</f>
        <v/>
      </c>
      <c r="J898" s="13">
        <f>IF($A898="","",EOMONTH($A898,0))</f>
        <v/>
      </c>
      <c r="K898" s="67">
        <f>IF($B898="",0,IF(LEFT($B898,1)="━",0,$C898*VLOOKUP($B898,'4. CÀI ĐẶT'!$A$2:$H$32,7,FALSE)))</f>
        <v/>
      </c>
    </row>
    <row r="899">
      <c r="A899" s="8" t="n"/>
      <c r="B899" s="9" t="n"/>
      <c r="C899" s="65" t="n"/>
      <c r="D899" s="9" t="n"/>
      <c r="E899" s="66">
        <f>IF($B899="","",IF(LEFT($B899,1)="━","⚠️ Chọn hạng mục cụ thể",$C899*VLOOKUP($B899,'4. CÀI ĐẶT'!$A$2:$H$32,2,FALSE)))</f>
        <v/>
      </c>
      <c r="F899" s="67">
        <f>IF($B899="",0,IF(LEFT($B899,1)="━",0,$C899*VLOOKUP($B899,'4. CÀI ĐẶT'!$A$2:$H$32,3,FALSE)))</f>
        <v/>
      </c>
      <c r="G899" s="67">
        <f>IF($B899="",0,IF(LEFT($B899,1)="━",0,$C899*VLOOKUP($B899,'4. CÀI ĐẶT'!$A$2:$H$32,4,FALSE)))</f>
        <v/>
      </c>
      <c r="H899" s="67">
        <f>IF($B899="",0,IF(LEFT($B899,1)="━",0,$C899*VLOOKUP($B899,'4. CÀI ĐẶT'!$A$2:$H$32,5,FALSE)))</f>
        <v/>
      </c>
      <c r="I899">
        <f>IF($B899="","",IF(LEFT($B899,1)="━","",VLOOKUP($B899,'4. CÀI ĐẶT'!$A$2:$H$32,6,FALSE)))</f>
        <v/>
      </c>
      <c r="J899" s="13">
        <f>IF($A899="","",EOMONTH($A899,0))</f>
        <v/>
      </c>
      <c r="K899" s="67">
        <f>IF($B899="",0,IF(LEFT($B899,1)="━",0,$C899*VLOOKUP($B899,'4. CÀI ĐẶT'!$A$2:$H$32,7,FALSE)))</f>
        <v/>
      </c>
    </row>
    <row r="900">
      <c r="A900" s="8" t="n"/>
      <c r="B900" s="9" t="n"/>
      <c r="C900" s="65" t="n"/>
      <c r="D900" s="9" t="n"/>
      <c r="E900" s="66">
        <f>IF($B900="","",IF(LEFT($B900,1)="━","⚠️ Chọn hạng mục cụ thể",$C900*VLOOKUP($B900,'4. CÀI ĐẶT'!$A$2:$H$32,2,FALSE)))</f>
        <v/>
      </c>
      <c r="F900" s="67">
        <f>IF($B900="",0,IF(LEFT($B900,1)="━",0,$C900*VLOOKUP($B900,'4. CÀI ĐẶT'!$A$2:$H$32,3,FALSE)))</f>
        <v/>
      </c>
      <c r="G900" s="67">
        <f>IF($B900="",0,IF(LEFT($B900,1)="━",0,$C900*VLOOKUP($B900,'4. CÀI ĐẶT'!$A$2:$H$32,4,FALSE)))</f>
        <v/>
      </c>
      <c r="H900" s="67">
        <f>IF($B900="",0,IF(LEFT($B900,1)="━",0,$C900*VLOOKUP($B900,'4. CÀI ĐẶT'!$A$2:$H$32,5,FALSE)))</f>
        <v/>
      </c>
      <c r="I900">
        <f>IF($B900="","",IF(LEFT($B900,1)="━","",VLOOKUP($B900,'4. CÀI ĐẶT'!$A$2:$H$32,6,FALSE)))</f>
        <v/>
      </c>
      <c r="J900" s="13">
        <f>IF($A900="","",EOMONTH($A900,0))</f>
        <v/>
      </c>
      <c r="K900" s="67">
        <f>IF($B900="",0,IF(LEFT($B900,1)="━",0,$C900*VLOOKUP($B900,'4. CÀI ĐẶT'!$A$2:$H$32,7,FALSE)))</f>
        <v/>
      </c>
    </row>
    <row r="901">
      <c r="A901" s="8" t="n"/>
      <c r="B901" s="9" t="n"/>
      <c r="C901" s="65" t="n"/>
      <c r="D901" s="9" t="n"/>
      <c r="E901" s="66">
        <f>IF($B901="","",IF(LEFT($B901,1)="━","⚠️ Chọn hạng mục cụ thể",$C901*VLOOKUP($B901,'4. CÀI ĐẶT'!$A$2:$H$32,2,FALSE)))</f>
        <v/>
      </c>
      <c r="F901" s="67">
        <f>IF($B901="",0,IF(LEFT($B901,1)="━",0,$C901*VLOOKUP($B901,'4. CÀI ĐẶT'!$A$2:$H$32,3,FALSE)))</f>
        <v/>
      </c>
      <c r="G901" s="67">
        <f>IF($B901="",0,IF(LEFT($B901,1)="━",0,$C901*VLOOKUP($B901,'4. CÀI ĐẶT'!$A$2:$H$32,4,FALSE)))</f>
        <v/>
      </c>
      <c r="H901" s="67">
        <f>IF($B901="",0,IF(LEFT($B901,1)="━",0,$C901*VLOOKUP($B901,'4. CÀI ĐẶT'!$A$2:$H$32,5,FALSE)))</f>
        <v/>
      </c>
      <c r="I901">
        <f>IF($B901="","",IF(LEFT($B901,1)="━","",VLOOKUP($B901,'4. CÀI ĐẶT'!$A$2:$H$32,6,FALSE)))</f>
        <v/>
      </c>
      <c r="J901" s="13">
        <f>IF($A901="","",EOMONTH($A901,0))</f>
        <v/>
      </c>
      <c r="K901" s="67">
        <f>IF($B901="",0,IF(LEFT($B901,1)="━",0,$C901*VLOOKUP($B901,'4. CÀI ĐẶT'!$A$2:$H$32,7,FALSE)))</f>
        <v/>
      </c>
    </row>
    <row r="902">
      <c r="A902" s="8" t="n"/>
      <c r="B902" s="9" t="n"/>
      <c r="C902" s="65" t="n"/>
      <c r="D902" s="9" t="n"/>
      <c r="E902" s="66">
        <f>IF($B902="","",IF(LEFT($B902,1)="━","⚠️ Chọn hạng mục cụ thể",$C902*VLOOKUP($B902,'4. CÀI ĐẶT'!$A$2:$H$32,2,FALSE)))</f>
        <v/>
      </c>
      <c r="F902" s="67">
        <f>IF($B902="",0,IF(LEFT($B902,1)="━",0,$C902*VLOOKUP($B902,'4. CÀI ĐẶT'!$A$2:$H$32,3,FALSE)))</f>
        <v/>
      </c>
      <c r="G902" s="67">
        <f>IF($B902="",0,IF(LEFT($B902,1)="━",0,$C902*VLOOKUP($B902,'4. CÀI ĐẶT'!$A$2:$H$32,4,FALSE)))</f>
        <v/>
      </c>
      <c r="H902" s="67">
        <f>IF($B902="",0,IF(LEFT($B902,1)="━",0,$C902*VLOOKUP($B902,'4. CÀI ĐẶT'!$A$2:$H$32,5,FALSE)))</f>
        <v/>
      </c>
      <c r="I902">
        <f>IF($B902="","",IF(LEFT($B902,1)="━","",VLOOKUP($B902,'4. CÀI ĐẶT'!$A$2:$H$32,6,FALSE)))</f>
        <v/>
      </c>
      <c r="J902" s="13">
        <f>IF($A902="","",EOMONTH($A902,0))</f>
        <v/>
      </c>
      <c r="K902" s="67">
        <f>IF($B902="",0,IF(LEFT($B902,1)="━",0,$C902*VLOOKUP($B902,'4. CÀI ĐẶT'!$A$2:$H$32,7,FALSE)))</f>
        <v/>
      </c>
    </row>
    <row r="903">
      <c r="A903" s="8" t="n"/>
      <c r="B903" s="9" t="n"/>
      <c r="C903" s="65" t="n"/>
      <c r="D903" s="9" t="n"/>
      <c r="E903" s="66">
        <f>IF($B903="","",IF(LEFT($B903,1)="━","⚠️ Chọn hạng mục cụ thể",$C903*VLOOKUP($B903,'4. CÀI ĐẶT'!$A$2:$H$32,2,FALSE)))</f>
        <v/>
      </c>
      <c r="F903" s="67">
        <f>IF($B903="",0,IF(LEFT($B903,1)="━",0,$C903*VLOOKUP($B903,'4. CÀI ĐẶT'!$A$2:$H$32,3,FALSE)))</f>
        <v/>
      </c>
      <c r="G903" s="67">
        <f>IF($B903="",0,IF(LEFT($B903,1)="━",0,$C903*VLOOKUP($B903,'4. CÀI ĐẶT'!$A$2:$H$32,4,FALSE)))</f>
        <v/>
      </c>
      <c r="H903" s="67">
        <f>IF($B903="",0,IF(LEFT($B903,1)="━",0,$C903*VLOOKUP($B903,'4. CÀI ĐẶT'!$A$2:$H$32,5,FALSE)))</f>
        <v/>
      </c>
      <c r="I903">
        <f>IF($B903="","",IF(LEFT($B903,1)="━","",VLOOKUP($B903,'4. CÀI ĐẶT'!$A$2:$H$32,6,FALSE)))</f>
        <v/>
      </c>
      <c r="J903" s="13">
        <f>IF($A903="","",EOMONTH($A903,0))</f>
        <v/>
      </c>
      <c r="K903" s="67">
        <f>IF($B903="",0,IF(LEFT($B903,1)="━",0,$C903*VLOOKUP($B903,'4. CÀI ĐẶT'!$A$2:$H$32,7,FALSE)))</f>
        <v/>
      </c>
    </row>
    <row r="904">
      <c r="A904" s="8" t="n"/>
      <c r="B904" s="9" t="n"/>
      <c r="C904" s="65" t="n"/>
      <c r="D904" s="9" t="n"/>
      <c r="E904" s="66">
        <f>IF($B904="","",IF(LEFT($B904,1)="━","⚠️ Chọn hạng mục cụ thể",$C904*VLOOKUP($B904,'4. CÀI ĐẶT'!$A$2:$H$32,2,FALSE)))</f>
        <v/>
      </c>
      <c r="F904" s="67">
        <f>IF($B904="",0,IF(LEFT($B904,1)="━",0,$C904*VLOOKUP($B904,'4. CÀI ĐẶT'!$A$2:$H$32,3,FALSE)))</f>
        <v/>
      </c>
      <c r="G904" s="67">
        <f>IF($B904="",0,IF(LEFT($B904,1)="━",0,$C904*VLOOKUP($B904,'4. CÀI ĐẶT'!$A$2:$H$32,4,FALSE)))</f>
        <v/>
      </c>
      <c r="H904" s="67">
        <f>IF($B904="",0,IF(LEFT($B904,1)="━",0,$C904*VLOOKUP($B904,'4. CÀI ĐẶT'!$A$2:$H$32,5,FALSE)))</f>
        <v/>
      </c>
      <c r="I904">
        <f>IF($B904="","",IF(LEFT($B904,1)="━","",VLOOKUP($B904,'4. CÀI ĐẶT'!$A$2:$H$32,6,FALSE)))</f>
        <v/>
      </c>
      <c r="J904" s="13">
        <f>IF($A904="","",EOMONTH($A904,0))</f>
        <v/>
      </c>
      <c r="K904" s="67">
        <f>IF($B904="",0,IF(LEFT($B904,1)="━",0,$C904*VLOOKUP($B904,'4. CÀI ĐẶT'!$A$2:$H$32,7,FALSE)))</f>
        <v/>
      </c>
    </row>
    <row r="905">
      <c r="A905" s="8" t="n"/>
      <c r="B905" s="9" t="n"/>
      <c r="C905" s="65" t="n"/>
      <c r="D905" s="9" t="n"/>
      <c r="E905" s="66">
        <f>IF($B905="","",IF(LEFT($B905,1)="━","⚠️ Chọn hạng mục cụ thể",$C905*VLOOKUP($B905,'4. CÀI ĐẶT'!$A$2:$H$32,2,FALSE)))</f>
        <v/>
      </c>
      <c r="F905" s="67">
        <f>IF($B905="",0,IF(LEFT($B905,1)="━",0,$C905*VLOOKUP($B905,'4. CÀI ĐẶT'!$A$2:$H$32,3,FALSE)))</f>
        <v/>
      </c>
      <c r="G905" s="67">
        <f>IF($B905="",0,IF(LEFT($B905,1)="━",0,$C905*VLOOKUP($B905,'4. CÀI ĐẶT'!$A$2:$H$32,4,FALSE)))</f>
        <v/>
      </c>
      <c r="H905" s="67">
        <f>IF($B905="",0,IF(LEFT($B905,1)="━",0,$C905*VLOOKUP($B905,'4. CÀI ĐẶT'!$A$2:$H$32,5,FALSE)))</f>
        <v/>
      </c>
      <c r="I905">
        <f>IF($B905="","",IF(LEFT($B905,1)="━","",VLOOKUP($B905,'4. CÀI ĐẶT'!$A$2:$H$32,6,FALSE)))</f>
        <v/>
      </c>
      <c r="J905" s="13">
        <f>IF($A905="","",EOMONTH($A905,0))</f>
        <v/>
      </c>
      <c r="K905" s="67">
        <f>IF($B905="",0,IF(LEFT($B905,1)="━",0,$C905*VLOOKUP($B905,'4. CÀI ĐẶT'!$A$2:$H$32,7,FALSE)))</f>
        <v/>
      </c>
    </row>
    <row r="906">
      <c r="A906" s="8" t="n"/>
      <c r="B906" s="9" t="n"/>
      <c r="C906" s="65" t="n"/>
      <c r="D906" s="9" t="n"/>
      <c r="E906" s="66">
        <f>IF($B906="","",IF(LEFT($B906,1)="━","⚠️ Chọn hạng mục cụ thể",$C906*VLOOKUP($B906,'4. CÀI ĐẶT'!$A$2:$H$32,2,FALSE)))</f>
        <v/>
      </c>
      <c r="F906" s="67">
        <f>IF($B906="",0,IF(LEFT($B906,1)="━",0,$C906*VLOOKUP($B906,'4. CÀI ĐẶT'!$A$2:$H$32,3,FALSE)))</f>
        <v/>
      </c>
      <c r="G906" s="67">
        <f>IF($B906="",0,IF(LEFT($B906,1)="━",0,$C906*VLOOKUP($B906,'4. CÀI ĐẶT'!$A$2:$H$32,4,FALSE)))</f>
        <v/>
      </c>
      <c r="H906" s="67">
        <f>IF($B906="",0,IF(LEFT($B906,1)="━",0,$C906*VLOOKUP($B906,'4. CÀI ĐẶT'!$A$2:$H$32,5,FALSE)))</f>
        <v/>
      </c>
      <c r="I906">
        <f>IF($B906="","",IF(LEFT($B906,1)="━","",VLOOKUP($B906,'4. CÀI ĐẶT'!$A$2:$H$32,6,FALSE)))</f>
        <v/>
      </c>
      <c r="J906" s="13">
        <f>IF($A906="","",EOMONTH($A906,0))</f>
        <v/>
      </c>
      <c r="K906" s="67">
        <f>IF($B906="",0,IF(LEFT($B906,1)="━",0,$C906*VLOOKUP($B906,'4. CÀI ĐẶT'!$A$2:$H$32,7,FALSE)))</f>
        <v/>
      </c>
    </row>
    <row r="907">
      <c r="A907" s="8" t="n"/>
      <c r="B907" s="9" t="n"/>
      <c r="C907" s="65" t="n"/>
      <c r="D907" s="9" t="n"/>
      <c r="E907" s="66">
        <f>IF($B907="","",IF(LEFT($B907,1)="━","⚠️ Chọn hạng mục cụ thể",$C907*VLOOKUP($B907,'4. CÀI ĐẶT'!$A$2:$H$32,2,FALSE)))</f>
        <v/>
      </c>
      <c r="F907" s="67">
        <f>IF($B907="",0,IF(LEFT($B907,1)="━",0,$C907*VLOOKUP($B907,'4. CÀI ĐẶT'!$A$2:$H$32,3,FALSE)))</f>
        <v/>
      </c>
      <c r="G907" s="67">
        <f>IF($B907="",0,IF(LEFT($B907,1)="━",0,$C907*VLOOKUP($B907,'4. CÀI ĐẶT'!$A$2:$H$32,4,FALSE)))</f>
        <v/>
      </c>
      <c r="H907" s="67">
        <f>IF($B907="",0,IF(LEFT($B907,1)="━",0,$C907*VLOOKUP($B907,'4. CÀI ĐẶT'!$A$2:$H$32,5,FALSE)))</f>
        <v/>
      </c>
      <c r="I907">
        <f>IF($B907="","",IF(LEFT($B907,1)="━","",VLOOKUP($B907,'4. CÀI ĐẶT'!$A$2:$H$32,6,FALSE)))</f>
        <v/>
      </c>
      <c r="J907" s="13">
        <f>IF($A907="","",EOMONTH($A907,0))</f>
        <v/>
      </c>
      <c r="K907" s="67">
        <f>IF($B907="",0,IF(LEFT($B907,1)="━",0,$C907*VLOOKUP($B907,'4. CÀI ĐẶT'!$A$2:$H$32,7,FALSE)))</f>
        <v/>
      </c>
    </row>
    <row r="908">
      <c r="A908" s="8" t="n"/>
      <c r="B908" s="9" t="n"/>
      <c r="C908" s="65" t="n"/>
      <c r="D908" s="9" t="n"/>
      <c r="E908" s="66">
        <f>IF($B908="","",IF(LEFT($B908,1)="━","⚠️ Chọn hạng mục cụ thể",$C908*VLOOKUP($B908,'4. CÀI ĐẶT'!$A$2:$H$32,2,FALSE)))</f>
        <v/>
      </c>
      <c r="F908" s="67">
        <f>IF($B908="",0,IF(LEFT($B908,1)="━",0,$C908*VLOOKUP($B908,'4. CÀI ĐẶT'!$A$2:$H$32,3,FALSE)))</f>
        <v/>
      </c>
      <c r="G908" s="67">
        <f>IF($B908="",0,IF(LEFT($B908,1)="━",0,$C908*VLOOKUP($B908,'4. CÀI ĐẶT'!$A$2:$H$32,4,FALSE)))</f>
        <v/>
      </c>
      <c r="H908" s="67">
        <f>IF($B908="",0,IF(LEFT($B908,1)="━",0,$C908*VLOOKUP($B908,'4. CÀI ĐẶT'!$A$2:$H$32,5,FALSE)))</f>
        <v/>
      </c>
      <c r="I908">
        <f>IF($B908="","",IF(LEFT($B908,1)="━","",VLOOKUP($B908,'4. CÀI ĐẶT'!$A$2:$H$32,6,FALSE)))</f>
        <v/>
      </c>
      <c r="J908" s="13">
        <f>IF($A908="","",EOMONTH($A908,0))</f>
        <v/>
      </c>
      <c r="K908" s="67">
        <f>IF($B908="",0,IF(LEFT($B908,1)="━",0,$C908*VLOOKUP($B908,'4. CÀI ĐẶT'!$A$2:$H$32,7,FALSE)))</f>
        <v/>
      </c>
    </row>
    <row r="909">
      <c r="A909" s="8" t="n"/>
      <c r="B909" s="9" t="n"/>
      <c r="C909" s="65" t="n"/>
      <c r="D909" s="9" t="n"/>
      <c r="E909" s="66">
        <f>IF($B909="","",IF(LEFT($B909,1)="━","⚠️ Chọn hạng mục cụ thể",$C909*VLOOKUP($B909,'4. CÀI ĐẶT'!$A$2:$H$32,2,FALSE)))</f>
        <v/>
      </c>
      <c r="F909" s="67">
        <f>IF($B909="",0,IF(LEFT($B909,1)="━",0,$C909*VLOOKUP($B909,'4. CÀI ĐẶT'!$A$2:$H$32,3,FALSE)))</f>
        <v/>
      </c>
      <c r="G909" s="67">
        <f>IF($B909="",0,IF(LEFT($B909,1)="━",0,$C909*VLOOKUP($B909,'4. CÀI ĐẶT'!$A$2:$H$32,4,FALSE)))</f>
        <v/>
      </c>
      <c r="H909" s="67">
        <f>IF($B909="",0,IF(LEFT($B909,1)="━",0,$C909*VLOOKUP($B909,'4. CÀI ĐẶT'!$A$2:$H$32,5,FALSE)))</f>
        <v/>
      </c>
      <c r="I909">
        <f>IF($B909="","",IF(LEFT($B909,1)="━","",VLOOKUP($B909,'4. CÀI ĐẶT'!$A$2:$H$32,6,FALSE)))</f>
        <v/>
      </c>
      <c r="J909" s="13">
        <f>IF($A909="","",EOMONTH($A909,0))</f>
        <v/>
      </c>
      <c r="K909" s="67">
        <f>IF($B909="",0,IF(LEFT($B909,1)="━",0,$C909*VLOOKUP($B909,'4. CÀI ĐẶT'!$A$2:$H$32,7,FALSE)))</f>
        <v/>
      </c>
    </row>
    <row r="910">
      <c r="A910" s="8" t="n"/>
      <c r="B910" s="9" t="n"/>
      <c r="C910" s="65" t="n"/>
      <c r="D910" s="9" t="n"/>
      <c r="E910" s="66">
        <f>IF($B910="","",IF(LEFT($B910,1)="━","⚠️ Chọn hạng mục cụ thể",$C910*VLOOKUP($B910,'4. CÀI ĐẶT'!$A$2:$H$32,2,FALSE)))</f>
        <v/>
      </c>
      <c r="F910" s="67">
        <f>IF($B910="",0,IF(LEFT($B910,1)="━",0,$C910*VLOOKUP($B910,'4. CÀI ĐẶT'!$A$2:$H$32,3,FALSE)))</f>
        <v/>
      </c>
      <c r="G910" s="67">
        <f>IF($B910="",0,IF(LEFT($B910,1)="━",0,$C910*VLOOKUP($B910,'4. CÀI ĐẶT'!$A$2:$H$32,4,FALSE)))</f>
        <v/>
      </c>
      <c r="H910" s="67">
        <f>IF($B910="",0,IF(LEFT($B910,1)="━",0,$C910*VLOOKUP($B910,'4. CÀI ĐẶT'!$A$2:$H$32,5,FALSE)))</f>
        <v/>
      </c>
      <c r="I910">
        <f>IF($B910="","",IF(LEFT($B910,1)="━","",VLOOKUP($B910,'4. CÀI ĐẶT'!$A$2:$H$32,6,FALSE)))</f>
        <v/>
      </c>
      <c r="J910" s="13">
        <f>IF($A910="","",EOMONTH($A910,0))</f>
        <v/>
      </c>
      <c r="K910" s="67">
        <f>IF($B910="",0,IF(LEFT($B910,1)="━",0,$C910*VLOOKUP($B910,'4. CÀI ĐẶT'!$A$2:$H$32,7,FALSE)))</f>
        <v/>
      </c>
    </row>
    <row r="911">
      <c r="A911" s="8" t="n"/>
      <c r="B911" s="9" t="n"/>
      <c r="C911" s="65" t="n"/>
      <c r="D911" s="9" t="n"/>
      <c r="E911" s="66">
        <f>IF($B911="","",IF(LEFT($B911,1)="━","⚠️ Chọn hạng mục cụ thể",$C911*VLOOKUP($B911,'4. CÀI ĐẶT'!$A$2:$H$32,2,FALSE)))</f>
        <v/>
      </c>
      <c r="F911" s="67">
        <f>IF($B911="",0,IF(LEFT($B911,1)="━",0,$C911*VLOOKUP($B911,'4. CÀI ĐẶT'!$A$2:$H$32,3,FALSE)))</f>
        <v/>
      </c>
      <c r="G911" s="67">
        <f>IF($B911="",0,IF(LEFT($B911,1)="━",0,$C911*VLOOKUP($B911,'4. CÀI ĐẶT'!$A$2:$H$32,4,FALSE)))</f>
        <v/>
      </c>
      <c r="H911" s="67">
        <f>IF($B911="",0,IF(LEFT($B911,1)="━",0,$C911*VLOOKUP($B911,'4. CÀI ĐẶT'!$A$2:$H$32,5,FALSE)))</f>
        <v/>
      </c>
      <c r="I911">
        <f>IF($B911="","",IF(LEFT($B911,1)="━","",VLOOKUP($B911,'4. CÀI ĐẶT'!$A$2:$H$32,6,FALSE)))</f>
        <v/>
      </c>
      <c r="J911" s="13">
        <f>IF($A911="","",EOMONTH($A911,0))</f>
        <v/>
      </c>
      <c r="K911" s="67">
        <f>IF($B911="",0,IF(LEFT($B911,1)="━",0,$C911*VLOOKUP($B911,'4. CÀI ĐẶT'!$A$2:$H$32,7,FALSE)))</f>
        <v/>
      </c>
    </row>
    <row r="912">
      <c r="A912" s="8" t="n"/>
      <c r="B912" s="9" t="n"/>
      <c r="C912" s="65" t="n"/>
      <c r="D912" s="9" t="n"/>
      <c r="E912" s="66">
        <f>IF($B912="","",IF(LEFT($B912,1)="━","⚠️ Chọn hạng mục cụ thể",$C912*VLOOKUP($B912,'4. CÀI ĐẶT'!$A$2:$H$32,2,FALSE)))</f>
        <v/>
      </c>
      <c r="F912" s="67">
        <f>IF($B912="",0,IF(LEFT($B912,1)="━",0,$C912*VLOOKUP($B912,'4. CÀI ĐẶT'!$A$2:$H$32,3,FALSE)))</f>
        <v/>
      </c>
      <c r="G912" s="67">
        <f>IF($B912="",0,IF(LEFT($B912,1)="━",0,$C912*VLOOKUP($B912,'4. CÀI ĐẶT'!$A$2:$H$32,4,FALSE)))</f>
        <v/>
      </c>
      <c r="H912" s="67">
        <f>IF($B912="",0,IF(LEFT($B912,1)="━",0,$C912*VLOOKUP($B912,'4. CÀI ĐẶT'!$A$2:$H$32,5,FALSE)))</f>
        <v/>
      </c>
      <c r="I912">
        <f>IF($B912="","",IF(LEFT($B912,1)="━","",VLOOKUP($B912,'4. CÀI ĐẶT'!$A$2:$H$32,6,FALSE)))</f>
        <v/>
      </c>
      <c r="J912" s="13">
        <f>IF($A912="","",EOMONTH($A912,0))</f>
        <v/>
      </c>
      <c r="K912" s="67">
        <f>IF($B912="",0,IF(LEFT($B912,1)="━",0,$C912*VLOOKUP($B912,'4. CÀI ĐẶT'!$A$2:$H$32,7,FALSE)))</f>
        <v/>
      </c>
    </row>
    <row r="913">
      <c r="A913" s="8" t="n"/>
      <c r="B913" s="9" t="n"/>
      <c r="C913" s="65" t="n"/>
      <c r="D913" s="9" t="n"/>
      <c r="E913" s="66">
        <f>IF($B913="","",IF(LEFT($B913,1)="━","⚠️ Chọn hạng mục cụ thể",$C913*VLOOKUP($B913,'4. CÀI ĐẶT'!$A$2:$H$32,2,FALSE)))</f>
        <v/>
      </c>
      <c r="F913" s="67">
        <f>IF($B913="",0,IF(LEFT($B913,1)="━",0,$C913*VLOOKUP($B913,'4. CÀI ĐẶT'!$A$2:$H$32,3,FALSE)))</f>
        <v/>
      </c>
      <c r="G913" s="67">
        <f>IF($B913="",0,IF(LEFT($B913,1)="━",0,$C913*VLOOKUP($B913,'4. CÀI ĐẶT'!$A$2:$H$32,4,FALSE)))</f>
        <v/>
      </c>
      <c r="H913" s="67">
        <f>IF($B913="",0,IF(LEFT($B913,1)="━",0,$C913*VLOOKUP($B913,'4. CÀI ĐẶT'!$A$2:$H$32,5,FALSE)))</f>
        <v/>
      </c>
      <c r="I913">
        <f>IF($B913="","",IF(LEFT($B913,1)="━","",VLOOKUP($B913,'4. CÀI ĐẶT'!$A$2:$H$32,6,FALSE)))</f>
        <v/>
      </c>
      <c r="J913" s="13">
        <f>IF($A913="","",EOMONTH($A913,0))</f>
        <v/>
      </c>
      <c r="K913" s="67">
        <f>IF($B913="",0,IF(LEFT($B913,1)="━",0,$C913*VLOOKUP($B913,'4. CÀI ĐẶT'!$A$2:$H$32,7,FALSE)))</f>
        <v/>
      </c>
    </row>
    <row r="914">
      <c r="A914" s="8" t="n"/>
      <c r="B914" s="9" t="n"/>
      <c r="C914" s="65" t="n"/>
      <c r="D914" s="9" t="n"/>
      <c r="E914" s="66">
        <f>IF($B914="","",IF(LEFT($B914,1)="━","⚠️ Chọn hạng mục cụ thể",$C914*VLOOKUP($B914,'4. CÀI ĐẶT'!$A$2:$H$32,2,FALSE)))</f>
        <v/>
      </c>
      <c r="F914" s="67">
        <f>IF($B914="",0,IF(LEFT($B914,1)="━",0,$C914*VLOOKUP($B914,'4. CÀI ĐẶT'!$A$2:$H$32,3,FALSE)))</f>
        <v/>
      </c>
      <c r="G914" s="67">
        <f>IF($B914="",0,IF(LEFT($B914,1)="━",0,$C914*VLOOKUP($B914,'4. CÀI ĐẶT'!$A$2:$H$32,4,FALSE)))</f>
        <v/>
      </c>
      <c r="H914" s="67">
        <f>IF($B914="",0,IF(LEFT($B914,1)="━",0,$C914*VLOOKUP($B914,'4. CÀI ĐẶT'!$A$2:$H$32,5,FALSE)))</f>
        <v/>
      </c>
      <c r="I914">
        <f>IF($B914="","",IF(LEFT($B914,1)="━","",VLOOKUP($B914,'4. CÀI ĐẶT'!$A$2:$H$32,6,FALSE)))</f>
        <v/>
      </c>
      <c r="J914" s="13">
        <f>IF($A914="","",EOMONTH($A914,0))</f>
        <v/>
      </c>
      <c r="K914" s="67">
        <f>IF($B914="",0,IF(LEFT($B914,1)="━",0,$C914*VLOOKUP($B914,'4. CÀI ĐẶT'!$A$2:$H$32,7,FALSE)))</f>
        <v/>
      </c>
    </row>
    <row r="915">
      <c r="A915" s="8" t="n"/>
      <c r="B915" s="9" t="n"/>
      <c r="C915" s="65" t="n"/>
      <c r="D915" s="9" t="n"/>
      <c r="E915" s="66">
        <f>IF($B915="","",IF(LEFT($B915,1)="━","⚠️ Chọn hạng mục cụ thể",$C915*VLOOKUP($B915,'4. CÀI ĐẶT'!$A$2:$H$32,2,FALSE)))</f>
        <v/>
      </c>
      <c r="F915" s="67">
        <f>IF($B915="",0,IF(LEFT($B915,1)="━",0,$C915*VLOOKUP($B915,'4. CÀI ĐẶT'!$A$2:$H$32,3,FALSE)))</f>
        <v/>
      </c>
      <c r="G915" s="67">
        <f>IF($B915="",0,IF(LEFT($B915,1)="━",0,$C915*VLOOKUP($B915,'4. CÀI ĐẶT'!$A$2:$H$32,4,FALSE)))</f>
        <v/>
      </c>
      <c r="H915" s="67">
        <f>IF($B915="",0,IF(LEFT($B915,1)="━",0,$C915*VLOOKUP($B915,'4. CÀI ĐẶT'!$A$2:$H$32,5,FALSE)))</f>
        <v/>
      </c>
      <c r="I915">
        <f>IF($B915="","",IF(LEFT($B915,1)="━","",VLOOKUP($B915,'4. CÀI ĐẶT'!$A$2:$H$32,6,FALSE)))</f>
        <v/>
      </c>
      <c r="J915" s="13">
        <f>IF($A915="","",EOMONTH($A915,0))</f>
        <v/>
      </c>
      <c r="K915" s="67">
        <f>IF($B915="",0,IF(LEFT($B915,1)="━",0,$C915*VLOOKUP($B915,'4. CÀI ĐẶT'!$A$2:$H$32,7,FALSE)))</f>
        <v/>
      </c>
    </row>
    <row r="916">
      <c r="A916" s="8" t="n"/>
      <c r="B916" s="9" t="n"/>
      <c r="C916" s="65" t="n"/>
      <c r="D916" s="9" t="n"/>
      <c r="E916" s="66">
        <f>IF($B916="","",IF(LEFT($B916,1)="━","⚠️ Chọn hạng mục cụ thể",$C916*VLOOKUP($B916,'4. CÀI ĐẶT'!$A$2:$H$32,2,FALSE)))</f>
        <v/>
      </c>
      <c r="F916" s="67">
        <f>IF($B916="",0,IF(LEFT($B916,1)="━",0,$C916*VLOOKUP($B916,'4. CÀI ĐẶT'!$A$2:$H$32,3,FALSE)))</f>
        <v/>
      </c>
      <c r="G916" s="67">
        <f>IF($B916="",0,IF(LEFT($B916,1)="━",0,$C916*VLOOKUP($B916,'4. CÀI ĐẶT'!$A$2:$H$32,4,FALSE)))</f>
        <v/>
      </c>
      <c r="H916" s="67">
        <f>IF($B916="",0,IF(LEFT($B916,1)="━",0,$C916*VLOOKUP($B916,'4. CÀI ĐẶT'!$A$2:$H$32,5,FALSE)))</f>
        <v/>
      </c>
      <c r="I916">
        <f>IF($B916="","",IF(LEFT($B916,1)="━","",VLOOKUP($B916,'4. CÀI ĐẶT'!$A$2:$H$32,6,FALSE)))</f>
        <v/>
      </c>
      <c r="J916" s="13">
        <f>IF($A916="","",EOMONTH($A916,0))</f>
        <v/>
      </c>
      <c r="K916" s="67">
        <f>IF($B916="",0,IF(LEFT($B916,1)="━",0,$C916*VLOOKUP($B916,'4. CÀI ĐẶT'!$A$2:$H$32,7,FALSE)))</f>
        <v/>
      </c>
    </row>
    <row r="917">
      <c r="A917" s="8" t="n"/>
      <c r="B917" s="9" t="n"/>
      <c r="C917" s="65" t="n"/>
      <c r="D917" s="9" t="n"/>
      <c r="E917" s="66">
        <f>IF($B917="","",IF(LEFT($B917,1)="━","⚠️ Chọn hạng mục cụ thể",$C917*VLOOKUP($B917,'4. CÀI ĐẶT'!$A$2:$H$32,2,FALSE)))</f>
        <v/>
      </c>
      <c r="F917" s="67">
        <f>IF($B917="",0,IF(LEFT($B917,1)="━",0,$C917*VLOOKUP($B917,'4. CÀI ĐẶT'!$A$2:$H$32,3,FALSE)))</f>
        <v/>
      </c>
      <c r="G917" s="67">
        <f>IF($B917="",0,IF(LEFT($B917,1)="━",0,$C917*VLOOKUP($B917,'4. CÀI ĐẶT'!$A$2:$H$32,4,FALSE)))</f>
        <v/>
      </c>
      <c r="H917" s="67">
        <f>IF($B917="",0,IF(LEFT($B917,1)="━",0,$C917*VLOOKUP($B917,'4. CÀI ĐẶT'!$A$2:$H$32,5,FALSE)))</f>
        <v/>
      </c>
      <c r="I917">
        <f>IF($B917="","",IF(LEFT($B917,1)="━","",VLOOKUP($B917,'4. CÀI ĐẶT'!$A$2:$H$32,6,FALSE)))</f>
        <v/>
      </c>
      <c r="J917" s="13">
        <f>IF($A917="","",EOMONTH($A917,0))</f>
        <v/>
      </c>
      <c r="K917" s="67">
        <f>IF($B917="",0,IF(LEFT($B917,1)="━",0,$C917*VLOOKUP($B917,'4. CÀI ĐẶT'!$A$2:$H$32,7,FALSE)))</f>
        <v/>
      </c>
    </row>
    <row r="918">
      <c r="A918" s="8" t="n"/>
      <c r="B918" s="9" t="n"/>
      <c r="C918" s="65" t="n"/>
      <c r="D918" s="9" t="n"/>
      <c r="E918" s="66">
        <f>IF($B918="","",IF(LEFT($B918,1)="━","⚠️ Chọn hạng mục cụ thể",$C918*VLOOKUP($B918,'4. CÀI ĐẶT'!$A$2:$H$32,2,FALSE)))</f>
        <v/>
      </c>
      <c r="F918" s="67">
        <f>IF($B918="",0,IF(LEFT($B918,1)="━",0,$C918*VLOOKUP($B918,'4. CÀI ĐẶT'!$A$2:$H$32,3,FALSE)))</f>
        <v/>
      </c>
      <c r="G918" s="67">
        <f>IF($B918="",0,IF(LEFT($B918,1)="━",0,$C918*VLOOKUP($B918,'4. CÀI ĐẶT'!$A$2:$H$32,4,FALSE)))</f>
        <v/>
      </c>
      <c r="H918" s="67">
        <f>IF($B918="",0,IF(LEFT($B918,1)="━",0,$C918*VLOOKUP($B918,'4. CÀI ĐẶT'!$A$2:$H$32,5,FALSE)))</f>
        <v/>
      </c>
      <c r="I918">
        <f>IF($B918="","",IF(LEFT($B918,1)="━","",VLOOKUP($B918,'4. CÀI ĐẶT'!$A$2:$H$32,6,FALSE)))</f>
        <v/>
      </c>
      <c r="J918" s="13">
        <f>IF($A918="","",EOMONTH($A918,0))</f>
        <v/>
      </c>
      <c r="K918" s="67">
        <f>IF($B918="",0,IF(LEFT($B918,1)="━",0,$C918*VLOOKUP($B918,'4. CÀI ĐẶT'!$A$2:$H$32,7,FALSE)))</f>
        <v/>
      </c>
    </row>
    <row r="919">
      <c r="A919" s="8" t="n"/>
      <c r="B919" s="9" t="n"/>
      <c r="C919" s="65" t="n"/>
      <c r="D919" s="9" t="n"/>
      <c r="E919" s="66">
        <f>IF($B919="","",IF(LEFT($B919,1)="━","⚠️ Chọn hạng mục cụ thể",$C919*VLOOKUP($B919,'4. CÀI ĐẶT'!$A$2:$H$32,2,FALSE)))</f>
        <v/>
      </c>
      <c r="F919" s="67">
        <f>IF($B919="",0,IF(LEFT($B919,1)="━",0,$C919*VLOOKUP($B919,'4. CÀI ĐẶT'!$A$2:$H$32,3,FALSE)))</f>
        <v/>
      </c>
      <c r="G919" s="67">
        <f>IF($B919="",0,IF(LEFT($B919,1)="━",0,$C919*VLOOKUP($B919,'4. CÀI ĐẶT'!$A$2:$H$32,4,FALSE)))</f>
        <v/>
      </c>
      <c r="H919" s="67">
        <f>IF($B919="",0,IF(LEFT($B919,1)="━",0,$C919*VLOOKUP($B919,'4. CÀI ĐẶT'!$A$2:$H$32,5,FALSE)))</f>
        <v/>
      </c>
      <c r="I919">
        <f>IF($B919="","",IF(LEFT($B919,1)="━","",VLOOKUP($B919,'4. CÀI ĐẶT'!$A$2:$H$32,6,FALSE)))</f>
        <v/>
      </c>
      <c r="J919" s="13">
        <f>IF($A919="","",EOMONTH($A919,0))</f>
        <v/>
      </c>
      <c r="K919" s="67">
        <f>IF($B919="",0,IF(LEFT($B919,1)="━",0,$C919*VLOOKUP($B919,'4. CÀI ĐẶT'!$A$2:$H$32,7,FALSE)))</f>
        <v/>
      </c>
    </row>
    <row r="920">
      <c r="A920" s="8" t="n"/>
      <c r="B920" s="9" t="n"/>
      <c r="C920" s="65" t="n"/>
      <c r="D920" s="9" t="n"/>
      <c r="E920" s="66">
        <f>IF($B920="","",IF(LEFT($B920,1)="━","⚠️ Chọn hạng mục cụ thể",$C920*VLOOKUP($B920,'4. CÀI ĐẶT'!$A$2:$H$32,2,FALSE)))</f>
        <v/>
      </c>
      <c r="F920" s="67">
        <f>IF($B920="",0,IF(LEFT($B920,1)="━",0,$C920*VLOOKUP($B920,'4. CÀI ĐẶT'!$A$2:$H$32,3,FALSE)))</f>
        <v/>
      </c>
      <c r="G920" s="67">
        <f>IF($B920="",0,IF(LEFT($B920,1)="━",0,$C920*VLOOKUP($B920,'4. CÀI ĐẶT'!$A$2:$H$32,4,FALSE)))</f>
        <v/>
      </c>
      <c r="H920" s="67">
        <f>IF($B920="",0,IF(LEFT($B920,1)="━",0,$C920*VLOOKUP($B920,'4. CÀI ĐẶT'!$A$2:$H$32,5,FALSE)))</f>
        <v/>
      </c>
      <c r="I920">
        <f>IF($B920="","",IF(LEFT($B920,1)="━","",VLOOKUP($B920,'4. CÀI ĐẶT'!$A$2:$H$32,6,FALSE)))</f>
        <v/>
      </c>
      <c r="J920" s="13">
        <f>IF($A920="","",EOMONTH($A920,0))</f>
        <v/>
      </c>
      <c r="K920" s="67">
        <f>IF($B920="",0,IF(LEFT($B920,1)="━",0,$C920*VLOOKUP($B920,'4. CÀI ĐẶT'!$A$2:$H$32,7,FALSE)))</f>
        <v/>
      </c>
    </row>
    <row r="921">
      <c r="A921" s="8" t="n"/>
      <c r="B921" s="9" t="n"/>
      <c r="C921" s="65" t="n"/>
      <c r="D921" s="9" t="n"/>
      <c r="E921" s="66">
        <f>IF($B921="","",IF(LEFT($B921,1)="━","⚠️ Chọn hạng mục cụ thể",$C921*VLOOKUP($B921,'4. CÀI ĐẶT'!$A$2:$H$32,2,FALSE)))</f>
        <v/>
      </c>
      <c r="F921" s="67">
        <f>IF($B921="",0,IF(LEFT($B921,1)="━",0,$C921*VLOOKUP($B921,'4. CÀI ĐẶT'!$A$2:$H$32,3,FALSE)))</f>
        <v/>
      </c>
      <c r="G921" s="67">
        <f>IF($B921="",0,IF(LEFT($B921,1)="━",0,$C921*VLOOKUP($B921,'4. CÀI ĐẶT'!$A$2:$H$32,4,FALSE)))</f>
        <v/>
      </c>
      <c r="H921" s="67">
        <f>IF($B921="",0,IF(LEFT($B921,1)="━",0,$C921*VLOOKUP($B921,'4. CÀI ĐẶT'!$A$2:$H$32,5,FALSE)))</f>
        <v/>
      </c>
      <c r="I921">
        <f>IF($B921="","",IF(LEFT($B921,1)="━","",VLOOKUP($B921,'4. CÀI ĐẶT'!$A$2:$H$32,6,FALSE)))</f>
        <v/>
      </c>
      <c r="J921" s="13">
        <f>IF($A921="","",EOMONTH($A921,0))</f>
        <v/>
      </c>
      <c r="K921" s="67">
        <f>IF($B921="",0,IF(LEFT($B921,1)="━",0,$C921*VLOOKUP($B921,'4. CÀI ĐẶT'!$A$2:$H$32,7,FALSE)))</f>
        <v/>
      </c>
    </row>
    <row r="922">
      <c r="A922" s="8" t="n"/>
      <c r="B922" s="9" t="n"/>
      <c r="C922" s="65" t="n"/>
      <c r="D922" s="9" t="n"/>
      <c r="E922" s="66">
        <f>IF($B922="","",IF(LEFT($B922,1)="━","⚠️ Chọn hạng mục cụ thể",$C922*VLOOKUP($B922,'4. CÀI ĐẶT'!$A$2:$H$32,2,FALSE)))</f>
        <v/>
      </c>
      <c r="F922" s="67">
        <f>IF($B922="",0,IF(LEFT($B922,1)="━",0,$C922*VLOOKUP($B922,'4. CÀI ĐẶT'!$A$2:$H$32,3,FALSE)))</f>
        <v/>
      </c>
      <c r="G922" s="67">
        <f>IF($B922="",0,IF(LEFT($B922,1)="━",0,$C922*VLOOKUP($B922,'4. CÀI ĐẶT'!$A$2:$H$32,4,FALSE)))</f>
        <v/>
      </c>
      <c r="H922" s="67">
        <f>IF($B922="",0,IF(LEFT($B922,1)="━",0,$C922*VLOOKUP($B922,'4. CÀI ĐẶT'!$A$2:$H$32,5,FALSE)))</f>
        <v/>
      </c>
      <c r="I922">
        <f>IF($B922="","",IF(LEFT($B922,1)="━","",VLOOKUP($B922,'4. CÀI ĐẶT'!$A$2:$H$32,6,FALSE)))</f>
        <v/>
      </c>
      <c r="J922" s="13">
        <f>IF($A922="","",EOMONTH($A922,0))</f>
        <v/>
      </c>
      <c r="K922" s="67">
        <f>IF($B922="",0,IF(LEFT($B922,1)="━",0,$C922*VLOOKUP($B922,'4. CÀI ĐẶT'!$A$2:$H$32,7,FALSE)))</f>
        <v/>
      </c>
    </row>
    <row r="923">
      <c r="A923" s="8" t="n"/>
      <c r="B923" s="9" t="n"/>
      <c r="C923" s="65" t="n"/>
      <c r="D923" s="9" t="n"/>
      <c r="E923" s="66">
        <f>IF($B923="","",IF(LEFT($B923,1)="━","⚠️ Chọn hạng mục cụ thể",$C923*VLOOKUP($B923,'4. CÀI ĐẶT'!$A$2:$H$32,2,FALSE)))</f>
        <v/>
      </c>
      <c r="F923" s="67">
        <f>IF($B923="",0,IF(LEFT($B923,1)="━",0,$C923*VLOOKUP($B923,'4. CÀI ĐẶT'!$A$2:$H$32,3,FALSE)))</f>
        <v/>
      </c>
      <c r="G923" s="67">
        <f>IF($B923="",0,IF(LEFT($B923,1)="━",0,$C923*VLOOKUP($B923,'4. CÀI ĐẶT'!$A$2:$H$32,4,FALSE)))</f>
        <v/>
      </c>
      <c r="H923" s="67">
        <f>IF($B923="",0,IF(LEFT($B923,1)="━",0,$C923*VLOOKUP($B923,'4. CÀI ĐẶT'!$A$2:$H$32,5,FALSE)))</f>
        <v/>
      </c>
      <c r="I923">
        <f>IF($B923="","",IF(LEFT($B923,1)="━","",VLOOKUP($B923,'4. CÀI ĐẶT'!$A$2:$H$32,6,FALSE)))</f>
        <v/>
      </c>
      <c r="J923" s="13">
        <f>IF($A923="","",EOMONTH($A923,0))</f>
        <v/>
      </c>
      <c r="K923" s="67">
        <f>IF($B923="",0,IF(LEFT($B923,1)="━",0,$C923*VLOOKUP($B923,'4. CÀI ĐẶT'!$A$2:$H$32,7,FALSE)))</f>
        <v/>
      </c>
    </row>
    <row r="924">
      <c r="A924" s="8" t="n"/>
      <c r="B924" s="9" t="n"/>
      <c r="C924" s="65" t="n"/>
      <c r="D924" s="9" t="n"/>
      <c r="E924" s="66">
        <f>IF($B924="","",IF(LEFT($B924,1)="━","⚠️ Chọn hạng mục cụ thể",$C924*VLOOKUP($B924,'4. CÀI ĐẶT'!$A$2:$H$32,2,FALSE)))</f>
        <v/>
      </c>
      <c r="F924" s="67">
        <f>IF($B924="",0,IF(LEFT($B924,1)="━",0,$C924*VLOOKUP($B924,'4. CÀI ĐẶT'!$A$2:$H$32,3,FALSE)))</f>
        <v/>
      </c>
      <c r="G924" s="67">
        <f>IF($B924="",0,IF(LEFT($B924,1)="━",0,$C924*VLOOKUP($B924,'4. CÀI ĐẶT'!$A$2:$H$32,4,FALSE)))</f>
        <v/>
      </c>
      <c r="H924" s="67">
        <f>IF($B924="",0,IF(LEFT($B924,1)="━",0,$C924*VLOOKUP($B924,'4. CÀI ĐẶT'!$A$2:$H$32,5,FALSE)))</f>
        <v/>
      </c>
      <c r="I924">
        <f>IF($B924="","",IF(LEFT($B924,1)="━","",VLOOKUP($B924,'4. CÀI ĐẶT'!$A$2:$H$32,6,FALSE)))</f>
        <v/>
      </c>
      <c r="J924" s="13">
        <f>IF($A924="","",EOMONTH($A924,0))</f>
        <v/>
      </c>
      <c r="K924" s="67">
        <f>IF($B924="",0,IF(LEFT($B924,1)="━",0,$C924*VLOOKUP($B924,'4. CÀI ĐẶT'!$A$2:$H$32,7,FALSE)))</f>
        <v/>
      </c>
    </row>
    <row r="925">
      <c r="A925" s="8" t="n"/>
      <c r="B925" s="9" t="n"/>
      <c r="C925" s="65" t="n"/>
      <c r="D925" s="9" t="n"/>
      <c r="E925" s="66">
        <f>IF($B925="","",IF(LEFT($B925,1)="━","⚠️ Chọn hạng mục cụ thể",$C925*VLOOKUP($B925,'4. CÀI ĐẶT'!$A$2:$H$32,2,FALSE)))</f>
        <v/>
      </c>
      <c r="F925" s="67">
        <f>IF($B925="",0,IF(LEFT($B925,1)="━",0,$C925*VLOOKUP($B925,'4. CÀI ĐẶT'!$A$2:$H$32,3,FALSE)))</f>
        <v/>
      </c>
      <c r="G925" s="67">
        <f>IF($B925="",0,IF(LEFT($B925,1)="━",0,$C925*VLOOKUP($B925,'4. CÀI ĐẶT'!$A$2:$H$32,4,FALSE)))</f>
        <v/>
      </c>
      <c r="H925" s="67">
        <f>IF($B925="",0,IF(LEFT($B925,1)="━",0,$C925*VLOOKUP($B925,'4. CÀI ĐẶT'!$A$2:$H$32,5,FALSE)))</f>
        <v/>
      </c>
      <c r="I925">
        <f>IF($B925="","",IF(LEFT($B925,1)="━","",VLOOKUP($B925,'4. CÀI ĐẶT'!$A$2:$H$32,6,FALSE)))</f>
        <v/>
      </c>
      <c r="J925" s="13">
        <f>IF($A925="","",EOMONTH($A925,0))</f>
        <v/>
      </c>
      <c r="K925" s="67">
        <f>IF($B925="",0,IF(LEFT($B925,1)="━",0,$C925*VLOOKUP($B925,'4. CÀI ĐẶT'!$A$2:$H$32,7,FALSE)))</f>
        <v/>
      </c>
    </row>
    <row r="926">
      <c r="A926" s="8" t="n"/>
      <c r="B926" s="9" t="n"/>
      <c r="C926" s="65" t="n"/>
      <c r="D926" s="9" t="n"/>
      <c r="E926" s="66">
        <f>IF($B926="","",IF(LEFT($B926,1)="━","⚠️ Chọn hạng mục cụ thể",$C926*VLOOKUP($B926,'4. CÀI ĐẶT'!$A$2:$H$32,2,FALSE)))</f>
        <v/>
      </c>
      <c r="F926" s="67">
        <f>IF($B926="",0,IF(LEFT($B926,1)="━",0,$C926*VLOOKUP($B926,'4. CÀI ĐẶT'!$A$2:$H$32,3,FALSE)))</f>
        <v/>
      </c>
      <c r="G926" s="67">
        <f>IF($B926="",0,IF(LEFT($B926,1)="━",0,$C926*VLOOKUP($B926,'4. CÀI ĐẶT'!$A$2:$H$32,4,FALSE)))</f>
        <v/>
      </c>
      <c r="H926" s="67">
        <f>IF($B926="",0,IF(LEFT($B926,1)="━",0,$C926*VLOOKUP($B926,'4. CÀI ĐẶT'!$A$2:$H$32,5,FALSE)))</f>
        <v/>
      </c>
      <c r="I926">
        <f>IF($B926="","",IF(LEFT($B926,1)="━","",VLOOKUP($B926,'4. CÀI ĐẶT'!$A$2:$H$32,6,FALSE)))</f>
        <v/>
      </c>
      <c r="J926" s="13">
        <f>IF($A926="","",EOMONTH($A926,0))</f>
        <v/>
      </c>
      <c r="K926" s="67">
        <f>IF($B926="",0,IF(LEFT($B926,1)="━",0,$C926*VLOOKUP($B926,'4. CÀI ĐẶT'!$A$2:$H$32,7,FALSE)))</f>
        <v/>
      </c>
    </row>
    <row r="927">
      <c r="A927" s="8" t="n"/>
      <c r="B927" s="9" t="n"/>
      <c r="C927" s="65" t="n"/>
      <c r="D927" s="9" t="n"/>
      <c r="E927" s="66">
        <f>IF($B927="","",IF(LEFT($B927,1)="━","⚠️ Chọn hạng mục cụ thể",$C927*VLOOKUP($B927,'4. CÀI ĐẶT'!$A$2:$H$32,2,FALSE)))</f>
        <v/>
      </c>
      <c r="F927" s="67">
        <f>IF($B927="",0,IF(LEFT($B927,1)="━",0,$C927*VLOOKUP($B927,'4. CÀI ĐẶT'!$A$2:$H$32,3,FALSE)))</f>
        <v/>
      </c>
      <c r="G927" s="67">
        <f>IF($B927="",0,IF(LEFT($B927,1)="━",0,$C927*VLOOKUP($B927,'4. CÀI ĐẶT'!$A$2:$H$32,4,FALSE)))</f>
        <v/>
      </c>
      <c r="H927" s="67">
        <f>IF($B927="",0,IF(LEFT($B927,1)="━",0,$C927*VLOOKUP($B927,'4. CÀI ĐẶT'!$A$2:$H$32,5,FALSE)))</f>
        <v/>
      </c>
      <c r="I927">
        <f>IF($B927="","",IF(LEFT($B927,1)="━","",VLOOKUP($B927,'4. CÀI ĐẶT'!$A$2:$H$32,6,FALSE)))</f>
        <v/>
      </c>
      <c r="J927" s="13">
        <f>IF($A927="","",EOMONTH($A927,0))</f>
        <v/>
      </c>
      <c r="K927" s="67">
        <f>IF($B927="",0,IF(LEFT($B927,1)="━",0,$C927*VLOOKUP($B927,'4. CÀI ĐẶT'!$A$2:$H$32,7,FALSE)))</f>
        <v/>
      </c>
    </row>
    <row r="928">
      <c r="A928" s="8" t="n"/>
      <c r="B928" s="9" t="n"/>
      <c r="C928" s="65" t="n"/>
      <c r="D928" s="9" t="n"/>
      <c r="E928" s="66">
        <f>IF($B928="","",IF(LEFT($B928,1)="━","⚠️ Chọn hạng mục cụ thể",$C928*VLOOKUP($B928,'4. CÀI ĐẶT'!$A$2:$H$32,2,FALSE)))</f>
        <v/>
      </c>
      <c r="F928" s="67">
        <f>IF($B928="",0,IF(LEFT($B928,1)="━",0,$C928*VLOOKUP($B928,'4. CÀI ĐẶT'!$A$2:$H$32,3,FALSE)))</f>
        <v/>
      </c>
      <c r="G928" s="67">
        <f>IF($B928="",0,IF(LEFT($B928,1)="━",0,$C928*VLOOKUP($B928,'4. CÀI ĐẶT'!$A$2:$H$32,4,FALSE)))</f>
        <v/>
      </c>
      <c r="H928" s="67">
        <f>IF($B928="",0,IF(LEFT($B928,1)="━",0,$C928*VLOOKUP($B928,'4. CÀI ĐẶT'!$A$2:$H$32,5,FALSE)))</f>
        <v/>
      </c>
      <c r="I928">
        <f>IF($B928="","",IF(LEFT($B928,1)="━","",VLOOKUP($B928,'4. CÀI ĐẶT'!$A$2:$H$32,6,FALSE)))</f>
        <v/>
      </c>
      <c r="J928" s="13">
        <f>IF($A928="","",EOMONTH($A928,0))</f>
        <v/>
      </c>
      <c r="K928" s="67">
        <f>IF($B928="",0,IF(LEFT($B928,1)="━",0,$C928*VLOOKUP($B928,'4. CÀI ĐẶT'!$A$2:$H$32,7,FALSE)))</f>
        <v/>
      </c>
    </row>
    <row r="929">
      <c r="A929" s="8" t="n"/>
      <c r="B929" s="9" t="n"/>
      <c r="C929" s="65" t="n"/>
      <c r="D929" s="9" t="n"/>
      <c r="E929" s="66">
        <f>IF($B929="","",IF(LEFT($B929,1)="━","⚠️ Chọn hạng mục cụ thể",$C929*VLOOKUP($B929,'4. CÀI ĐẶT'!$A$2:$H$32,2,FALSE)))</f>
        <v/>
      </c>
      <c r="F929" s="67">
        <f>IF($B929="",0,IF(LEFT($B929,1)="━",0,$C929*VLOOKUP($B929,'4. CÀI ĐẶT'!$A$2:$H$32,3,FALSE)))</f>
        <v/>
      </c>
      <c r="G929" s="67">
        <f>IF($B929="",0,IF(LEFT($B929,1)="━",0,$C929*VLOOKUP($B929,'4. CÀI ĐẶT'!$A$2:$H$32,4,FALSE)))</f>
        <v/>
      </c>
      <c r="H929" s="67">
        <f>IF($B929="",0,IF(LEFT($B929,1)="━",0,$C929*VLOOKUP($B929,'4. CÀI ĐẶT'!$A$2:$H$32,5,FALSE)))</f>
        <v/>
      </c>
      <c r="I929">
        <f>IF($B929="","",IF(LEFT($B929,1)="━","",VLOOKUP($B929,'4. CÀI ĐẶT'!$A$2:$H$32,6,FALSE)))</f>
        <v/>
      </c>
      <c r="J929" s="13">
        <f>IF($A929="","",EOMONTH($A929,0))</f>
        <v/>
      </c>
      <c r="K929" s="67">
        <f>IF($B929="",0,IF(LEFT($B929,1)="━",0,$C929*VLOOKUP($B929,'4. CÀI ĐẶT'!$A$2:$H$32,7,FALSE)))</f>
        <v/>
      </c>
    </row>
    <row r="930">
      <c r="A930" s="8" t="n"/>
      <c r="B930" s="9" t="n"/>
      <c r="C930" s="65" t="n"/>
      <c r="D930" s="9" t="n"/>
      <c r="E930" s="66">
        <f>IF($B930="","",IF(LEFT($B930,1)="━","⚠️ Chọn hạng mục cụ thể",$C930*VLOOKUP($B930,'4. CÀI ĐẶT'!$A$2:$H$32,2,FALSE)))</f>
        <v/>
      </c>
      <c r="F930" s="67">
        <f>IF($B930="",0,IF(LEFT($B930,1)="━",0,$C930*VLOOKUP($B930,'4. CÀI ĐẶT'!$A$2:$H$32,3,FALSE)))</f>
        <v/>
      </c>
      <c r="G930" s="67">
        <f>IF($B930="",0,IF(LEFT($B930,1)="━",0,$C930*VLOOKUP($B930,'4. CÀI ĐẶT'!$A$2:$H$32,4,FALSE)))</f>
        <v/>
      </c>
      <c r="H930" s="67">
        <f>IF($B930="",0,IF(LEFT($B930,1)="━",0,$C930*VLOOKUP($B930,'4. CÀI ĐẶT'!$A$2:$H$32,5,FALSE)))</f>
        <v/>
      </c>
      <c r="I930">
        <f>IF($B930="","",IF(LEFT($B930,1)="━","",VLOOKUP($B930,'4. CÀI ĐẶT'!$A$2:$H$32,6,FALSE)))</f>
        <v/>
      </c>
      <c r="J930" s="13">
        <f>IF($A930="","",EOMONTH($A930,0))</f>
        <v/>
      </c>
      <c r="K930" s="67">
        <f>IF($B930="",0,IF(LEFT($B930,1)="━",0,$C930*VLOOKUP($B930,'4. CÀI ĐẶT'!$A$2:$H$32,7,FALSE)))</f>
        <v/>
      </c>
    </row>
    <row r="931">
      <c r="A931" s="8" t="n"/>
      <c r="B931" s="9" t="n"/>
      <c r="C931" s="65" t="n"/>
      <c r="D931" s="9" t="n"/>
      <c r="E931" s="66">
        <f>IF($B931="","",IF(LEFT($B931,1)="━","⚠️ Chọn hạng mục cụ thể",$C931*VLOOKUP($B931,'4. CÀI ĐẶT'!$A$2:$H$32,2,FALSE)))</f>
        <v/>
      </c>
      <c r="F931" s="67">
        <f>IF($B931="",0,IF(LEFT($B931,1)="━",0,$C931*VLOOKUP($B931,'4. CÀI ĐẶT'!$A$2:$H$32,3,FALSE)))</f>
        <v/>
      </c>
      <c r="G931" s="67">
        <f>IF($B931="",0,IF(LEFT($B931,1)="━",0,$C931*VLOOKUP($B931,'4. CÀI ĐẶT'!$A$2:$H$32,4,FALSE)))</f>
        <v/>
      </c>
      <c r="H931" s="67">
        <f>IF($B931="",0,IF(LEFT($B931,1)="━",0,$C931*VLOOKUP($B931,'4. CÀI ĐẶT'!$A$2:$H$32,5,FALSE)))</f>
        <v/>
      </c>
      <c r="I931">
        <f>IF($B931="","",IF(LEFT($B931,1)="━","",VLOOKUP($B931,'4. CÀI ĐẶT'!$A$2:$H$32,6,FALSE)))</f>
        <v/>
      </c>
      <c r="J931" s="13">
        <f>IF($A931="","",EOMONTH($A931,0))</f>
        <v/>
      </c>
      <c r="K931" s="67">
        <f>IF($B931="",0,IF(LEFT($B931,1)="━",0,$C931*VLOOKUP($B931,'4. CÀI ĐẶT'!$A$2:$H$32,7,FALSE)))</f>
        <v/>
      </c>
    </row>
    <row r="932">
      <c r="A932" s="8" t="n"/>
      <c r="B932" s="9" t="n"/>
      <c r="C932" s="65" t="n"/>
      <c r="D932" s="9" t="n"/>
      <c r="E932" s="66">
        <f>IF($B932="","",IF(LEFT($B932,1)="━","⚠️ Chọn hạng mục cụ thể",$C932*VLOOKUP($B932,'4. CÀI ĐẶT'!$A$2:$H$32,2,FALSE)))</f>
        <v/>
      </c>
      <c r="F932" s="67">
        <f>IF($B932="",0,IF(LEFT($B932,1)="━",0,$C932*VLOOKUP($B932,'4. CÀI ĐẶT'!$A$2:$H$32,3,FALSE)))</f>
        <v/>
      </c>
      <c r="G932" s="67">
        <f>IF($B932="",0,IF(LEFT($B932,1)="━",0,$C932*VLOOKUP($B932,'4. CÀI ĐẶT'!$A$2:$H$32,4,FALSE)))</f>
        <v/>
      </c>
      <c r="H932" s="67">
        <f>IF($B932="",0,IF(LEFT($B932,1)="━",0,$C932*VLOOKUP($B932,'4. CÀI ĐẶT'!$A$2:$H$32,5,FALSE)))</f>
        <v/>
      </c>
      <c r="I932">
        <f>IF($B932="","",IF(LEFT($B932,1)="━","",VLOOKUP($B932,'4. CÀI ĐẶT'!$A$2:$H$32,6,FALSE)))</f>
        <v/>
      </c>
      <c r="J932" s="13">
        <f>IF($A932="","",EOMONTH($A932,0))</f>
        <v/>
      </c>
      <c r="K932" s="67">
        <f>IF($B932="",0,IF(LEFT($B932,1)="━",0,$C932*VLOOKUP($B932,'4. CÀI ĐẶT'!$A$2:$H$32,7,FALSE)))</f>
        <v/>
      </c>
    </row>
    <row r="933">
      <c r="A933" s="8" t="n"/>
      <c r="B933" s="9" t="n"/>
      <c r="C933" s="65" t="n"/>
      <c r="D933" s="9" t="n"/>
      <c r="E933" s="66">
        <f>IF($B933="","",IF(LEFT($B933,1)="━","⚠️ Chọn hạng mục cụ thể",$C933*VLOOKUP($B933,'4. CÀI ĐẶT'!$A$2:$H$32,2,FALSE)))</f>
        <v/>
      </c>
      <c r="F933" s="67">
        <f>IF($B933="",0,IF(LEFT($B933,1)="━",0,$C933*VLOOKUP($B933,'4. CÀI ĐẶT'!$A$2:$H$32,3,FALSE)))</f>
        <v/>
      </c>
      <c r="G933" s="67">
        <f>IF($B933="",0,IF(LEFT($B933,1)="━",0,$C933*VLOOKUP($B933,'4. CÀI ĐẶT'!$A$2:$H$32,4,FALSE)))</f>
        <v/>
      </c>
      <c r="H933" s="67">
        <f>IF($B933="",0,IF(LEFT($B933,1)="━",0,$C933*VLOOKUP($B933,'4. CÀI ĐẶT'!$A$2:$H$32,5,FALSE)))</f>
        <v/>
      </c>
      <c r="I933">
        <f>IF($B933="","",IF(LEFT($B933,1)="━","",VLOOKUP($B933,'4. CÀI ĐẶT'!$A$2:$H$32,6,FALSE)))</f>
        <v/>
      </c>
      <c r="J933" s="13">
        <f>IF($A933="","",EOMONTH($A933,0))</f>
        <v/>
      </c>
      <c r="K933" s="67">
        <f>IF($B933="",0,IF(LEFT($B933,1)="━",0,$C933*VLOOKUP($B933,'4. CÀI ĐẶT'!$A$2:$H$32,7,FALSE)))</f>
        <v/>
      </c>
    </row>
    <row r="934">
      <c r="A934" s="8" t="n"/>
      <c r="B934" s="9" t="n"/>
      <c r="C934" s="65" t="n"/>
      <c r="D934" s="9" t="n"/>
      <c r="E934" s="66">
        <f>IF($B934="","",IF(LEFT($B934,1)="━","⚠️ Chọn hạng mục cụ thể",$C934*VLOOKUP($B934,'4. CÀI ĐẶT'!$A$2:$H$32,2,FALSE)))</f>
        <v/>
      </c>
      <c r="F934" s="67">
        <f>IF($B934="",0,IF(LEFT($B934,1)="━",0,$C934*VLOOKUP($B934,'4. CÀI ĐẶT'!$A$2:$H$32,3,FALSE)))</f>
        <v/>
      </c>
      <c r="G934" s="67">
        <f>IF($B934="",0,IF(LEFT($B934,1)="━",0,$C934*VLOOKUP($B934,'4. CÀI ĐẶT'!$A$2:$H$32,4,FALSE)))</f>
        <v/>
      </c>
      <c r="H934" s="67">
        <f>IF($B934="",0,IF(LEFT($B934,1)="━",0,$C934*VLOOKUP($B934,'4. CÀI ĐẶT'!$A$2:$H$32,5,FALSE)))</f>
        <v/>
      </c>
      <c r="I934">
        <f>IF($B934="","",IF(LEFT($B934,1)="━","",VLOOKUP($B934,'4. CÀI ĐẶT'!$A$2:$H$32,6,FALSE)))</f>
        <v/>
      </c>
      <c r="J934" s="13">
        <f>IF($A934="","",EOMONTH($A934,0))</f>
        <v/>
      </c>
      <c r="K934" s="67">
        <f>IF($B934="",0,IF(LEFT($B934,1)="━",0,$C934*VLOOKUP($B934,'4. CÀI ĐẶT'!$A$2:$H$32,7,FALSE)))</f>
        <v/>
      </c>
    </row>
    <row r="935">
      <c r="A935" s="8" t="n"/>
      <c r="B935" s="9" t="n"/>
      <c r="C935" s="65" t="n"/>
      <c r="D935" s="9" t="n"/>
      <c r="E935" s="66">
        <f>IF($B935="","",IF(LEFT($B935,1)="━","⚠️ Chọn hạng mục cụ thể",$C935*VLOOKUP($B935,'4. CÀI ĐẶT'!$A$2:$H$32,2,FALSE)))</f>
        <v/>
      </c>
      <c r="F935" s="67">
        <f>IF($B935="",0,IF(LEFT($B935,1)="━",0,$C935*VLOOKUP($B935,'4. CÀI ĐẶT'!$A$2:$H$32,3,FALSE)))</f>
        <v/>
      </c>
      <c r="G935" s="67">
        <f>IF($B935="",0,IF(LEFT($B935,1)="━",0,$C935*VLOOKUP($B935,'4. CÀI ĐẶT'!$A$2:$H$32,4,FALSE)))</f>
        <v/>
      </c>
      <c r="H935" s="67">
        <f>IF($B935="",0,IF(LEFT($B935,1)="━",0,$C935*VLOOKUP($B935,'4. CÀI ĐẶT'!$A$2:$H$32,5,FALSE)))</f>
        <v/>
      </c>
      <c r="I935">
        <f>IF($B935="","",IF(LEFT($B935,1)="━","",VLOOKUP($B935,'4. CÀI ĐẶT'!$A$2:$H$32,6,FALSE)))</f>
        <v/>
      </c>
      <c r="J935" s="13">
        <f>IF($A935="","",EOMONTH($A935,0))</f>
        <v/>
      </c>
      <c r="K935" s="67">
        <f>IF($B935="",0,IF(LEFT($B935,1)="━",0,$C935*VLOOKUP($B935,'4. CÀI ĐẶT'!$A$2:$H$32,7,FALSE)))</f>
        <v/>
      </c>
    </row>
    <row r="936">
      <c r="A936" s="8" t="n"/>
      <c r="B936" s="9" t="n"/>
      <c r="C936" s="65" t="n"/>
      <c r="D936" s="9" t="n"/>
      <c r="E936" s="66">
        <f>IF($B936="","",IF(LEFT($B936,1)="━","⚠️ Chọn hạng mục cụ thể",$C936*VLOOKUP($B936,'4. CÀI ĐẶT'!$A$2:$H$32,2,FALSE)))</f>
        <v/>
      </c>
      <c r="F936" s="67">
        <f>IF($B936="",0,IF(LEFT($B936,1)="━",0,$C936*VLOOKUP($B936,'4. CÀI ĐẶT'!$A$2:$H$32,3,FALSE)))</f>
        <v/>
      </c>
      <c r="G936" s="67">
        <f>IF($B936="",0,IF(LEFT($B936,1)="━",0,$C936*VLOOKUP($B936,'4. CÀI ĐẶT'!$A$2:$H$32,4,FALSE)))</f>
        <v/>
      </c>
      <c r="H936" s="67">
        <f>IF($B936="",0,IF(LEFT($B936,1)="━",0,$C936*VLOOKUP($B936,'4. CÀI ĐẶT'!$A$2:$H$32,5,FALSE)))</f>
        <v/>
      </c>
      <c r="I936">
        <f>IF($B936="","",IF(LEFT($B936,1)="━","",VLOOKUP($B936,'4. CÀI ĐẶT'!$A$2:$H$32,6,FALSE)))</f>
        <v/>
      </c>
      <c r="J936" s="13">
        <f>IF($A936="","",EOMONTH($A936,0))</f>
        <v/>
      </c>
      <c r="K936" s="67">
        <f>IF($B936="",0,IF(LEFT($B936,1)="━",0,$C936*VLOOKUP($B936,'4. CÀI ĐẶT'!$A$2:$H$32,7,FALSE)))</f>
        <v/>
      </c>
    </row>
    <row r="937">
      <c r="A937" s="8" t="n"/>
      <c r="B937" s="9" t="n"/>
      <c r="C937" s="65" t="n"/>
      <c r="D937" s="9" t="n"/>
      <c r="E937" s="66">
        <f>IF($B937="","",IF(LEFT($B937,1)="━","⚠️ Chọn hạng mục cụ thể",$C937*VLOOKUP($B937,'4. CÀI ĐẶT'!$A$2:$H$32,2,FALSE)))</f>
        <v/>
      </c>
      <c r="F937" s="67">
        <f>IF($B937="",0,IF(LEFT($B937,1)="━",0,$C937*VLOOKUP($B937,'4. CÀI ĐẶT'!$A$2:$H$32,3,FALSE)))</f>
        <v/>
      </c>
      <c r="G937" s="67">
        <f>IF($B937="",0,IF(LEFT($B937,1)="━",0,$C937*VLOOKUP($B937,'4. CÀI ĐẶT'!$A$2:$H$32,4,FALSE)))</f>
        <v/>
      </c>
      <c r="H937" s="67">
        <f>IF($B937="",0,IF(LEFT($B937,1)="━",0,$C937*VLOOKUP($B937,'4. CÀI ĐẶT'!$A$2:$H$32,5,FALSE)))</f>
        <v/>
      </c>
      <c r="I937">
        <f>IF($B937="","",IF(LEFT($B937,1)="━","",VLOOKUP($B937,'4. CÀI ĐẶT'!$A$2:$H$32,6,FALSE)))</f>
        <v/>
      </c>
      <c r="J937" s="13">
        <f>IF($A937="","",EOMONTH($A937,0))</f>
        <v/>
      </c>
      <c r="K937" s="67">
        <f>IF($B937="",0,IF(LEFT($B937,1)="━",0,$C937*VLOOKUP($B937,'4. CÀI ĐẶT'!$A$2:$H$32,7,FALSE)))</f>
        <v/>
      </c>
    </row>
    <row r="938">
      <c r="A938" s="8" t="n"/>
      <c r="B938" s="9" t="n"/>
      <c r="C938" s="65" t="n"/>
      <c r="D938" s="9" t="n"/>
      <c r="E938" s="66">
        <f>IF($B938="","",IF(LEFT($B938,1)="━","⚠️ Chọn hạng mục cụ thể",$C938*VLOOKUP($B938,'4. CÀI ĐẶT'!$A$2:$H$32,2,FALSE)))</f>
        <v/>
      </c>
      <c r="F938" s="67">
        <f>IF($B938="",0,IF(LEFT($B938,1)="━",0,$C938*VLOOKUP($B938,'4. CÀI ĐẶT'!$A$2:$H$32,3,FALSE)))</f>
        <v/>
      </c>
      <c r="G938" s="67">
        <f>IF($B938="",0,IF(LEFT($B938,1)="━",0,$C938*VLOOKUP($B938,'4. CÀI ĐẶT'!$A$2:$H$32,4,FALSE)))</f>
        <v/>
      </c>
      <c r="H938" s="67">
        <f>IF($B938="",0,IF(LEFT($B938,1)="━",0,$C938*VLOOKUP($B938,'4. CÀI ĐẶT'!$A$2:$H$32,5,FALSE)))</f>
        <v/>
      </c>
      <c r="I938">
        <f>IF($B938="","",IF(LEFT($B938,1)="━","",VLOOKUP($B938,'4. CÀI ĐẶT'!$A$2:$H$32,6,FALSE)))</f>
        <v/>
      </c>
      <c r="J938" s="13">
        <f>IF($A938="","",EOMONTH($A938,0))</f>
        <v/>
      </c>
      <c r="K938" s="67">
        <f>IF($B938="",0,IF(LEFT($B938,1)="━",0,$C938*VLOOKUP($B938,'4. CÀI ĐẶT'!$A$2:$H$32,7,FALSE)))</f>
        <v/>
      </c>
    </row>
    <row r="939">
      <c r="A939" s="8" t="n"/>
      <c r="B939" s="9" t="n"/>
      <c r="C939" s="65" t="n"/>
      <c r="D939" s="9" t="n"/>
      <c r="E939" s="66">
        <f>IF($B939="","",IF(LEFT($B939,1)="━","⚠️ Chọn hạng mục cụ thể",$C939*VLOOKUP($B939,'4. CÀI ĐẶT'!$A$2:$H$32,2,FALSE)))</f>
        <v/>
      </c>
      <c r="F939" s="67">
        <f>IF($B939="",0,IF(LEFT($B939,1)="━",0,$C939*VLOOKUP($B939,'4. CÀI ĐẶT'!$A$2:$H$32,3,FALSE)))</f>
        <v/>
      </c>
      <c r="G939" s="67">
        <f>IF($B939="",0,IF(LEFT($B939,1)="━",0,$C939*VLOOKUP($B939,'4. CÀI ĐẶT'!$A$2:$H$32,4,FALSE)))</f>
        <v/>
      </c>
      <c r="H939" s="67">
        <f>IF($B939="",0,IF(LEFT($B939,1)="━",0,$C939*VLOOKUP($B939,'4. CÀI ĐẶT'!$A$2:$H$32,5,FALSE)))</f>
        <v/>
      </c>
      <c r="I939">
        <f>IF($B939="","",IF(LEFT($B939,1)="━","",VLOOKUP($B939,'4. CÀI ĐẶT'!$A$2:$H$32,6,FALSE)))</f>
        <v/>
      </c>
      <c r="J939" s="13">
        <f>IF($A939="","",EOMONTH($A939,0))</f>
        <v/>
      </c>
      <c r="K939" s="67">
        <f>IF($B939="",0,IF(LEFT($B939,1)="━",0,$C939*VLOOKUP($B939,'4. CÀI ĐẶT'!$A$2:$H$32,7,FALSE)))</f>
        <v/>
      </c>
    </row>
    <row r="940">
      <c r="A940" s="8" t="n"/>
      <c r="B940" s="9" t="n"/>
      <c r="C940" s="65" t="n"/>
      <c r="D940" s="9" t="n"/>
      <c r="E940" s="66">
        <f>IF($B940="","",IF(LEFT($B940,1)="━","⚠️ Chọn hạng mục cụ thể",$C940*VLOOKUP($B940,'4. CÀI ĐẶT'!$A$2:$H$32,2,FALSE)))</f>
        <v/>
      </c>
      <c r="F940" s="67">
        <f>IF($B940="",0,IF(LEFT($B940,1)="━",0,$C940*VLOOKUP($B940,'4. CÀI ĐẶT'!$A$2:$H$32,3,FALSE)))</f>
        <v/>
      </c>
      <c r="G940" s="67">
        <f>IF($B940="",0,IF(LEFT($B940,1)="━",0,$C940*VLOOKUP($B940,'4. CÀI ĐẶT'!$A$2:$H$32,4,FALSE)))</f>
        <v/>
      </c>
      <c r="H940" s="67">
        <f>IF($B940="",0,IF(LEFT($B940,1)="━",0,$C940*VLOOKUP($B940,'4. CÀI ĐẶT'!$A$2:$H$32,5,FALSE)))</f>
        <v/>
      </c>
      <c r="I940">
        <f>IF($B940="","",IF(LEFT($B940,1)="━","",VLOOKUP($B940,'4. CÀI ĐẶT'!$A$2:$H$32,6,FALSE)))</f>
        <v/>
      </c>
      <c r="J940" s="13">
        <f>IF($A940="","",EOMONTH($A940,0))</f>
        <v/>
      </c>
      <c r="K940" s="67">
        <f>IF($B940="",0,IF(LEFT($B940,1)="━",0,$C940*VLOOKUP($B940,'4. CÀI ĐẶT'!$A$2:$H$32,7,FALSE)))</f>
        <v/>
      </c>
    </row>
    <row r="941">
      <c r="A941" s="8" t="n"/>
      <c r="B941" s="9" t="n"/>
      <c r="C941" s="65" t="n"/>
      <c r="D941" s="9" t="n"/>
      <c r="E941" s="66">
        <f>IF($B941="","",IF(LEFT($B941,1)="━","⚠️ Chọn hạng mục cụ thể",$C941*VLOOKUP($B941,'4. CÀI ĐẶT'!$A$2:$H$32,2,FALSE)))</f>
        <v/>
      </c>
      <c r="F941" s="67">
        <f>IF($B941="",0,IF(LEFT($B941,1)="━",0,$C941*VLOOKUP($B941,'4. CÀI ĐẶT'!$A$2:$H$32,3,FALSE)))</f>
        <v/>
      </c>
      <c r="G941" s="67">
        <f>IF($B941="",0,IF(LEFT($B941,1)="━",0,$C941*VLOOKUP($B941,'4. CÀI ĐẶT'!$A$2:$H$32,4,FALSE)))</f>
        <v/>
      </c>
      <c r="H941" s="67">
        <f>IF($B941="",0,IF(LEFT($B941,1)="━",0,$C941*VLOOKUP($B941,'4. CÀI ĐẶT'!$A$2:$H$32,5,FALSE)))</f>
        <v/>
      </c>
      <c r="I941">
        <f>IF($B941="","",IF(LEFT($B941,1)="━","",VLOOKUP($B941,'4. CÀI ĐẶT'!$A$2:$H$32,6,FALSE)))</f>
        <v/>
      </c>
      <c r="J941" s="13">
        <f>IF($A941="","",EOMONTH($A941,0))</f>
        <v/>
      </c>
      <c r="K941" s="67">
        <f>IF($B941="",0,IF(LEFT($B941,1)="━",0,$C941*VLOOKUP($B941,'4. CÀI ĐẶT'!$A$2:$H$32,7,FALSE)))</f>
        <v/>
      </c>
    </row>
    <row r="942">
      <c r="A942" s="8" t="n"/>
      <c r="B942" s="9" t="n"/>
      <c r="C942" s="65" t="n"/>
      <c r="D942" s="9" t="n"/>
      <c r="E942" s="66">
        <f>IF($B942="","",IF(LEFT($B942,1)="━","⚠️ Chọn hạng mục cụ thể",$C942*VLOOKUP($B942,'4. CÀI ĐẶT'!$A$2:$H$32,2,FALSE)))</f>
        <v/>
      </c>
      <c r="F942" s="67">
        <f>IF($B942="",0,IF(LEFT($B942,1)="━",0,$C942*VLOOKUP($B942,'4. CÀI ĐẶT'!$A$2:$H$32,3,FALSE)))</f>
        <v/>
      </c>
      <c r="G942" s="67">
        <f>IF($B942="",0,IF(LEFT($B942,1)="━",0,$C942*VLOOKUP($B942,'4. CÀI ĐẶT'!$A$2:$H$32,4,FALSE)))</f>
        <v/>
      </c>
      <c r="H942" s="67">
        <f>IF($B942="",0,IF(LEFT($B942,1)="━",0,$C942*VLOOKUP($B942,'4. CÀI ĐẶT'!$A$2:$H$32,5,FALSE)))</f>
        <v/>
      </c>
      <c r="I942">
        <f>IF($B942="","",IF(LEFT($B942,1)="━","",VLOOKUP($B942,'4. CÀI ĐẶT'!$A$2:$H$32,6,FALSE)))</f>
        <v/>
      </c>
      <c r="J942" s="13">
        <f>IF($A942="","",EOMONTH($A942,0))</f>
        <v/>
      </c>
      <c r="K942" s="67">
        <f>IF($B942="",0,IF(LEFT($B942,1)="━",0,$C942*VLOOKUP($B942,'4. CÀI ĐẶT'!$A$2:$H$32,7,FALSE)))</f>
        <v/>
      </c>
    </row>
    <row r="943">
      <c r="A943" s="8" t="n"/>
      <c r="B943" s="9" t="n"/>
      <c r="C943" s="65" t="n"/>
      <c r="D943" s="9" t="n"/>
      <c r="E943" s="66">
        <f>IF($B943="","",IF(LEFT($B943,1)="━","⚠️ Chọn hạng mục cụ thể",$C943*VLOOKUP($B943,'4. CÀI ĐẶT'!$A$2:$H$32,2,FALSE)))</f>
        <v/>
      </c>
      <c r="F943" s="67">
        <f>IF($B943="",0,IF(LEFT($B943,1)="━",0,$C943*VLOOKUP($B943,'4. CÀI ĐẶT'!$A$2:$H$32,3,FALSE)))</f>
        <v/>
      </c>
      <c r="G943" s="67">
        <f>IF($B943="",0,IF(LEFT($B943,1)="━",0,$C943*VLOOKUP($B943,'4. CÀI ĐẶT'!$A$2:$H$32,4,FALSE)))</f>
        <v/>
      </c>
      <c r="H943" s="67">
        <f>IF($B943="",0,IF(LEFT($B943,1)="━",0,$C943*VLOOKUP($B943,'4. CÀI ĐẶT'!$A$2:$H$32,5,FALSE)))</f>
        <v/>
      </c>
      <c r="I943">
        <f>IF($B943="","",IF(LEFT($B943,1)="━","",VLOOKUP($B943,'4. CÀI ĐẶT'!$A$2:$H$32,6,FALSE)))</f>
        <v/>
      </c>
      <c r="J943" s="13">
        <f>IF($A943="","",EOMONTH($A943,0))</f>
        <v/>
      </c>
      <c r="K943" s="67">
        <f>IF($B943="",0,IF(LEFT($B943,1)="━",0,$C943*VLOOKUP($B943,'4. CÀI ĐẶT'!$A$2:$H$32,7,FALSE)))</f>
        <v/>
      </c>
    </row>
    <row r="944">
      <c r="A944" s="8" t="n"/>
      <c r="B944" s="9" t="n"/>
      <c r="C944" s="65" t="n"/>
      <c r="D944" s="9" t="n"/>
      <c r="E944" s="66">
        <f>IF($B944="","",IF(LEFT($B944,1)="━","⚠️ Chọn hạng mục cụ thể",$C944*VLOOKUP($B944,'4. CÀI ĐẶT'!$A$2:$H$32,2,FALSE)))</f>
        <v/>
      </c>
      <c r="F944" s="67">
        <f>IF($B944="",0,IF(LEFT($B944,1)="━",0,$C944*VLOOKUP($B944,'4. CÀI ĐẶT'!$A$2:$H$32,3,FALSE)))</f>
        <v/>
      </c>
      <c r="G944" s="67">
        <f>IF($B944="",0,IF(LEFT($B944,1)="━",0,$C944*VLOOKUP($B944,'4. CÀI ĐẶT'!$A$2:$H$32,4,FALSE)))</f>
        <v/>
      </c>
      <c r="H944" s="67">
        <f>IF($B944="",0,IF(LEFT($B944,1)="━",0,$C944*VLOOKUP($B944,'4. CÀI ĐẶT'!$A$2:$H$32,5,FALSE)))</f>
        <v/>
      </c>
      <c r="I944">
        <f>IF($B944="","",IF(LEFT($B944,1)="━","",VLOOKUP($B944,'4. CÀI ĐẶT'!$A$2:$H$32,6,FALSE)))</f>
        <v/>
      </c>
      <c r="J944" s="13">
        <f>IF($A944="","",EOMONTH($A944,0))</f>
        <v/>
      </c>
      <c r="K944" s="67">
        <f>IF($B944="",0,IF(LEFT($B944,1)="━",0,$C944*VLOOKUP($B944,'4. CÀI ĐẶT'!$A$2:$H$32,7,FALSE)))</f>
        <v/>
      </c>
    </row>
    <row r="945">
      <c r="A945" s="8" t="n"/>
      <c r="B945" s="9" t="n"/>
      <c r="C945" s="65" t="n"/>
      <c r="D945" s="9" t="n"/>
      <c r="E945" s="66">
        <f>IF($B945="","",IF(LEFT($B945,1)="━","⚠️ Chọn hạng mục cụ thể",$C945*VLOOKUP($B945,'4. CÀI ĐẶT'!$A$2:$H$32,2,FALSE)))</f>
        <v/>
      </c>
      <c r="F945" s="67">
        <f>IF($B945="",0,IF(LEFT($B945,1)="━",0,$C945*VLOOKUP($B945,'4. CÀI ĐẶT'!$A$2:$H$32,3,FALSE)))</f>
        <v/>
      </c>
      <c r="G945" s="67">
        <f>IF($B945="",0,IF(LEFT($B945,1)="━",0,$C945*VLOOKUP($B945,'4. CÀI ĐẶT'!$A$2:$H$32,4,FALSE)))</f>
        <v/>
      </c>
      <c r="H945" s="67">
        <f>IF($B945="",0,IF(LEFT($B945,1)="━",0,$C945*VLOOKUP($B945,'4. CÀI ĐẶT'!$A$2:$H$32,5,FALSE)))</f>
        <v/>
      </c>
      <c r="I945">
        <f>IF($B945="","",IF(LEFT($B945,1)="━","",VLOOKUP($B945,'4. CÀI ĐẶT'!$A$2:$H$32,6,FALSE)))</f>
        <v/>
      </c>
      <c r="J945" s="13">
        <f>IF($A945="","",EOMONTH($A945,0))</f>
        <v/>
      </c>
      <c r="K945" s="67">
        <f>IF($B945="",0,IF(LEFT($B945,1)="━",0,$C945*VLOOKUP($B945,'4. CÀI ĐẶT'!$A$2:$H$32,7,FALSE)))</f>
        <v/>
      </c>
    </row>
    <row r="946">
      <c r="A946" s="8" t="n"/>
      <c r="B946" s="9" t="n"/>
      <c r="C946" s="65" t="n"/>
      <c r="D946" s="9" t="n"/>
      <c r="E946" s="66">
        <f>IF($B946="","",IF(LEFT($B946,1)="━","⚠️ Chọn hạng mục cụ thể",$C946*VLOOKUP($B946,'4. CÀI ĐẶT'!$A$2:$H$32,2,FALSE)))</f>
        <v/>
      </c>
      <c r="F946" s="67">
        <f>IF($B946="",0,IF(LEFT($B946,1)="━",0,$C946*VLOOKUP($B946,'4. CÀI ĐẶT'!$A$2:$H$32,3,FALSE)))</f>
        <v/>
      </c>
      <c r="G946" s="67">
        <f>IF($B946="",0,IF(LEFT($B946,1)="━",0,$C946*VLOOKUP($B946,'4. CÀI ĐẶT'!$A$2:$H$32,4,FALSE)))</f>
        <v/>
      </c>
      <c r="H946" s="67">
        <f>IF($B946="",0,IF(LEFT($B946,1)="━",0,$C946*VLOOKUP($B946,'4. CÀI ĐẶT'!$A$2:$H$32,5,FALSE)))</f>
        <v/>
      </c>
      <c r="I946">
        <f>IF($B946="","",IF(LEFT($B946,1)="━","",VLOOKUP($B946,'4. CÀI ĐẶT'!$A$2:$H$32,6,FALSE)))</f>
        <v/>
      </c>
      <c r="J946" s="13">
        <f>IF($A946="","",EOMONTH($A946,0))</f>
        <v/>
      </c>
      <c r="K946" s="67">
        <f>IF($B946="",0,IF(LEFT($B946,1)="━",0,$C946*VLOOKUP($B946,'4. CÀI ĐẶT'!$A$2:$H$32,7,FALSE)))</f>
        <v/>
      </c>
    </row>
    <row r="947">
      <c r="A947" s="8" t="n"/>
      <c r="B947" s="9" t="n"/>
      <c r="C947" s="65" t="n"/>
      <c r="D947" s="9" t="n"/>
      <c r="E947" s="66">
        <f>IF($B947="","",IF(LEFT($B947,1)="━","⚠️ Chọn hạng mục cụ thể",$C947*VLOOKUP($B947,'4. CÀI ĐẶT'!$A$2:$H$32,2,FALSE)))</f>
        <v/>
      </c>
      <c r="F947" s="67">
        <f>IF($B947="",0,IF(LEFT($B947,1)="━",0,$C947*VLOOKUP($B947,'4. CÀI ĐẶT'!$A$2:$H$32,3,FALSE)))</f>
        <v/>
      </c>
      <c r="G947" s="67">
        <f>IF($B947="",0,IF(LEFT($B947,1)="━",0,$C947*VLOOKUP($B947,'4. CÀI ĐẶT'!$A$2:$H$32,4,FALSE)))</f>
        <v/>
      </c>
      <c r="H947" s="67">
        <f>IF($B947="",0,IF(LEFT($B947,1)="━",0,$C947*VLOOKUP($B947,'4. CÀI ĐẶT'!$A$2:$H$32,5,FALSE)))</f>
        <v/>
      </c>
      <c r="I947">
        <f>IF($B947="","",IF(LEFT($B947,1)="━","",VLOOKUP($B947,'4. CÀI ĐẶT'!$A$2:$H$32,6,FALSE)))</f>
        <v/>
      </c>
      <c r="J947" s="13">
        <f>IF($A947="","",EOMONTH($A947,0))</f>
        <v/>
      </c>
      <c r="K947" s="67">
        <f>IF($B947="",0,IF(LEFT($B947,1)="━",0,$C947*VLOOKUP($B947,'4. CÀI ĐẶT'!$A$2:$H$32,7,FALSE)))</f>
        <v/>
      </c>
    </row>
    <row r="948">
      <c r="A948" s="8" t="n"/>
      <c r="B948" s="9" t="n"/>
      <c r="C948" s="65" t="n"/>
      <c r="D948" s="9" t="n"/>
      <c r="E948" s="66">
        <f>IF($B948="","",IF(LEFT($B948,1)="━","⚠️ Chọn hạng mục cụ thể",$C948*VLOOKUP($B948,'4. CÀI ĐẶT'!$A$2:$H$32,2,FALSE)))</f>
        <v/>
      </c>
      <c r="F948" s="67">
        <f>IF($B948="",0,IF(LEFT($B948,1)="━",0,$C948*VLOOKUP($B948,'4. CÀI ĐẶT'!$A$2:$H$32,3,FALSE)))</f>
        <v/>
      </c>
      <c r="G948" s="67">
        <f>IF($B948="",0,IF(LEFT($B948,1)="━",0,$C948*VLOOKUP($B948,'4. CÀI ĐẶT'!$A$2:$H$32,4,FALSE)))</f>
        <v/>
      </c>
      <c r="H948" s="67">
        <f>IF($B948="",0,IF(LEFT($B948,1)="━",0,$C948*VLOOKUP($B948,'4. CÀI ĐẶT'!$A$2:$H$32,5,FALSE)))</f>
        <v/>
      </c>
      <c r="I948">
        <f>IF($B948="","",IF(LEFT($B948,1)="━","",VLOOKUP($B948,'4. CÀI ĐẶT'!$A$2:$H$32,6,FALSE)))</f>
        <v/>
      </c>
      <c r="J948" s="13">
        <f>IF($A948="","",EOMONTH($A948,0))</f>
        <v/>
      </c>
      <c r="K948" s="67">
        <f>IF($B948="",0,IF(LEFT($B948,1)="━",0,$C948*VLOOKUP($B948,'4. CÀI ĐẶT'!$A$2:$H$32,7,FALSE)))</f>
        <v/>
      </c>
    </row>
    <row r="949">
      <c r="A949" s="8" t="n"/>
      <c r="B949" s="9" t="n"/>
      <c r="C949" s="65" t="n"/>
      <c r="D949" s="9" t="n"/>
      <c r="E949" s="66">
        <f>IF($B949="","",IF(LEFT($B949,1)="━","⚠️ Chọn hạng mục cụ thể",$C949*VLOOKUP($B949,'4. CÀI ĐẶT'!$A$2:$H$32,2,FALSE)))</f>
        <v/>
      </c>
      <c r="F949" s="67">
        <f>IF($B949="",0,IF(LEFT($B949,1)="━",0,$C949*VLOOKUP($B949,'4. CÀI ĐẶT'!$A$2:$H$32,3,FALSE)))</f>
        <v/>
      </c>
      <c r="G949" s="67">
        <f>IF($B949="",0,IF(LEFT($B949,1)="━",0,$C949*VLOOKUP($B949,'4. CÀI ĐẶT'!$A$2:$H$32,4,FALSE)))</f>
        <v/>
      </c>
      <c r="H949" s="67">
        <f>IF($B949="",0,IF(LEFT($B949,1)="━",0,$C949*VLOOKUP($B949,'4. CÀI ĐẶT'!$A$2:$H$32,5,FALSE)))</f>
        <v/>
      </c>
      <c r="I949">
        <f>IF($B949="","",IF(LEFT($B949,1)="━","",VLOOKUP($B949,'4. CÀI ĐẶT'!$A$2:$H$32,6,FALSE)))</f>
        <v/>
      </c>
      <c r="J949" s="13">
        <f>IF($A949="","",EOMONTH($A949,0))</f>
        <v/>
      </c>
      <c r="K949" s="67">
        <f>IF($B949="",0,IF(LEFT($B949,1)="━",0,$C949*VLOOKUP($B949,'4. CÀI ĐẶT'!$A$2:$H$32,7,FALSE)))</f>
        <v/>
      </c>
    </row>
    <row r="950">
      <c r="A950" s="8" t="n"/>
      <c r="B950" s="9" t="n"/>
      <c r="C950" s="65" t="n"/>
      <c r="D950" s="9" t="n"/>
      <c r="E950" s="66">
        <f>IF($B950="","",IF(LEFT($B950,1)="━","⚠️ Chọn hạng mục cụ thể",$C950*VLOOKUP($B950,'4. CÀI ĐẶT'!$A$2:$H$32,2,FALSE)))</f>
        <v/>
      </c>
      <c r="F950" s="67">
        <f>IF($B950="",0,IF(LEFT($B950,1)="━",0,$C950*VLOOKUP($B950,'4. CÀI ĐẶT'!$A$2:$H$32,3,FALSE)))</f>
        <v/>
      </c>
      <c r="G950" s="67">
        <f>IF($B950="",0,IF(LEFT($B950,1)="━",0,$C950*VLOOKUP($B950,'4. CÀI ĐẶT'!$A$2:$H$32,4,FALSE)))</f>
        <v/>
      </c>
      <c r="H950" s="67">
        <f>IF($B950="",0,IF(LEFT($B950,1)="━",0,$C950*VLOOKUP($B950,'4. CÀI ĐẶT'!$A$2:$H$32,5,FALSE)))</f>
        <v/>
      </c>
      <c r="I950">
        <f>IF($B950="","",IF(LEFT($B950,1)="━","",VLOOKUP($B950,'4. CÀI ĐẶT'!$A$2:$H$32,6,FALSE)))</f>
        <v/>
      </c>
      <c r="J950" s="13">
        <f>IF($A950="","",EOMONTH($A950,0))</f>
        <v/>
      </c>
      <c r="K950" s="67">
        <f>IF($B950="",0,IF(LEFT($B950,1)="━",0,$C950*VLOOKUP($B950,'4. CÀI ĐẶT'!$A$2:$H$32,7,FALSE)))</f>
        <v/>
      </c>
    </row>
    <row r="951">
      <c r="A951" s="8" t="n"/>
      <c r="B951" s="9" t="n"/>
      <c r="C951" s="65" t="n"/>
      <c r="D951" s="9" t="n"/>
      <c r="E951" s="66">
        <f>IF($B951="","",IF(LEFT($B951,1)="━","⚠️ Chọn hạng mục cụ thể",$C951*VLOOKUP($B951,'4. CÀI ĐẶT'!$A$2:$H$32,2,FALSE)))</f>
        <v/>
      </c>
      <c r="F951" s="67">
        <f>IF($B951="",0,IF(LEFT($B951,1)="━",0,$C951*VLOOKUP($B951,'4. CÀI ĐẶT'!$A$2:$H$32,3,FALSE)))</f>
        <v/>
      </c>
      <c r="G951" s="67">
        <f>IF($B951="",0,IF(LEFT($B951,1)="━",0,$C951*VLOOKUP($B951,'4. CÀI ĐẶT'!$A$2:$H$32,4,FALSE)))</f>
        <v/>
      </c>
      <c r="H951" s="67">
        <f>IF($B951="",0,IF(LEFT($B951,1)="━",0,$C951*VLOOKUP($B951,'4. CÀI ĐẶT'!$A$2:$H$32,5,FALSE)))</f>
        <v/>
      </c>
      <c r="I951">
        <f>IF($B951="","",IF(LEFT($B951,1)="━","",VLOOKUP($B951,'4. CÀI ĐẶT'!$A$2:$H$32,6,FALSE)))</f>
        <v/>
      </c>
      <c r="J951" s="13">
        <f>IF($A951="","",EOMONTH($A951,0))</f>
        <v/>
      </c>
      <c r="K951" s="67">
        <f>IF($B951="",0,IF(LEFT($B951,1)="━",0,$C951*VLOOKUP($B951,'4. CÀI ĐẶT'!$A$2:$H$32,7,FALSE)))</f>
        <v/>
      </c>
    </row>
    <row r="952">
      <c r="A952" s="8" t="n"/>
      <c r="B952" s="9" t="n"/>
      <c r="C952" s="65" t="n"/>
      <c r="D952" s="9" t="n"/>
      <c r="E952" s="66">
        <f>IF($B952="","",IF(LEFT($B952,1)="━","⚠️ Chọn hạng mục cụ thể",$C952*VLOOKUP($B952,'4. CÀI ĐẶT'!$A$2:$H$32,2,FALSE)))</f>
        <v/>
      </c>
      <c r="F952" s="67">
        <f>IF($B952="",0,IF(LEFT($B952,1)="━",0,$C952*VLOOKUP($B952,'4. CÀI ĐẶT'!$A$2:$H$32,3,FALSE)))</f>
        <v/>
      </c>
      <c r="G952" s="67">
        <f>IF($B952="",0,IF(LEFT($B952,1)="━",0,$C952*VLOOKUP($B952,'4. CÀI ĐẶT'!$A$2:$H$32,4,FALSE)))</f>
        <v/>
      </c>
      <c r="H952" s="67">
        <f>IF($B952="",0,IF(LEFT($B952,1)="━",0,$C952*VLOOKUP($B952,'4. CÀI ĐẶT'!$A$2:$H$32,5,FALSE)))</f>
        <v/>
      </c>
      <c r="I952">
        <f>IF($B952="","",IF(LEFT($B952,1)="━","",VLOOKUP($B952,'4. CÀI ĐẶT'!$A$2:$H$32,6,FALSE)))</f>
        <v/>
      </c>
      <c r="J952" s="13">
        <f>IF($A952="","",EOMONTH($A952,0))</f>
        <v/>
      </c>
      <c r="K952" s="67">
        <f>IF($B952="",0,IF(LEFT($B952,1)="━",0,$C952*VLOOKUP($B952,'4. CÀI ĐẶT'!$A$2:$H$32,7,FALSE)))</f>
        <v/>
      </c>
    </row>
    <row r="953">
      <c r="A953" s="8" t="n"/>
      <c r="B953" s="9" t="n"/>
      <c r="C953" s="65" t="n"/>
      <c r="D953" s="9" t="n"/>
      <c r="E953" s="66">
        <f>IF($B953="","",IF(LEFT($B953,1)="━","⚠️ Chọn hạng mục cụ thể",$C953*VLOOKUP($B953,'4. CÀI ĐẶT'!$A$2:$H$32,2,FALSE)))</f>
        <v/>
      </c>
      <c r="F953" s="67">
        <f>IF($B953="",0,IF(LEFT($B953,1)="━",0,$C953*VLOOKUP($B953,'4. CÀI ĐẶT'!$A$2:$H$32,3,FALSE)))</f>
        <v/>
      </c>
      <c r="G953" s="67">
        <f>IF($B953="",0,IF(LEFT($B953,1)="━",0,$C953*VLOOKUP($B953,'4. CÀI ĐẶT'!$A$2:$H$32,4,FALSE)))</f>
        <v/>
      </c>
      <c r="H953" s="67">
        <f>IF($B953="",0,IF(LEFT($B953,1)="━",0,$C953*VLOOKUP($B953,'4. CÀI ĐẶT'!$A$2:$H$32,5,FALSE)))</f>
        <v/>
      </c>
      <c r="I953">
        <f>IF($B953="","",IF(LEFT($B953,1)="━","",VLOOKUP($B953,'4. CÀI ĐẶT'!$A$2:$H$32,6,FALSE)))</f>
        <v/>
      </c>
      <c r="J953" s="13">
        <f>IF($A953="","",EOMONTH($A953,0))</f>
        <v/>
      </c>
      <c r="K953" s="67">
        <f>IF($B953="",0,IF(LEFT($B953,1)="━",0,$C953*VLOOKUP($B953,'4. CÀI ĐẶT'!$A$2:$H$32,7,FALSE)))</f>
        <v/>
      </c>
    </row>
    <row r="954">
      <c r="A954" s="8" t="n"/>
      <c r="B954" s="9" t="n"/>
      <c r="C954" s="65" t="n"/>
      <c r="D954" s="9" t="n"/>
      <c r="E954" s="66">
        <f>IF($B954="","",IF(LEFT($B954,1)="━","⚠️ Chọn hạng mục cụ thể",$C954*VLOOKUP($B954,'4. CÀI ĐẶT'!$A$2:$H$32,2,FALSE)))</f>
        <v/>
      </c>
      <c r="F954" s="67">
        <f>IF($B954="",0,IF(LEFT($B954,1)="━",0,$C954*VLOOKUP($B954,'4. CÀI ĐẶT'!$A$2:$H$32,3,FALSE)))</f>
        <v/>
      </c>
      <c r="G954" s="67">
        <f>IF($B954="",0,IF(LEFT($B954,1)="━",0,$C954*VLOOKUP($B954,'4. CÀI ĐẶT'!$A$2:$H$32,4,FALSE)))</f>
        <v/>
      </c>
      <c r="H954" s="67">
        <f>IF($B954="",0,IF(LEFT($B954,1)="━",0,$C954*VLOOKUP($B954,'4. CÀI ĐẶT'!$A$2:$H$32,5,FALSE)))</f>
        <v/>
      </c>
      <c r="I954">
        <f>IF($B954="","",IF(LEFT($B954,1)="━","",VLOOKUP($B954,'4. CÀI ĐẶT'!$A$2:$H$32,6,FALSE)))</f>
        <v/>
      </c>
      <c r="J954" s="13">
        <f>IF($A954="","",EOMONTH($A954,0))</f>
        <v/>
      </c>
      <c r="K954" s="67">
        <f>IF($B954="",0,IF(LEFT($B954,1)="━",0,$C954*VLOOKUP($B954,'4. CÀI ĐẶT'!$A$2:$H$32,7,FALSE)))</f>
        <v/>
      </c>
    </row>
    <row r="955">
      <c r="A955" s="8" t="n"/>
      <c r="B955" s="9" t="n"/>
      <c r="C955" s="65" t="n"/>
      <c r="D955" s="9" t="n"/>
      <c r="E955" s="66">
        <f>IF($B955="","",IF(LEFT($B955,1)="━","⚠️ Chọn hạng mục cụ thể",$C955*VLOOKUP($B955,'4. CÀI ĐẶT'!$A$2:$H$32,2,FALSE)))</f>
        <v/>
      </c>
      <c r="F955" s="67">
        <f>IF($B955="",0,IF(LEFT($B955,1)="━",0,$C955*VLOOKUP($B955,'4. CÀI ĐẶT'!$A$2:$H$32,3,FALSE)))</f>
        <v/>
      </c>
      <c r="G955" s="67">
        <f>IF($B955="",0,IF(LEFT($B955,1)="━",0,$C955*VLOOKUP($B955,'4. CÀI ĐẶT'!$A$2:$H$32,4,FALSE)))</f>
        <v/>
      </c>
      <c r="H955" s="67">
        <f>IF($B955="",0,IF(LEFT($B955,1)="━",0,$C955*VLOOKUP($B955,'4. CÀI ĐẶT'!$A$2:$H$32,5,FALSE)))</f>
        <v/>
      </c>
      <c r="I955">
        <f>IF($B955="","",IF(LEFT($B955,1)="━","",VLOOKUP($B955,'4. CÀI ĐẶT'!$A$2:$H$32,6,FALSE)))</f>
        <v/>
      </c>
      <c r="J955" s="13">
        <f>IF($A955="","",EOMONTH($A955,0))</f>
        <v/>
      </c>
      <c r="K955" s="67">
        <f>IF($B955="",0,IF(LEFT($B955,1)="━",0,$C955*VLOOKUP($B955,'4. CÀI ĐẶT'!$A$2:$H$32,7,FALSE)))</f>
        <v/>
      </c>
    </row>
    <row r="956">
      <c r="A956" s="8" t="n"/>
      <c r="B956" s="9" t="n"/>
      <c r="C956" s="65" t="n"/>
      <c r="D956" s="9" t="n"/>
      <c r="E956" s="66">
        <f>IF($B956="","",IF(LEFT($B956,1)="━","⚠️ Chọn hạng mục cụ thể",$C956*VLOOKUP($B956,'4. CÀI ĐẶT'!$A$2:$H$32,2,FALSE)))</f>
        <v/>
      </c>
      <c r="F956" s="67">
        <f>IF($B956="",0,IF(LEFT($B956,1)="━",0,$C956*VLOOKUP($B956,'4. CÀI ĐẶT'!$A$2:$H$32,3,FALSE)))</f>
        <v/>
      </c>
      <c r="G956" s="67">
        <f>IF($B956="",0,IF(LEFT($B956,1)="━",0,$C956*VLOOKUP($B956,'4. CÀI ĐẶT'!$A$2:$H$32,4,FALSE)))</f>
        <v/>
      </c>
      <c r="H956" s="67">
        <f>IF($B956="",0,IF(LEFT($B956,1)="━",0,$C956*VLOOKUP($B956,'4. CÀI ĐẶT'!$A$2:$H$32,5,FALSE)))</f>
        <v/>
      </c>
      <c r="I956">
        <f>IF($B956="","",IF(LEFT($B956,1)="━","",VLOOKUP($B956,'4. CÀI ĐẶT'!$A$2:$H$32,6,FALSE)))</f>
        <v/>
      </c>
      <c r="J956" s="13">
        <f>IF($A956="","",EOMONTH($A956,0))</f>
        <v/>
      </c>
      <c r="K956" s="67">
        <f>IF($B956="",0,IF(LEFT($B956,1)="━",0,$C956*VLOOKUP($B956,'4. CÀI ĐẶT'!$A$2:$H$32,7,FALSE)))</f>
        <v/>
      </c>
    </row>
    <row r="957">
      <c r="A957" s="8" t="n"/>
      <c r="B957" s="9" t="n"/>
      <c r="C957" s="65" t="n"/>
      <c r="D957" s="9" t="n"/>
      <c r="E957" s="66">
        <f>IF($B957="","",IF(LEFT($B957,1)="━","⚠️ Chọn hạng mục cụ thể",$C957*VLOOKUP($B957,'4. CÀI ĐẶT'!$A$2:$H$32,2,FALSE)))</f>
        <v/>
      </c>
      <c r="F957" s="67">
        <f>IF($B957="",0,IF(LEFT($B957,1)="━",0,$C957*VLOOKUP($B957,'4. CÀI ĐẶT'!$A$2:$H$32,3,FALSE)))</f>
        <v/>
      </c>
      <c r="G957" s="67">
        <f>IF($B957="",0,IF(LEFT($B957,1)="━",0,$C957*VLOOKUP($B957,'4. CÀI ĐẶT'!$A$2:$H$32,4,FALSE)))</f>
        <v/>
      </c>
      <c r="H957" s="67">
        <f>IF($B957="",0,IF(LEFT($B957,1)="━",0,$C957*VLOOKUP($B957,'4. CÀI ĐẶT'!$A$2:$H$32,5,FALSE)))</f>
        <v/>
      </c>
      <c r="I957">
        <f>IF($B957="","",IF(LEFT($B957,1)="━","",VLOOKUP($B957,'4. CÀI ĐẶT'!$A$2:$H$32,6,FALSE)))</f>
        <v/>
      </c>
      <c r="J957" s="13">
        <f>IF($A957="","",EOMONTH($A957,0))</f>
        <v/>
      </c>
      <c r="K957" s="67">
        <f>IF($B957="",0,IF(LEFT($B957,1)="━",0,$C957*VLOOKUP($B957,'4. CÀI ĐẶT'!$A$2:$H$32,7,FALSE)))</f>
        <v/>
      </c>
    </row>
    <row r="958">
      <c r="A958" s="8" t="n"/>
      <c r="B958" s="9" t="n"/>
      <c r="C958" s="65" t="n"/>
      <c r="D958" s="9" t="n"/>
      <c r="E958" s="66">
        <f>IF($B958="","",IF(LEFT($B958,1)="━","⚠️ Chọn hạng mục cụ thể",$C958*VLOOKUP($B958,'4. CÀI ĐẶT'!$A$2:$H$32,2,FALSE)))</f>
        <v/>
      </c>
      <c r="F958" s="67">
        <f>IF($B958="",0,IF(LEFT($B958,1)="━",0,$C958*VLOOKUP($B958,'4. CÀI ĐẶT'!$A$2:$H$32,3,FALSE)))</f>
        <v/>
      </c>
      <c r="G958" s="67">
        <f>IF($B958="",0,IF(LEFT($B958,1)="━",0,$C958*VLOOKUP($B958,'4. CÀI ĐẶT'!$A$2:$H$32,4,FALSE)))</f>
        <v/>
      </c>
      <c r="H958" s="67">
        <f>IF($B958="",0,IF(LEFT($B958,1)="━",0,$C958*VLOOKUP($B958,'4. CÀI ĐẶT'!$A$2:$H$32,5,FALSE)))</f>
        <v/>
      </c>
      <c r="I958">
        <f>IF($B958="","",IF(LEFT($B958,1)="━","",VLOOKUP($B958,'4. CÀI ĐẶT'!$A$2:$H$32,6,FALSE)))</f>
        <v/>
      </c>
      <c r="J958" s="13">
        <f>IF($A958="","",EOMONTH($A958,0))</f>
        <v/>
      </c>
      <c r="K958" s="67">
        <f>IF($B958="",0,IF(LEFT($B958,1)="━",0,$C958*VLOOKUP($B958,'4. CÀI ĐẶT'!$A$2:$H$32,7,FALSE)))</f>
        <v/>
      </c>
    </row>
    <row r="959">
      <c r="A959" s="8" t="n"/>
      <c r="B959" s="9" t="n"/>
      <c r="C959" s="65" t="n"/>
      <c r="D959" s="9" t="n"/>
      <c r="E959" s="66">
        <f>IF($B959="","",IF(LEFT($B959,1)="━","⚠️ Chọn hạng mục cụ thể",$C959*VLOOKUP($B959,'4. CÀI ĐẶT'!$A$2:$H$32,2,FALSE)))</f>
        <v/>
      </c>
      <c r="F959" s="67">
        <f>IF($B959="",0,IF(LEFT($B959,1)="━",0,$C959*VLOOKUP($B959,'4. CÀI ĐẶT'!$A$2:$H$32,3,FALSE)))</f>
        <v/>
      </c>
      <c r="G959" s="67">
        <f>IF($B959="",0,IF(LEFT($B959,1)="━",0,$C959*VLOOKUP($B959,'4. CÀI ĐẶT'!$A$2:$H$32,4,FALSE)))</f>
        <v/>
      </c>
      <c r="H959" s="67">
        <f>IF($B959="",0,IF(LEFT($B959,1)="━",0,$C959*VLOOKUP($B959,'4. CÀI ĐẶT'!$A$2:$H$32,5,FALSE)))</f>
        <v/>
      </c>
      <c r="I959">
        <f>IF($B959="","",IF(LEFT($B959,1)="━","",VLOOKUP($B959,'4. CÀI ĐẶT'!$A$2:$H$32,6,FALSE)))</f>
        <v/>
      </c>
      <c r="J959" s="13">
        <f>IF($A959="","",EOMONTH($A959,0))</f>
        <v/>
      </c>
      <c r="K959" s="67">
        <f>IF($B959="",0,IF(LEFT($B959,1)="━",0,$C959*VLOOKUP($B959,'4. CÀI ĐẶT'!$A$2:$H$32,7,FALSE)))</f>
        <v/>
      </c>
    </row>
    <row r="960">
      <c r="A960" s="8" t="n"/>
      <c r="B960" s="9" t="n"/>
      <c r="C960" s="65" t="n"/>
      <c r="D960" s="9" t="n"/>
      <c r="E960" s="66">
        <f>IF($B960="","",IF(LEFT($B960,1)="━","⚠️ Chọn hạng mục cụ thể",$C960*VLOOKUP($B960,'4. CÀI ĐẶT'!$A$2:$H$32,2,FALSE)))</f>
        <v/>
      </c>
      <c r="F960" s="67">
        <f>IF($B960="",0,IF(LEFT($B960,1)="━",0,$C960*VLOOKUP($B960,'4. CÀI ĐẶT'!$A$2:$H$32,3,FALSE)))</f>
        <v/>
      </c>
      <c r="G960" s="67">
        <f>IF($B960="",0,IF(LEFT($B960,1)="━",0,$C960*VLOOKUP($B960,'4. CÀI ĐẶT'!$A$2:$H$32,4,FALSE)))</f>
        <v/>
      </c>
      <c r="H960" s="67">
        <f>IF($B960="",0,IF(LEFT($B960,1)="━",0,$C960*VLOOKUP($B960,'4. CÀI ĐẶT'!$A$2:$H$32,5,FALSE)))</f>
        <v/>
      </c>
      <c r="I960">
        <f>IF($B960="","",IF(LEFT($B960,1)="━","",VLOOKUP($B960,'4. CÀI ĐẶT'!$A$2:$H$32,6,FALSE)))</f>
        <v/>
      </c>
      <c r="J960" s="13">
        <f>IF($A960="","",EOMONTH($A960,0))</f>
        <v/>
      </c>
      <c r="K960" s="67">
        <f>IF($B960="",0,IF(LEFT($B960,1)="━",0,$C960*VLOOKUP($B960,'4. CÀI ĐẶT'!$A$2:$H$32,7,FALSE)))</f>
        <v/>
      </c>
    </row>
    <row r="961">
      <c r="A961" s="8" t="n"/>
      <c r="B961" s="9" t="n"/>
      <c r="C961" s="65" t="n"/>
      <c r="D961" s="9" t="n"/>
      <c r="E961" s="66">
        <f>IF($B961="","",IF(LEFT($B961,1)="━","⚠️ Chọn hạng mục cụ thể",$C961*VLOOKUP($B961,'4. CÀI ĐẶT'!$A$2:$H$32,2,FALSE)))</f>
        <v/>
      </c>
      <c r="F961" s="67">
        <f>IF($B961="",0,IF(LEFT($B961,1)="━",0,$C961*VLOOKUP($B961,'4. CÀI ĐẶT'!$A$2:$H$32,3,FALSE)))</f>
        <v/>
      </c>
      <c r="G961" s="67">
        <f>IF($B961="",0,IF(LEFT($B961,1)="━",0,$C961*VLOOKUP($B961,'4. CÀI ĐẶT'!$A$2:$H$32,4,FALSE)))</f>
        <v/>
      </c>
      <c r="H961" s="67">
        <f>IF($B961="",0,IF(LEFT($B961,1)="━",0,$C961*VLOOKUP($B961,'4. CÀI ĐẶT'!$A$2:$H$32,5,FALSE)))</f>
        <v/>
      </c>
      <c r="I961">
        <f>IF($B961="","",IF(LEFT($B961,1)="━","",VLOOKUP($B961,'4. CÀI ĐẶT'!$A$2:$H$32,6,FALSE)))</f>
        <v/>
      </c>
      <c r="J961" s="13">
        <f>IF($A961="","",EOMONTH($A961,0))</f>
        <v/>
      </c>
      <c r="K961" s="67">
        <f>IF($B961="",0,IF(LEFT($B961,1)="━",0,$C961*VLOOKUP($B961,'4. CÀI ĐẶT'!$A$2:$H$32,7,FALSE)))</f>
        <v/>
      </c>
    </row>
    <row r="962">
      <c r="A962" s="8" t="n"/>
      <c r="B962" s="9" t="n"/>
      <c r="C962" s="65" t="n"/>
      <c r="D962" s="9" t="n"/>
      <c r="E962" s="66">
        <f>IF($B962="","",IF(LEFT($B962,1)="━","⚠️ Chọn hạng mục cụ thể",$C962*VLOOKUP($B962,'4. CÀI ĐẶT'!$A$2:$H$32,2,FALSE)))</f>
        <v/>
      </c>
      <c r="F962" s="67">
        <f>IF($B962="",0,IF(LEFT($B962,1)="━",0,$C962*VLOOKUP($B962,'4. CÀI ĐẶT'!$A$2:$H$32,3,FALSE)))</f>
        <v/>
      </c>
      <c r="G962" s="67">
        <f>IF($B962="",0,IF(LEFT($B962,1)="━",0,$C962*VLOOKUP($B962,'4. CÀI ĐẶT'!$A$2:$H$32,4,FALSE)))</f>
        <v/>
      </c>
      <c r="H962" s="67">
        <f>IF($B962="",0,IF(LEFT($B962,1)="━",0,$C962*VLOOKUP($B962,'4. CÀI ĐẶT'!$A$2:$H$32,5,FALSE)))</f>
        <v/>
      </c>
      <c r="I962">
        <f>IF($B962="","",IF(LEFT($B962,1)="━","",VLOOKUP($B962,'4. CÀI ĐẶT'!$A$2:$H$32,6,FALSE)))</f>
        <v/>
      </c>
      <c r="J962" s="13">
        <f>IF($A962="","",EOMONTH($A962,0))</f>
        <v/>
      </c>
      <c r="K962" s="67">
        <f>IF($B962="",0,IF(LEFT($B962,1)="━",0,$C962*VLOOKUP($B962,'4. CÀI ĐẶT'!$A$2:$H$32,7,FALSE)))</f>
        <v/>
      </c>
    </row>
    <row r="963">
      <c r="A963" s="8" t="n"/>
      <c r="B963" s="9" t="n"/>
      <c r="C963" s="65" t="n"/>
      <c r="D963" s="9" t="n"/>
      <c r="E963" s="66">
        <f>IF($B963="","",IF(LEFT($B963,1)="━","⚠️ Chọn hạng mục cụ thể",$C963*VLOOKUP($B963,'4. CÀI ĐẶT'!$A$2:$H$32,2,FALSE)))</f>
        <v/>
      </c>
      <c r="F963" s="67">
        <f>IF($B963="",0,IF(LEFT($B963,1)="━",0,$C963*VLOOKUP($B963,'4. CÀI ĐẶT'!$A$2:$H$32,3,FALSE)))</f>
        <v/>
      </c>
      <c r="G963" s="67">
        <f>IF($B963="",0,IF(LEFT($B963,1)="━",0,$C963*VLOOKUP($B963,'4. CÀI ĐẶT'!$A$2:$H$32,4,FALSE)))</f>
        <v/>
      </c>
      <c r="H963" s="67">
        <f>IF($B963="",0,IF(LEFT($B963,1)="━",0,$C963*VLOOKUP($B963,'4. CÀI ĐẶT'!$A$2:$H$32,5,FALSE)))</f>
        <v/>
      </c>
      <c r="I963">
        <f>IF($B963="","",IF(LEFT($B963,1)="━","",VLOOKUP($B963,'4. CÀI ĐẶT'!$A$2:$H$32,6,FALSE)))</f>
        <v/>
      </c>
      <c r="J963" s="13">
        <f>IF($A963="","",EOMONTH($A963,0))</f>
        <v/>
      </c>
      <c r="K963" s="67">
        <f>IF($B963="",0,IF(LEFT($B963,1)="━",0,$C963*VLOOKUP($B963,'4. CÀI ĐẶT'!$A$2:$H$32,7,FALSE)))</f>
        <v/>
      </c>
    </row>
    <row r="964">
      <c r="A964" s="8" t="n"/>
      <c r="B964" s="9" t="n"/>
      <c r="C964" s="65" t="n"/>
      <c r="D964" s="9" t="n"/>
      <c r="E964" s="66">
        <f>IF($B964="","",IF(LEFT($B964,1)="━","⚠️ Chọn hạng mục cụ thể",$C964*VLOOKUP($B964,'4. CÀI ĐẶT'!$A$2:$H$32,2,FALSE)))</f>
        <v/>
      </c>
      <c r="F964" s="67">
        <f>IF($B964="",0,IF(LEFT($B964,1)="━",0,$C964*VLOOKUP($B964,'4. CÀI ĐẶT'!$A$2:$H$32,3,FALSE)))</f>
        <v/>
      </c>
      <c r="G964" s="67">
        <f>IF($B964="",0,IF(LEFT($B964,1)="━",0,$C964*VLOOKUP($B964,'4. CÀI ĐẶT'!$A$2:$H$32,4,FALSE)))</f>
        <v/>
      </c>
      <c r="H964" s="67">
        <f>IF($B964="",0,IF(LEFT($B964,1)="━",0,$C964*VLOOKUP($B964,'4. CÀI ĐẶT'!$A$2:$H$32,5,FALSE)))</f>
        <v/>
      </c>
      <c r="I964">
        <f>IF($B964="","",IF(LEFT($B964,1)="━","",VLOOKUP($B964,'4. CÀI ĐẶT'!$A$2:$H$32,6,FALSE)))</f>
        <v/>
      </c>
      <c r="J964" s="13">
        <f>IF($A964="","",EOMONTH($A964,0))</f>
        <v/>
      </c>
      <c r="K964" s="67">
        <f>IF($B964="",0,IF(LEFT($B964,1)="━",0,$C964*VLOOKUP($B964,'4. CÀI ĐẶT'!$A$2:$H$32,7,FALSE)))</f>
        <v/>
      </c>
    </row>
    <row r="965">
      <c r="A965" s="8" t="n"/>
      <c r="B965" s="9" t="n"/>
      <c r="C965" s="65" t="n"/>
      <c r="D965" s="9" t="n"/>
      <c r="E965" s="66">
        <f>IF($B965="","",IF(LEFT($B965,1)="━","⚠️ Chọn hạng mục cụ thể",$C965*VLOOKUP($B965,'4. CÀI ĐẶT'!$A$2:$H$32,2,FALSE)))</f>
        <v/>
      </c>
      <c r="F965" s="67">
        <f>IF($B965="",0,IF(LEFT($B965,1)="━",0,$C965*VLOOKUP($B965,'4. CÀI ĐẶT'!$A$2:$H$32,3,FALSE)))</f>
        <v/>
      </c>
      <c r="G965" s="67">
        <f>IF($B965="",0,IF(LEFT($B965,1)="━",0,$C965*VLOOKUP($B965,'4. CÀI ĐẶT'!$A$2:$H$32,4,FALSE)))</f>
        <v/>
      </c>
      <c r="H965" s="67">
        <f>IF($B965="",0,IF(LEFT($B965,1)="━",0,$C965*VLOOKUP($B965,'4. CÀI ĐẶT'!$A$2:$H$32,5,FALSE)))</f>
        <v/>
      </c>
      <c r="I965">
        <f>IF($B965="","",IF(LEFT($B965,1)="━","",VLOOKUP($B965,'4. CÀI ĐẶT'!$A$2:$H$32,6,FALSE)))</f>
        <v/>
      </c>
      <c r="J965" s="13">
        <f>IF($A965="","",EOMONTH($A965,0))</f>
        <v/>
      </c>
      <c r="K965" s="67">
        <f>IF($B965="",0,IF(LEFT($B965,1)="━",0,$C965*VLOOKUP($B965,'4. CÀI ĐẶT'!$A$2:$H$32,7,FALSE)))</f>
        <v/>
      </c>
    </row>
    <row r="966">
      <c r="A966" s="8" t="n"/>
      <c r="B966" s="9" t="n"/>
      <c r="C966" s="65" t="n"/>
      <c r="D966" s="9" t="n"/>
      <c r="E966" s="66">
        <f>IF($B966="","",IF(LEFT($B966,1)="━","⚠️ Chọn hạng mục cụ thể",$C966*VLOOKUP($B966,'4. CÀI ĐẶT'!$A$2:$H$32,2,FALSE)))</f>
        <v/>
      </c>
      <c r="F966" s="67">
        <f>IF($B966="",0,IF(LEFT($B966,1)="━",0,$C966*VLOOKUP($B966,'4. CÀI ĐẶT'!$A$2:$H$32,3,FALSE)))</f>
        <v/>
      </c>
      <c r="G966" s="67">
        <f>IF($B966="",0,IF(LEFT($B966,1)="━",0,$C966*VLOOKUP($B966,'4. CÀI ĐẶT'!$A$2:$H$32,4,FALSE)))</f>
        <v/>
      </c>
      <c r="H966" s="67">
        <f>IF($B966="",0,IF(LEFT($B966,1)="━",0,$C966*VLOOKUP($B966,'4. CÀI ĐẶT'!$A$2:$H$32,5,FALSE)))</f>
        <v/>
      </c>
      <c r="I966">
        <f>IF($B966="","",IF(LEFT($B966,1)="━","",VLOOKUP($B966,'4. CÀI ĐẶT'!$A$2:$H$32,6,FALSE)))</f>
        <v/>
      </c>
      <c r="J966" s="13">
        <f>IF($A966="","",EOMONTH($A966,0))</f>
        <v/>
      </c>
      <c r="K966" s="67">
        <f>IF($B966="",0,IF(LEFT($B966,1)="━",0,$C966*VLOOKUP($B966,'4. CÀI ĐẶT'!$A$2:$H$32,7,FALSE)))</f>
        <v/>
      </c>
    </row>
    <row r="967">
      <c r="A967" s="8" t="n"/>
      <c r="B967" s="9" t="n"/>
      <c r="C967" s="65" t="n"/>
      <c r="D967" s="9" t="n"/>
      <c r="E967" s="66">
        <f>IF($B967="","",IF(LEFT($B967,1)="━","⚠️ Chọn hạng mục cụ thể",$C967*VLOOKUP($B967,'4. CÀI ĐẶT'!$A$2:$H$32,2,FALSE)))</f>
        <v/>
      </c>
      <c r="F967" s="67">
        <f>IF($B967="",0,IF(LEFT($B967,1)="━",0,$C967*VLOOKUP($B967,'4. CÀI ĐẶT'!$A$2:$H$32,3,FALSE)))</f>
        <v/>
      </c>
      <c r="G967" s="67">
        <f>IF($B967="",0,IF(LEFT($B967,1)="━",0,$C967*VLOOKUP($B967,'4. CÀI ĐẶT'!$A$2:$H$32,4,FALSE)))</f>
        <v/>
      </c>
      <c r="H967" s="67">
        <f>IF($B967="",0,IF(LEFT($B967,1)="━",0,$C967*VLOOKUP($B967,'4. CÀI ĐẶT'!$A$2:$H$32,5,FALSE)))</f>
        <v/>
      </c>
      <c r="I967">
        <f>IF($B967="","",IF(LEFT($B967,1)="━","",VLOOKUP($B967,'4. CÀI ĐẶT'!$A$2:$H$32,6,FALSE)))</f>
        <v/>
      </c>
      <c r="J967" s="13">
        <f>IF($A967="","",EOMONTH($A967,0))</f>
        <v/>
      </c>
      <c r="K967" s="67">
        <f>IF($B967="",0,IF(LEFT($B967,1)="━",0,$C967*VLOOKUP($B967,'4. CÀI ĐẶT'!$A$2:$H$32,7,FALSE)))</f>
        <v/>
      </c>
    </row>
    <row r="968">
      <c r="A968" s="8" t="n"/>
      <c r="B968" s="9" t="n"/>
      <c r="C968" s="65" t="n"/>
      <c r="D968" s="9" t="n"/>
      <c r="E968" s="66">
        <f>IF($B968="","",IF(LEFT($B968,1)="━","⚠️ Chọn hạng mục cụ thể",$C968*VLOOKUP($B968,'4. CÀI ĐẶT'!$A$2:$H$32,2,FALSE)))</f>
        <v/>
      </c>
      <c r="F968" s="67">
        <f>IF($B968="",0,IF(LEFT($B968,1)="━",0,$C968*VLOOKUP($B968,'4. CÀI ĐẶT'!$A$2:$H$32,3,FALSE)))</f>
        <v/>
      </c>
      <c r="G968" s="67">
        <f>IF($B968="",0,IF(LEFT($B968,1)="━",0,$C968*VLOOKUP($B968,'4. CÀI ĐẶT'!$A$2:$H$32,4,FALSE)))</f>
        <v/>
      </c>
      <c r="H968" s="67">
        <f>IF($B968="",0,IF(LEFT($B968,1)="━",0,$C968*VLOOKUP($B968,'4. CÀI ĐẶT'!$A$2:$H$32,5,FALSE)))</f>
        <v/>
      </c>
      <c r="I968">
        <f>IF($B968="","",IF(LEFT($B968,1)="━","",VLOOKUP($B968,'4. CÀI ĐẶT'!$A$2:$H$32,6,FALSE)))</f>
        <v/>
      </c>
      <c r="J968" s="13">
        <f>IF($A968="","",EOMONTH($A968,0))</f>
        <v/>
      </c>
      <c r="K968" s="67">
        <f>IF($B968="",0,IF(LEFT($B968,1)="━",0,$C968*VLOOKUP($B968,'4. CÀI ĐẶT'!$A$2:$H$32,7,FALSE)))</f>
        <v/>
      </c>
    </row>
    <row r="969">
      <c r="A969" s="8" t="n"/>
      <c r="B969" s="9" t="n"/>
      <c r="C969" s="65" t="n"/>
      <c r="D969" s="9" t="n"/>
      <c r="E969" s="66">
        <f>IF($B969="","",IF(LEFT($B969,1)="━","⚠️ Chọn hạng mục cụ thể",$C969*VLOOKUP($B969,'4. CÀI ĐẶT'!$A$2:$H$32,2,FALSE)))</f>
        <v/>
      </c>
      <c r="F969" s="67">
        <f>IF($B969="",0,IF(LEFT($B969,1)="━",0,$C969*VLOOKUP($B969,'4. CÀI ĐẶT'!$A$2:$H$32,3,FALSE)))</f>
        <v/>
      </c>
      <c r="G969" s="67">
        <f>IF($B969="",0,IF(LEFT($B969,1)="━",0,$C969*VLOOKUP($B969,'4. CÀI ĐẶT'!$A$2:$H$32,4,FALSE)))</f>
        <v/>
      </c>
      <c r="H969" s="67">
        <f>IF($B969="",0,IF(LEFT($B969,1)="━",0,$C969*VLOOKUP($B969,'4. CÀI ĐẶT'!$A$2:$H$32,5,FALSE)))</f>
        <v/>
      </c>
      <c r="I969">
        <f>IF($B969="","",IF(LEFT($B969,1)="━","",VLOOKUP($B969,'4. CÀI ĐẶT'!$A$2:$H$32,6,FALSE)))</f>
        <v/>
      </c>
      <c r="J969" s="13">
        <f>IF($A969="","",EOMONTH($A969,0))</f>
        <v/>
      </c>
      <c r="K969" s="67">
        <f>IF($B969="",0,IF(LEFT($B969,1)="━",0,$C969*VLOOKUP($B969,'4. CÀI ĐẶT'!$A$2:$H$32,7,FALSE)))</f>
        <v/>
      </c>
    </row>
    <row r="970">
      <c r="A970" s="8" t="n"/>
      <c r="B970" s="9" t="n"/>
      <c r="C970" s="65" t="n"/>
      <c r="D970" s="9" t="n"/>
      <c r="E970" s="66">
        <f>IF($B970="","",IF(LEFT($B970,1)="━","⚠️ Chọn hạng mục cụ thể",$C970*VLOOKUP($B970,'4. CÀI ĐẶT'!$A$2:$H$32,2,FALSE)))</f>
        <v/>
      </c>
      <c r="F970" s="67">
        <f>IF($B970="",0,IF(LEFT($B970,1)="━",0,$C970*VLOOKUP($B970,'4. CÀI ĐẶT'!$A$2:$H$32,3,FALSE)))</f>
        <v/>
      </c>
      <c r="G970" s="67">
        <f>IF($B970="",0,IF(LEFT($B970,1)="━",0,$C970*VLOOKUP($B970,'4. CÀI ĐẶT'!$A$2:$H$32,4,FALSE)))</f>
        <v/>
      </c>
      <c r="H970" s="67">
        <f>IF($B970="",0,IF(LEFT($B970,1)="━",0,$C970*VLOOKUP($B970,'4. CÀI ĐẶT'!$A$2:$H$32,5,FALSE)))</f>
        <v/>
      </c>
      <c r="I970">
        <f>IF($B970="","",IF(LEFT($B970,1)="━","",VLOOKUP($B970,'4. CÀI ĐẶT'!$A$2:$H$32,6,FALSE)))</f>
        <v/>
      </c>
      <c r="J970" s="13">
        <f>IF($A970="","",EOMONTH($A970,0))</f>
        <v/>
      </c>
      <c r="K970" s="67">
        <f>IF($B970="",0,IF(LEFT($B970,1)="━",0,$C970*VLOOKUP($B970,'4. CÀI ĐẶT'!$A$2:$H$32,7,FALSE)))</f>
        <v/>
      </c>
    </row>
    <row r="971">
      <c r="A971" s="8" t="n"/>
      <c r="B971" s="9" t="n"/>
      <c r="C971" s="65" t="n"/>
      <c r="D971" s="9" t="n"/>
      <c r="E971" s="66">
        <f>IF($B971="","",IF(LEFT($B971,1)="━","⚠️ Chọn hạng mục cụ thể",$C971*VLOOKUP($B971,'4. CÀI ĐẶT'!$A$2:$H$32,2,FALSE)))</f>
        <v/>
      </c>
      <c r="F971" s="67">
        <f>IF($B971="",0,IF(LEFT($B971,1)="━",0,$C971*VLOOKUP($B971,'4. CÀI ĐẶT'!$A$2:$H$32,3,FALSE)))</f>
        <v/>
      </c>
      <c r="G971" s="67">
        <f>IF($B971="",0,IF(LEFT($B971,1)="━",0,$C971*VLOOKUP($B971,'4. CÀI ĐẶT'!$A$2:$H$32,4,FALSE)))</f>
        <v/>
      </c>
      <c r="H971" s="67">
        <f>IF($B971="",0,IF(LEFT($B971,1)="━",0,$C971*VLOOKUP($B971,'4. CÀI ĐẶT'!$A$2:$H$32,5,FALSE)))</f>
        <v/>
      </c>
      <c r="I971">
        <f>IF($B971="","",IF(LEFT($B971,1)="━","",VLOOKUP($B971,'4. CÀI ĐẶT'!$A$2:$H$32,6,FALSE)))</f>
        <v/>
      </c>
      <c r="J971" s="13">
        <f>IF($A971="","",EOMONTH($A971,0))</f>
        <v/>
      </c>
      <c r="K971" s="67">
        <f>IF($B971="",0,IF(LEFT($B971,1)="━",0,$C971*VLOOKUP($B971,'4. CÀI ĐẶT'!$A$2:$H$32,7,FALSE)))</f>
        <v/>
      </c>
    </row>
    <row r="972">
      <c r="A972" s="8" t="n"/>
      <c r="B972" s="9" t="n"/>
      <c r="C972" s="65" t="n"/>
      <c r="D972" s="9" t="n"/>
      <c r="E972" s="66">
        <f>IF($B972="","",IF(LEFT($B972,1)="━","⚠️ Chọn hạng mục cụ thể",$C972*VLOOKUP($B972,'4. CÀI ĐẶT'!$A$2:$H$32,2,FALSE)))</f>
        <v/>
      </c>
      <c r="F972" s="67">
        <f>IF($B972="",0,IF(LEFT($B972,1)="━",0,$C972*VLOOKUP($B972,'4. CÀI ĐẶT'!$A$2:$H$32,3,FALSE)))</f>
        <v/>
      </c>
      <c r="G972" s="67">
        <f>IF($B972="",0,IF(LEFT($B972,1)="━",0,$C972*VLOOKUP($B972,'4. CÀI ĐẶT'!$A$2:$H$32,4,FALSE)))</f>
        <v/>
      </c>
      <c r="H972" s="67">
        <f>IF($B972="",0,IF(LEFT($B972,1)="━",0,$C972*VLOOKUP($B972,'4. CÀI ĐẶT'!$A$2:$H$32,5,FALSE)))</f>
        <v/>
      </c>
      <c r="I972">
        <f>IF($B972="","",IF(LEFT($B972,1)="━","",VLOOKUP($B972,'4. CÀI ĐẶT'!$A$2:$H$32,6,FALSE)))</f>
        <v/>
      </c>
      <c r="J972" s="13">
        <f>IF($A972="","",EOMONTH($A972,0))</f>
        <v/>
      </c>
      <c r="K972" s="67">
        <f>IF($B972="",0,IF(LEFT($B972,1)="━",0,$C972*VLOOKUP($B972,'4. CÀI ĐẶT'!$A$2:$H$32,7,FALSE)))</f>
        <v/>
      </c>
    </row>
    <row r="973">
      <c r="A973" s="8" t="n"/>
      <c r="B973" s="9" t="n"/>
      <c r="C973" s="65" t="n"/>
      <c r="D973" s="9" t="n"/>
      <c r="E973" s="66">
        <f>IF($B973="","",IF(LEFT($B973,1)="━","⚠️ Chọn hạng mục cụ thể",$C973*VLOOKUP($B973,'4. CÀI ĐẶT'!$A$2:$H$32,2,FALSE)))</f>
        <v/>
      </c>
      <c r="F973" s="67">
        <f>IF($B973="",0,IF(LEFT($B973,1)="━",0,$C973*VLOOKUP($B973,'4. CÀI ĐẶT'!$A$2:$H$32,3,FALSE)))</f>
        <v/>
      </c>
      <c r="G973" s="67">
        <f>IF($B973="",0,IF(LEFT($B973,1)="━",0,$C973*VLOOKUP($B973,'4. CÀI ĐẶT'!$A$2:$H$32,4,FALSE)))</f>
        <v/>
      </c>
      <c r="H973" s="67">
        <f>IF($B973="",0,IF(LEFT($B973,1)="━",0,$C973*VLOOKUP($B973,'4. CÀI ĐẶT'!$A$2:$H$32,5,FALSE)))</f>
        <v/>
      </c>
      <c r="I973">
        <f>IF($B973="","",IF(LEFT($B973,1)="━","",VLOOKUP($B973,'4. CÀI ĐẶT'!$A$2:$H$32,6,FALSE)))</f>
        <v/>
      </c>
      <c r="J973" s="13">
        <f>IF($A973="","",EOMONTH($A973,0))</f>
        <v/>
      </c>
      <c r="K973" s="67">
        <f>IF($B973="",0,IF(LEFT($B973,1)="━",0,$C973*VLOOKUP($B973,'4. CÀI ĐẶT'!$A$2:$H$32,7,FALSE)))</f>
        <v/>
      </c>
    </row>
    <row r="974">
      <c r="A974" s="8" t="n"/>
      <c r="B974" s="9" t="n"/>
      <c r="C974" s="65" t="n"/>
      <c r="D974" s="9" t="n"/>
      <c r="E974" s="66">
        <f>IF($B974="","",IF(LEFT($B974,1)="━","⚠️ Chọn hạng mục cụ thể",$C974*VLOOKUP($B974,'4. CÀI ĐẶT'!$A$2:$H$32,2,FALSE)))</f>
        <v/>
      </c>
      <c r="F974" s="67">
        <f>IF($B974="",0,IF(LEFT($B974,1)="━",0,$C974*VLOOKUP($B974,'4. CÀI ĐẶT'!$A$2:$H$32,3,FALSE)))</f>
        <v/>
      </c>
      <c r="G974" s="67">
        <f>IF($B974="",0,IF(LEFT($B974,1)="━",0,$C974*VLOOKUP($B974,'4. CÀI ĐẶT'!$A$2:$H$32,4,FALSE)))</f>
        <v/>
      </c>
      <c r="H974" s="67">
        <f>IF($B974="",0,IF(LEFT($B974,1)="━",0,$C974*VLOOKUP($B974,'4. CÀI ĐẶT'!$A$2:$H$32,5,FALSE)))</f>
        <v/>
      </c>
      <c r="I974">
        <f>IF($B974="","",IF(LEFT($B974,1)="━","",VLOOKUP($B974,'4. CÀI ĐẶT'!$A$2:$H$32,6,FALSE)))</f>
        <v/>
      </c>
      <c r="J974" s="13">
        <f>IF($A974="","",EOMONTH($A974,0))</f>
        <v/>
      </c>
      <c r="K974" s="67">
        <f>IF($B974="",0,IF(LEFT($B974,1)="━",0,$C974*VLOOKUP($B974,'4. CÀI ĐẶT'!$A$2:$H$32,7,FALSE)))</f>
        <v/>
      </c>
    </row>
    <row r="975">
      <c r="A975" s="8" t="n"/>
      <c r="B975" s="9" t="n"/>
      <c r="C975" s="65" t="n"/>
      <c r="D975" s="9" t="n"/>
      <c r="E975" s="66">
        <f>IF($B975="","",IF(LEFT($B975,1)="━","⚠️ Chọn hạng mục cụ thể",$C975*VLOOKUP($B975,'4. CÀI ĐẶT'!$A$2:$H$32,2,FALSE)))</f>
        <v/>
      </c>
      <c r="F975" s="67">
        <f>IF($B975="",0,IF(LEFT($B975,1)="━",0,$C975*VLOOKUP($B975,'4. CÀI ĐẶT'!$A$2:$H$32,3,FALSE)))</f>
        <v/>
      </c>
      <c r="G975" s="67">
        <f>IF($B975="",0,IF(LEFT($B975,1)="━",0,$C975*VLOOKUP($B975,'4. CÀI ĐẶT'!$A$2:$H$32,4,FALSE)))</f>
        <v/>
      </c>
      <c r="H975" s="67">
        <f>IF($B975="",0,IF(LEFT($B975,1)="━",0,$C975*VLOOKUP($B975,'4. CÀI ĐẶT'!$A$2:$H$32,5,FALSE)))</f>
        <v/>
      </c>
      <c r="I975">
        <f>IF($B975="","",IF(LEFT($B975,1)="━","",VLOOKUP($B975,'4. CÀI ĐẶT'!$A$2:$H$32,6,FALSE)))</f>
        <v/>
      </c>
      <c r="J975" s="13">
        <f>IF($A975="","",EOMONTH($A975,0))</f>
        <v/>
      </c>
      <c r="K975" s="67">
        <f>IF($B975="",0,IF(LEFT($B975,1)="━",0,$C975*VLOOKUP($B975,'4. CÀI ĐẶT'!$A$2:$H$32,7,FALSE)))</f>
        <v/>
      </c>
    </row>
    <row r="976">
      <c r="A976" s="8" t="n"/>
      <c r="B976" s="9" t="n"/>
      <c r="C976" s="65" t="n"/>
      <c r="D976" s="9" t="n"/>
      <c r="E976" s="66">
        <f>IF($B976="","",IF(LEFT($B976,1)="━","⚠️ Chọn hạng mục cụ thể",$C976*VLOOKUP($B976,'4. CÀI ĐẶT'!$A$2:$H$32,2,FALSE)))</f>
        <v/>
      </c>
      <c r="F976" s="67">
        <f>IF($B976="",0,IF(LEFT($B976,1)="━",0,$C976*VLOOKUP($B976,'4. CÀI ĐẶT'!$A$2:$H$32,3,FALSE)))</f>
        <v/>
      </c>
      <c r="G976" s="67">
        <f>IF($B976="",0,IF(LEFT($B976,1)="━",0,$C976*VLOOKUP($B976,'4. CÀI ĐẶT'!$A$2:$H$32,4,FALSE)))</f>
        <v/>
      </c>
      <c r="H976" s="67">
        <f>IF($B976="",0,IF(LEFT($B976,1)="━",0,$C976*VLOOKUP($B976,'4. CÀI ĐẶT'!$A$2:$H$32,5,FALSE)))</f>
        <v/>
      </c>
      <c r="I976">
        <f>IF($B976="","",IF(LEFT($B976,1)="━","",VLOOKUP($B976,'4. CÀI ĐẶT'!$A$2:$H$32,6,FALSE)))</f>
        <v/>
      </c>
      <c r="J976" s="13">
        <f>IF($A976="","",EOMONTH($A976,0))</f>
        <v/>
      </c>
      <c r="K976" s="67">
        <f>IF($B976="",0,IF(LEFT($B976,1)="━",0,$C976*VLOOKUP($B976,'4. CÀI ĐẶT'!$A$2:$H$32,7,FALSE)))</f>
        <v/>
      </c>
    </row>
    <row r="977">
      <c r="A977" s="8" t="n"/>
      <c r="B977" s="9" t="n"/>
      <c r="C977" s="65" t="n"/>
      <c r="D977" s="9" t="n"/>
      <c r="E977" s="66">
        <f>IF($B977="","",IF(LEFT($B977,1)="━","⚠️ Chọn hạng mục cụ thể",$C977*VLOOKUP($B977,'4. CÀI ĐẶT'!$A$2:$H$32,2,FALSE)))</f>
        <v/>
      </c>
      <c r="F977" s="67">
        <f>IF($B977="",0,IF(LEFT($B977,1)="━",0,$C977*VLOOKUP($B977,'4. CÀI ĐẶT'!$A$2:$H$32,3,FALSE)))</f>
        <v/>
      </c>
      <c r="G977" s="67">
        <f>IF($B977="",0,IF(LEFT($B977,1)="━",0,$C977*VLOOKUP($B977,'4. CÀI ĐẶT'!$A$2:$H$32,4,FALSE)))</f>
        <v/>
      </c>
      <c r="H977" s="67">
        <f>IF($B977="",0,IF(LEFT($B977,1)="━",0,$C977*VLOOKUP($B977,'4. CÀI ĐẶT'!$A$2:$H$32,5,FALSE)))</f>
        <v/>
      </c>
      <c r="I977">
        <f>IF($B977="","",IF(LEFT($B977,1)="━","",VLOOKUP($B977,'4. CÀI ĐẶT'!$A$2:$H$32,6,FALSE)))</f>
        <v/>
      </c>
      <c r="J977" s="13">
        <f>IF($A977="","",EOMONTH($A977,0))</f>
        <v/>
      </c>
      <c r="K977" s="67">
        <f>IF($B977="",0,IF(LEFT($B977,1)="━",0,$C977*VLOOKUP($B977,'4. CÀI ĐẶT'!$A$2:$H$32,7,FALSE)))</f>
        <v/>
      </c>
    </row>
    <row r="978">
      <c r="A978" s="8" t="n"/>
      <c r="B978" s="9" t="n"/>
      <c r="C978" s="65" t="n"/>
      <c r="D978" s="9" t="n"/>
      <c r="E978" s="66">
        <f>IF($B978="","",IF(LEFT($B978,1)="━","⚠️ Chọn hạng mục cụ thể",$C978*VLOOKUP($B978,'4. CÀI ĐẶT'!$A$2:$H$32,2,FALSE)))</f>
        <v/>
      </c>
      <c r="F978" s="67">
        <f>IF($B978="",0,IF(LEFT($B978,1)="━",0,$C978*VLOOKUP($B978,'4. CÀI ĐẶT'!$A$2:$H$32,3,FALSE)))</f>
        <v/>
      </c>
      <c r="G978" s="67">
        <f>IF($B978="",0,IF(LEFT($B978,1)="━",0,$C978*VLOOKUP($B978,'4. CÀI ĐẶT'!$A$2:$H$32,4,FALSE)))</f>
        <v/>
      </c>
      <c r="H978" s="67">
        <f>IF($B978="",0,IF(LEFT($B978,1)="━",0,$C978*VLOOKUP($B978,'4. CÀI ĐẶT'!$A$2:$H$32,5,FALSE)))</f>
        <v/>
      </c>
      <c r="I978">
        <f>IF($B978="","",IF(LEFT($B978,1)="━","",VLOOKUP($B978,'4. CÀI ĐẶT'!$A$2:$H$32,6,FALSE)))</f>
        <v/>
      </c>
      <c r="J978" s="13">
        <f>IF($A978="","",EOMONTH($A978,0))</f>
        <v/>
      </c>
      <c r="K978" s="67">
        <f>IF($B978="",0,IF(LEFT($B978,1)="━",0,$C978*VLOOKUP($B978,'4. CÀI ĐẶT'!$A$2:$H$32,7,FALSE)))</f>
        <v/>
      </c>
    </row>
    <row r="979">
      <c r="A979" s="8" t="n"/>
      <c r="B979" s="9" t="n"/>
      <c r="C979" s="65" t="n"/>
      <c r="D979" s="9" t="n"/>
      <c r="E979" s="66">
        <f>IF($B979="","",IF(LEFT($B979,1)="━","⚠️ Chọn hạng mục cụ thể",$C979*VLOOKUP($B979,'4. CÀI ĐẶT'!$A$2:$H$32,2,FALSE)))</f>
        <v/>
      </c>
      <c r="F979" s="67">
        <f>IF($B979="",0,IF(LEFT($B979,1)="━",0,$C979*VLOOKUP($B979,'4. CÀI ĐẶT'!$A$2:$H$32,3,FALSE)))</f>
        <v/>
      </c>
      <c r="G979" s="67">
        <f>IF($B979="",0,IF(LEFT($B979,1)="━",0,$C979*VLOOKUP($B979,'4. CÀI ĐẶT'!$A$2:$H$32,4,FALSE)))</f>
        <v/>
      </c>
      <c r="H979" s="67">
        <f>IF($B979="",0,IF(LEFT($B979,1)="━",0,$C979*VLOOKUP($B979,'4. CÀI ĐẶT'!$A$2:$H$32,5,FALSE)))</f>
        <v/>
      </c>
      <c r="I979">
        <f>IF($B979="","",IF(LEFT($B979,1)="━","",VLOOKUP($B979,'4. CÀI ĐẶT'!$A$2:$H$32,6,FALSE)))</f>
        <v/>
      </c>
      <c r="J979" s="13">
        <f>IF($A979="","",EOMONTH($A979,0))</f>
        <v/>
      </c>
      <c r="K979" s="67">
        <f>IF($B979="",0,IF(LEFT($B979,1)="━",0,$C979*VLOOKUP($B979,'4. CÀI ĐẶT'!$A$2:$H$32,7,FALSE)))</f>
        <v/>
      </c>
    </row>
    <row r="980">
      <c r="A980" s="8" t="n"/>
      <c r="B980" s="9" t="n"/>
      <c r="C980" s="65" t="n"/>
      <c r="D980" s="9" t="n"/>
      <c r="E980" s="66">
        <f>IF($B980="","",IF(LEFT($B980,1)="━","⚠️ Chọn hạng mục cụ thể",$C980*VLOOKUP($B980,'4. CÀI ĐẶT'!$A$2:$H$32,2,FALSE)))</f>
        <v/>
      </c>
      <c r="F980" s="67">
        <f>IF($B980="",0,IF(LEFT($B980,1)="━",0,$C980*VLOOKUP($B980,'4. CÀI ĐẶT'!$A$2:$H$32,3,FALSE)))</f>
        <v/>
      </c>
      <c r="G980" s="67">
        <f>IF($B980="",0,IF(LEFT($B980,1)="━",0,$C980*VLOOKUP($B980,'4. CÀI ĐẶT'!$A$2:$H$32,4,FALSE)))</f>
        <v/>
      </c>
      <c r="H980" s="67">
        <f>IF($B980="",0,IF(LEFT($B980,1)="━",0,$C980*VLOOKUP($B980,'4. CÀI ĐẶT'!$A$2:$H$32,5,FALSE)))</f>
        <v/>
      </c>
      <c r="I980">
        <f>IF($B980="","",IF(LEFT($B980,1)="━","",VLOOKUP($B980,'4. CÀI ĐẶT'!$A$2:$H$32,6,FALSE)))</f>
        <v/>
      </c>
      <c r="J980" s="13">
        <f>IF($A980="","",EOMONTH($A980,0))</f>
        <v/>
      </c>
      <c r="K980" s="67">
        <f>IF($B980="",0,IF(LEFT($B980,1)="━",0,$C980*VLOOKUP($B980,'4. CÀI ĐẶT'!$A$2:$H$32,7,FALSE)))</f>
        <v/>
      </c>
    </row>
    <row r="981">
      <c r="A981" s="8" t="n"/>
      <c r="B981" s="9" t="n"/>
      <c r="C981" s="65" t="n"/>
      <c r="D981" s="9" t="n"/>
      <c r="E981" s="66">
        <f>IF($B981="","",IF(LEFT($B981,1)="━","⚠️ Chọn hạng mục cụ thể",$C981*VLOOKUP($B981,'4. CÀI ĐẶT'!$A$2:$H$32,2,FALSE)))</f>
        <v/>
      </c>
      <c r="F981" s="67">
        <f>IF($B981="",0,IF(LEFT($B981,1)="━",0,$C981*VLOOKUP($B981,'4. CÀI ĐẶT'!$A$2:$H$32,3,FALSE)))</f>
        <v/>
      </c>
      <c r="G981" s="67">
        <f>IF($B981="",0,IF(LEFT($B981,1)="━",0,$C981*VLOOKUP($B981,'4. CÀI ĐẶT'!$A$2:$H$32,4,FALSE)))</f>
        <v/>
      </c>
      <c r="H981" s="67">
        <f>IF($B981="",0,IF(LEFT($B981,1)="━",0,$C981*VLOOKUP($B981,'4. CÀI ĐẶT'!$A$2:$H$32,5,FALSE)))</f>
        <v/>
      </c>
      <c r="I981">
        <f>IF($B981="","",IF(LEFT($B981,1)="━","",VLOOKUP($B981,'4. CÀI ĐẶT'!$A$2:$H$32,6,FALSE)))</f>
        <v/>
      </c>
      <c r="J981" s="13">
        <f>IF($A981="","",EOMONTH($A981,0))</f>
        <v/>
      </c>
      <c r="K981" s="67">
        <f>IF($B981="",0,IF(LEFT($B981,1)="━",0,$C981*VLOOKUP($B981,'4. CÀI ĐẶT'!$A$2:$H$32,7,FALSE)))</f>
        <v/>
      </c>
    </row>
    <row r="982">
      <c r="A982" s="8" t="n"/>
      <c r="B982" s="9" t="n"/>
      <c r="C982" s="65" t="n"/>
      <c r="D982" s="9" t="n"/>
      <c r="E982" s="66">
        <f>IF($B982="","",IF(LEFT($B982,1)="━","⚠️ Chọn hạng mục cụ thể",$C982*VLOOKUP($B982,'4. CÀI ĐẶT'!$A$2:$H$32,2,FALSE)))</f>
        <v/>
      </c>
      <c r="F982" s="67">
        <f>IF($B982="",0,IF(LEFT($B982,1)="━",0,$C982*VLOOKUP($B982,'4. CÀI ĐẶT'!$A$2:$H$32,3,FALSE)))</f>
        <v/>
      </c>
      <c r="G982" s="67">
        <f>IF($B982="",0,IF(LEFT($B982,1)="━",0,$C982*VLOOKUP($B982,'4. CÀI ĐẶT'!$A$2:$H$32,4,FALSE)))</f>
        <v/>
      </c>
      <c r="H982" s="67">
        <f>IF($B982="",0,IF(LEFT($B982,1)="━",0,$C982*VLOOKUP($B982,'4. CÀI ĐẶT'!$A$2:$H$32,5,FALSE)))</f>
        <v/>
      </c>
      <c r="I982">
        <f>IF($B982="","",IF(LEFT($B982,1)="━","",VLOOKUP($B982,'4. CÀI ĐẶT'!$A$2:$H$32,6,FALSE)))</f>
        <v/>
      </c>
      <c r="J982" s="13">
        <f>IF($A982="","",EOMONTH($A982,0))</f>
        <v/>
      </c>
      <c r="K982" s="67">
        <f>IF($B982="",0,IF(LEFT($B982,1)="━",0,$C982*VLOOKUP($B982,'4. CÀI ĐẶT'!$A$2:$H$32,7,FALSE)))</f>
        <v/>
      </c>
    </row>
    <row r="983">
      <c r="A983" s="8" t="n"/>
      <c r="B983" s="9" t="n"/>
      <c r="C983" s="65" t="n"/>
      <c r="D983" s="9" t="n"/>
      <c r="E983" s="66">
        <f>IF($B983="","",IF(LEFT($B983,1)="━","⚠️ Chọn hạng mục cụ thể",$C983*VLOOKUP($B983,'4. CÀI ĐẶT'!$A$2:$H$32,2,FALSE)))</f>
        <v/>
      </c>
      <c r="F983" s="67">
        <f>IF($B983="",0,IF(LEFT($B983,1)="━",0,$C983*VLOOKUP($B983,'4. CÀI ĐẶT'!$A$2:$H$32,3,FALSE)))</f>
        <v/>
      </c>
      <c r="G983" s="67">
        <f>IF($B983="",0,IF(LEFT($B983,1)="━",0,$C983*VLOOKUP($B983,'4. CÀI ĐẶT'!$A$2:$H$32,4,FALSE)))</f>
        <v/>
      </c>
      <c r="H983" s="67">
        <f>IF($B983="",0,IF(LEFT($B983,1)="━",0,$C983*VLOOKUP($B983,'4. CÀI ĐẶT'!$A$2:$H$32,5,FALSE)))</f>
        <v/>
      </c>
      <c r="I983">
        <f>IF($B983="","",IF(LEFT($B983,1)="━","",VLOOKUP($B983,'4. CÀI ĐẶT'!$A$2:$H$32,6,FALSE)))</f>
        <v/>
      </c>
      <c r="J983" s="13">
        <f>IF($A983="","",EOMONTH($A983,0))</f>
        <v/>
      </c>
      <c r="K983" s="67">
        <f>IF($B983="",0,IF(LEFT($B983,1)="━",0,$C983*VLOOKUP($B983,'4. CÀI ĐẶT'!$A$2:$H$32,7,FALSE)))</f>
        <v/>
      </c>
    </row>
    <row r="984">
      <c r="A984" s="8" t="n"/>
      <c r="B984" s="9" t="n"/>
      <c r="C984" s="65" t="n"/>
      <c r="D984" s="9" t="n"/>
      <c r="E984" s="66">
        <f>IF($B984="","",IF(LEFT($B984,1)="━","⚠️ Chọn hạng mục cụ thể",$C984*VLOOKUP($B984,'4. CÀI ĐẶT'!$A$2:$H$32,2,FALSE)))</f>
        <v/>
      </c>
      <c r="F984" s="67">
        <f>IF($B984="",0,IF(LEFT($B984,1)="━",0,$C984*VLOOKUP($B984,'4. CÀI ĐẶT'!$A$2:$H$32,3,FALSE)))</f>
        <v/>
      </c>
      <c r="G984" s="67">
        <f>IF($B984="",0,IF(LEFT($B984,1)="━",0,$C984*VLOOKUP($B984,'4. CÀI ĐẶT'!$A$2:$H$32,4,FALSE)))</f>
        <v/>
      </c>
      <c r="H984" s="67">
        <f>IF($B984="",0,IF(LEFT($B984,1)="━",0,$C984*VLOOKUP($B984,'4. CÀI ĐẶT'!$A$2:$H$32,5,FALSE)))</f>
        <v/>
      </c>
      <c r="I984">
        <f>IF($B984="","",IF(LEFT($B984,1)="━","",VLOOKUP($B984,'4. CÀI ĐẶT'!$A$2:$H$32,6,FALSE)))</f>
        <v/>
      </c>
      <c r="J984" s="13">
        <f>IF($A984="","",EOMONTH($A984,0))</f>
        <v/>
      </c>
      <c r="K984" s="67">
        <f>IF($B984="",0,IF(LEFT($B984,1)="━",0,$C984*VLOOKUP($B984,'4. CÀI ĐẶT'!$A$2:$H$32,7,FALSE)))</f>
        <v/>
      </c>
    </row>
    <row r="985">
      <c r="A985" s="8" t="n"/>
      <c r="B985" s="9" t="n"/>
      <c r="C985" s="65" t="n"/>
      <c r="D985" s="9" t="n"/>
      <c r="E985" s="66">
        <f>IF($B985="","",IF(LEFT($B985,1)="━","⚠️ Chọn hạng mục cụ thể",$C985*VLOOKUP($B985,'4. CÀI ĐẶT'!$A$2:$H$32,2,FALSE)))</f>
        <v/>
      </c>
      <c r="F985" s="67">
        <f>IF($B985="",0,IF(LEFT($B985,1)="━",0,$C985*VLOOKUP($B985,'4. CÀI ĐẶT'!$A$2:$H$32,3,FALSE)))</f>
        <v/>
      </c>
      <c r="G985" s="67">
        <f>IF($B985="",0,IF(LEFT($B985,1)="━",0,$C985*VLOOKUP($B985,'4. CÀI ĐẶT'!$A$2:$H$32,4,FALSE)))</f>
        <v/>
      </c>
      <c r="H985" s="67">
        <f>IF($B985="",0,IF(LEFT($B985,1)="━",0,$C985*VLOOKUP($B985,'4. CÀI ĐẶT'!$A$2:$H$32,5,FALSE)))</f>
        <v/>
      </c>
      <c r="I985">
        <f>IF($B985="","",IF(LEFT($B985,1)="━","",VLOOKUP($B985,'4. CÀI ĐẶT'!$A$2:$H$32,6,FALSE)))</f>
        <v/>
      </c>
      <c r="J985" s="13">
        <f>IF($A985="","",EOMONTH($A985,0))</f>
        <v/>
      </c>
      <c r="K985" s="67">
        <f>IF($B985="",0,IF(LEFT($B985,1)="━",0,$C985*VLOOKUP($B985,'4. CÀI ĐẶT'!$A$2:$H$32,7,FALSE)))</f>
        <v/>
      </c>
    </row>
    <row r="986">
      <c r="A986" s="8" t="n"/>
      <c r="B986" s="9" t="n"/>
      <c r="C986" s="65" t="n"/>
      <c r="D986" s="9" t="n"/>
      <c r="E986" s="66">
        <f>IF($B986="","",IF(LEFT($B986,1)="━","⚠️ Chọn hạng mục cụ thể",$C986*VLOOKUP($B986,'4. CÀI ĐẶT'!$A$2:$H$32,2,FALSE)))</f>
        <v/>
      </c>
      <c r="F986" s="67">
        <f>IF($B986="",0,IF(LEFT($B986,1)="━",0,$C986*VLOOKUP($B986,'4. CÀI ĐẶT'!$A$2:$H$32,3,FALSE)))</f>
        <v/>
      </c>
      <c r="G986" s="67">
        <f>IF($B986="",0,IF(LEFT($B986,1)="━",0,$C986*VLOOKUP($B986,'4. CÀI ĐẶT'!$A$2:$H$32,4,FALSE)))</f>
        <v/>
      </c>
      <c r="H986" s="67">
        <f>IF($B986="",0,IF(LEFT($B986,1)="━",0,$C986*VLOOKUP($B986,'4. CÀI ĐẶT'!$A$2:$H$32,5,FALSE)))</f>
        <v/>
      </c>
      <c r="I986">
        <f>IF($B986="","",IF(LEFT($B986,1)="━","",VLOOKUP($B986,'4. CÀI ĐẶT'!$A$2:$H$32,6,FALSE)))</f>
        <v/>
      </c>
      <c r="J986" s="13">
        <f>IF($A986="","",EOMONTH($A986,0))</f>
        <v/>
      </c>
      <c r="K986" s="67">
        <f>IF($B986="",0,IF(LEFT($B986,1)="━",0,$C986*VLOOKUP($B986,'4. CÀI ĐẶT'!$A$2:$H$32,7,FALSE)))</f>
        <v/>
      </c>
    </row>
    <row r="987">
      <c r="A987" s="8" t="n"/>
      <c r="B987" s="9" t="n"/>
      <c r="C987" s="65" t="n"/>
      <c r="D987" s="9" t="n"/>
      <c r="E987" s="66">
        <f>IF($B987="","",IF(LEFT($B987,1)="━","⚠️ Chọn hạng mục cụ thể",$C987*VLOOKUP($B987,'4. CÀI ĐẶT'!$A$2:$H$32,2,FALSE)))</f>
        <v/>
      </c>
      <c r="F987" s="67">
        <f>IF($B987="",0,IF(LEFT($B987,1)="━",0,$C987*VLOOKUP($B987,'4. CÀI ĐẶT'!$A$2:$H$32,3,FALSE)))</f>
        <v/>
      </c>
      <c r="G987" s="67">
        <f>IF($B987="",0,IF(LEFT($B987,1)="━",0,$C987*VLOOKUP($B987,'4. CÀI ĐẶT'!$A$2:$H$32,4,FALSE)))</f>
        <v/>
      </c>
      <c r="H987" s="67">
        <f>IF($B987="",0,IF(LEFT($B987,1)="━",0,$C987*VLOOKUP($B987,'4. CÀI ĐẶT'!$A$2:$H$32,5,FALSE)))</f>
        <v/>
      </c>
      <c r="I987">
        <f>IF($B987="","",IF(LEFT($B987,1)="━","",VLOOKUP($B987,'4. CÀI ĐẶT'!$A$2:$H$32,6,FALSE)))</f>
        <v/>
      </c>
      <c r="J987" s="13">
        <f>IF($A987="","",EOMONTH($A987,0))</f>
        <v/>
      </c>
      <c r="K987" s="67">
        <f>IF($B987="",0,IF(LEFT($B987,1)="━",0,$C987*VLOOKUP($B987,'4. CÀI ĐẶT'!$A$2:$H$32,7,FALSE)))</f>
        <v/>
      </c>
    </row>
    <row r="988">
      <c r="A988" s="8" t="n"/>
      <c r="B988" s="9" t="n"/>
      <c r="C988" s="65" t="n"/>
      <c r="D988" s="9" t="n"/>
      <c r="E988" s="66">
        <f>IF($B988="","",IF(LEFT($B988,1)="━","⚠️ Chọn hạng mục cụ thể",$C988*VLOOKUP($B988,'4. CÀI ĐẶT'!$A$2:$H$32,2,FALSE)))</f>
        <v/>
      </c>
      <c r="F988" s="67">
        <f>IF($B988="",0,IF(LEFT($B988,1)="━",0,$C988*VLOOKUP($B988,'4. CÀI ĐẶT'!$A$2:$H$32,3,FALSE)))</f>
        <v/>
      </c>
      <c r="G988" s="67">
        <f>IF($B988="",0,IF(LEFT($B988,1)="━",0,$C988*VLOOKUP($B988,'4. CÀI ĐẶT'!$A$2:$H$32,4,FALSE)))</f>
        <v/>
      </c>
      <c r="H988" s="67">
        <f>IF($B988="",0,IF(LEFT($B988,1)="━",0,$C988*VLOOKUP($B988,'4. CÀI ĐẶT'!$A$2:$H$32,5,FALSE)))</f>
        <v/>
      </c>
      <c r="I988">
        <f>IF($B988="","",IF(LEFT($B988,1)="━","",VLOOKUP($B988,'4. CÀI ĐẶT'!$A$2:$H$32,6,FALSE)))</f>
        <v/>
      </c>
      <c r="J988" s="13">
        <f>IF($A988="","",EOMONTH($A988,0))</f>
        <v/>
      </c>
      <c r="K988" s="67">
        <f>IF($B988="",0,IF(LEFT($B988,1)="━",0,$C988*VLOOKUP($B988,'4. CÀI ĐẶT'!$A$2:$H$32,7,FALSE)))</f>
        <v/>
      </c>
    </row>
    <row r="989">
      <c r="A989" s="8" t="n"/>
      <c r="B989" s="9" t="n"/>
      <c r="C989" s="65" t="n"/>
      <c r="D989" s="9" t="n"/>
      <c r="E989" s="66">
        <f>IF($B989="","",IF(LEFT($B989,1)="━","⚠️ Chọn hạng mục cụ thể",$C989*VLOOKUP($B989,'4. CÀI ĐẶT'!$A$2:$H$32,2,FALSE)))</f>
        <v/>
      </c>
      <c r="F989" s="67">
        <f>IF($B989="",0,IF(LEFT($B989,1)="━",0,$C989*VLOOKUP($B989,'4. CÀI ĐẶT'!$A$2:$H$32,3,FALSE)))</f>
        <v/>
      </c>
      <c r="G989" s="67">
        <f>IF($B989="",0,IF(LEFT($B989,1)="━",0,$C989*VLOOKUP($B989,'4. CÀI ĐẶT'!$A$2:$H$32,4,FALSE)))</f>
        <v/>
      </c>
      <c r="H989" s="67">
        <f>IF($B989="",0,IF(LEFT($B989,1)="━",0,$C989*VLOOKUP($B989,'4. CÀI ĐẶT'!$A$2:$H$32,5,FALSE)))</f>
        <v/>
      </c>
      <c r="I989">
        <f>IF($B989="","",IF(LEFT($B989,1)="━","",VLOOKUP($B989,'4. CÀI ĐẶT'!$A$2:$H$32,6,FALSE)))</f>
        <v/>
      </c>
      <c r="J989" s="13">
        <f>IF($A989="","",EOMONTH($A989,0))</f>
        <v/>
      </c>
      <c r="K989" s="67">
        <f>IF($B989="",0,IF(LEFT($B989,1)="━",0,$C989*VLOOKUP($B989,'4. CÀI ĐẶT'!$A$2:$H$32,7,FALSE)))</f>
        <v/>
      </c>
    </row>
    <row r="990">
      <c r="A990" s="8" t="n"/>
      <c r="B990" s="9" t="n"/>
      <c r="C990" s="65" t="n"/>
      <c r="D990" s="9" t="n"/>
      <c r="E990" s="66">
        <f>IF($B990="","",IF(LEFT($B990,1)="━","⚠️ Chọn hạng mục cụ thể",$C990*VLOOKUP($B990,'4. CÀI ĐẶT'!$A$2:$H$32,2,FALSE)))</f>
        <v/>
      </c>
      <c r="F990" s="67">
        <f>IF($B990="",0,IF(LEFT($B990,1)="━",0,$C990*VLOOKUP($B990,'4. CÀI ĐẶT'!$A$2:$H$32,3,FALSE)))</f>
        <v/>
      </c>
      <c r="G990" s="67">
        <f>IF($B990="",0,IF(LEFT($B990,1)="━",0,$C990*VLOOKUP($B990,'4. CÀI ĐẶT'!$A$2:$H$32,4,FALSE)))</f>
        <v/>
      </c>
      <c r="H990" s="67">
        <f>IF($B990="",0,IF(LEFT($B990,1)="━",0,$C990*VLOOKUP($B990,'4. CÀI ĐẶT'!$A$2:$H$32,5,FALSE)))</f>
        <v/>
      </c>
      <c r="I990">
        <f>IF($B990="","",IF(LEFT($B990,1)="━","",VLOOKUP($B990,'4. CÀI ĐẶT'!$A$2:$H$32,6,FALSE)))</f>
        <v/>
      </c>
      <c r="J990" s="13">
        <f>IF($A990="","",EOMONTH($A990,0))</f>
        <v/>
      </c>
      <c r="K990" s="67">
        <f>IF($B990="",0,IF(LEFT($B990,1)="━",0,$C990*VLOOKUP($B990,'4. CÀI ĐẶT'!$A$2:$H$32,7,FALSE)))</f>
        <v/>
      </c>
    </row>
    <row r="991">
      <c r="A991" s="8" t="n"/>
      <c r="B991" s="9" t="n"/>
      <c r="C991" s="65" t="n"/>
      <c r="D991" s="9" t="n"/>
      <c r="E991" s="66">
        <f>IF($B991="","",IF(LEFT($B991,1)="━","⚠️ Chọn hạng mục cụ thể",$C991*VLOOKUP($B991,'4. CÀI ĐẶT'!$A$2:$H$32,2,FALSE)))</f>
        <v/>
      </c>
      <c r="F991" s="67">
        <f>IF($B991="",0,IF(LEFT($B991,1)="━",0,$C991*VLOOKUP($B991,'4. CÀI ĐẶT'!$A$2:$H$32,3,FALSE)))</f>
        <v/>
      </c>
      <c r="G991" s="67">
        <f>IF($B991="",0,IF(LEFT($B991,1)="━",0,$C991*VLOOKUP($B991,'4. CÀI ĐẶT'!$A$2:$H$32,4,FALSE)))</f>
        <v/>
      </c>
      <c r="H991" s="67">
        <f>IF($B991="",0,IF(LEFT($B991,1)="━",0,$C991*VLOOKUP($B991,'4. CÀI ĐẶT'!$A$2:$H$32,5,FALSE)))</f>
        <v/>
      </c>
      <c r="I991">
        <f>IF($B991="","",IF(LEFT($B991,1)="━","",VLOOKUP($B991,'4. CÀI ĐẶT'!$A$2:$H$32,6,FALSE)))</f>
        <v/>
      </c>
      <c r="J991" s="13">
        <f>IF($A991="","",EOMONTH($A991,0))</f>
        <v/>
      </c>
      <c r="K991" s="67">
        <f>IF($B991="",0,IF(LEFT($B991,1)="━",0,$C991*VLOOKUP($B991,'4. CÀI ĐẶT'!$A$2:$H$32,7,FALSE)))</f>
        <v/>
      </c>
    </row>
    <row r="992">
      <c r="A992" s="8" t="n"/>
      <c r="B992" s="9" t="n"/>
      <c r="C992" s="65" t="n"/>
      <c r="D992" s="9" t="n"/>
      <c r="E992" s="66">
        <f>IF($B992="","",IF(LEFT($B992,1)="━","⚠️ Chọn hạng mục cụ thể",$C992*VLOOKUP($B992,'4. CÀI ĐẶT'!$A$2:$H$32,2,FALSE)))</f>
        <v/>
      </c>
      <c r="F992" s="67">
        <f>IF($B992="",0,IF(LEFT($B992,1)="━",0,$C992*VLOOKUP($B992,'4. CÀI ĐẶT'!$A$2:$H$32,3,FALSE)))</f>
        <v/>
      </c>
      <c r="G992" s="67">
        <f>IF($B992="",0,IF(LEFT($B992,1)="━",0,$C992*VLOOKUP($B992,'4. CÀI ĐẶT'!$A$2:$H$32,4,FALSE)))</f>
        <v/>
      </c>
      <c r="H992" s="67">
        <f>IF($B992="",0,IF(LEFT($B992,1)="━",0,$C992*VLOOKUP($B992,'4. CÀI ĐẶT'!$A$2:$H$32,5,FALSE)))</f>
        <v/>
      </c>
      <c r="I992">
        <f>IF($B992="","",IF(LEFT($B992,1)="━","",VLOOKUP($B992,'4. CÀI ĐẶT'!$A$2:$H$32,6,FALSE)))</f>
        <v/>
      </c>
      <c r="J992" s="13">
        <f>IF($A992="","",EOMONTH($A992,0))</f>
        <v/>
      </c>
      <c r="K992" s="67">
        <f>IF($B992="",0,IF(LEFT($B992,1)="━",0,$C992*VLOOKUP($B992,'4. CÀI ĐẶT'!$A$2:$H$32,7,FALSE)))</f>
        <v/>
      </c>
    </row>
    <row r="993">
      <c r="A993" s="8" t="n"/>
      <c r="B993" s="9" t="n"/>
      <c r="C993" s="65" t="n"/>
      <c r="D993" s="9" t="n"/>
      <c r="E993" s="66">
        <f>IF($B993="","",IF(LEFT($B993,1)="━","⚠️ Chọn hạng mục cụ thể",$C993*VLOOKUP($B993,'4. CÀI ĐẶT'!$A$2:$H$32,2,FALSE)))</f>
        <v/>
      </c>
      <c r="F993" s="67">
        <f>IF($B993="",0,IF(LEFT($B993,1)="━",0,$C993*VLOOKUP($B993,'4. CÀI ĐẶT'!$A$2:$H$32,3,FALSE)))</f>
        <v/>
      </c>
      <c r="G993" s="67">
        <f>IF($B993="",0,IF(LEFT($B993,1)="━",0,$C993*VLOOKUP($B993,'4. CÀI ĐẶT'!$A$2:$H$32,4,FALSE)))</f>
        <v/>
      </c>
      <c r="H993" s="67">
        <f>IF($B993="",0,IF(LEFT($B993,1)="━",0,$C993*VLOOKUP($B993,'4. CÀI ĐẶT'!$A$2:$H$32,5,FALSE)))</f>
        <v/>
      </c>
      <c r="I993">
        <f>IF($B993="","",IF(LEFT($B993,1)="━","",VLOOKUP($B993,'4. CÀI ĐẶT'!$A$2:$H$32,6,FALSE)))</f>
        <v/>
      </c>
      <c r="J993" s="13">
        <f>IF($A993="","",EOMONTH($A993,0))</f>
        <v/>
      </c>
      <c r="K993" s="67">
        <f>IF($B993="",0,IF(LEFT($B993,1)="━",0,$C993*VLOOKUP($B993,'4. CÀI ĐẶT'!$A$2:$H$32,7,FALSE)))</f>
        <v/>
      </c>
    </row>
    <row r="994">
      <c r="A994" s="8" t="n"/>
      <c r="B994" s="9" t="n"/>
      <c r="C994" s="65" t="n"/>
      <c r="D994" s="9" t="n"/>
      <c r="E994" s="66">
        <f>IF($B994="","",IF(LEFT($B994,1)="━","⚠️ Chọn hạng mục cụ thể",$C994*VLOOKUP($B994,'4. CÀI ĐẶT'!$A$2:$H$32,2,FALSE)))</f>
        <v/>
      </c>
      <c r="F994" s="67">
        <f>IF($B994="",0,IF(LEFT($B994,1)="━",0,$C994*VLOOKUP($B994,'4. CÀI ĐẶT'!$A$2:$H$32,3,FALSE)))</f>
        <v/>
      </c>
      <c r="G994" s="67">
        <f>IF($B994="",0,IF(LEFT($B994,1)="━",0,$C994*VLOOKUP($B994,'4. CÀI ĐẶT'!$A$2:$H$32,4,FALSE)))</f>
        <v/>
      </c>
      <c r="H994" s="67">
        <f>IF($B994="",0,IF(LEFT($B994,1)="━",0,$C994*VLOOKUP($B994,'4. CÀI ĐẶT'!$A$2:$H$32,5,FALSE)))</f>
        <v/>
      </c>
      <c r="I994">
        <f>IF($B994="","",IF(LEFT($B994,1)="━","",VLOOKUP($B994,'4. CÀI ĐẶT'!$A$2:$H$32,6,FALSE)))</f>
        <v/>
      </c>
      <c r="J994" s="13">
        <f>IF($A994="","",EOMONTH($A994,0))</f>
        <v/>
      </c>
      <c r="K994" s="67">
        <f>IF($B994="",0,IF(LEFT($B994,1)="━",0,$C994*VLOOKUP($B994,'4. CÀI ĐẶT'!$A$2:$H$32,7,FALSE)))</f>
        <v/>
      </c>
    </row>
    <row r="995">
      <c r="A995" s="8" t="n"/>
      <c r="B995" s="9" t="n"/>
      <c r="C995" s="65" t="n"/>
      <c r="D995" s="9" t="n"/>
      <c r="E995" s="66">
        <f>IF($B995="","",IF(LEFT($B995,1)="━","⚠️ Chọn hạng mục cụ thể",$C995*VLOOKUP($B995,'4. CÀI ĐẶT'!$A$2:$H$32,2,FALSE)))</f>
        <v/>
      </c>
      <c r="F995" s="67">
        <f>IF($B995="",0,IF(LEFT($B995,1)="━",0,$C995*VLOOKUP($B995,'4. CÀI ĐẶT'!$A$2:$H$32,3,FALSE)))</f>
        <v/>
      </c>
      <c r="G995" s="67">
        <f>IF($B995="",0,IF(LEFT($B995,1)="━",0,$C995*VLOOKUP($B995,'4. CÀI ĐẶT'!$A$2:$H$32,4,FALSE)))</f>
        <v/>
      </c>
      <c r="H995" s="67">
        <f>IF($B995="",0,IF(LEFT($B995,1)="━",0,$C995*VLOOKUP($B995,'4. CÀI ĐẶT'!$A$2:$H$32,5,FALSE)))</f>
        <v/>
      </c>
      <c r="I995">
        <f>IF($B995="","",IF(LEFT($B995,1)="━","",VLOOKUP($B995,'4. CÀI ĐẶT'!$A$2:$H$32,6,FALSE)))</f>
        <v/>
      </c>
      <c r="J995" s="13">
        <f>IF($A995="","",EOMONTH($A995,0))</f>
        <v/>
      </c>
      <c r="K995" s="67">
        <f>IF($B995="",0,IF(LEFT($B995,1)="━",0,$C995*VLOOKUP($B995,'4. CÀI ĐẶT'!$A$2:$H$32,7,FALSE)))</f>
        <v/>
      </c>
    </row>
    <row r="996">
      <c r="A996" s="8" t="n"/>
      <c r="B996" s="9" t="n"/>
      <c r="C996" s="65" t="n"/>
      <c r="D996" s="9" t="n"/>
      <c r="E996" s="66">
        <f>IF($B996="","",IF(LEFT($B996,1)="━","⚠️ Chọn hạng mục cụ thể",$C996*VLOOKUP($B996,'4. CÀI ĐẶT'!$A$2:$H$32,2,FALSE)))</f>
        <v/>
      </c>
      <c r="F996" s="67">
        <f>IF($B996="",0,IF(LEFT($B996,1)="━",0,$C996*VLOOKUP($B996,'4. CÀI ĐẶT'!$A$2:$H$32,3,FALSE)))</f>
        <v/>
      </c>
      <c r="G996" s="67">
        <f>IF($B996="",0,IF(LEFT($B996,1)="━",0,$C996*VLOOKUP($B996,'4. CÀI ĐẶT'!$A$2:$H$32,4,FALSE)))</f>
        <v/>
      </c>
      <c r="H996" s="67">
        <f>IF($B996="",0,IF(LEFT($B996,1)="━",0,$C996*VLOOKUP($B996,'4. CÀI ĐẶT'!$A$2:$H$32,5,FALSE)))</f>
        <v/>
      </c>
      <c r="I996">
        <f>IF($B996="","",IF(LEFT($B996,1)="━","",VLOOKUP($B996,'4. CÀI ĐẶT'!$A$2:$H$32,6,FALSE)))</f>
        <v/>
      </c>
      <c r="J996" s="13">
        <f>IF($A996="","",EOMONTH($A996,0))</f>
        <v/>
      </c>
      <c r="K996" s="67">
        <f>IF($B996="",0,IF(LEFT($B996,1)="━",0,$C996*VLOOKUP($B996,'4. CÀI ĐẶT'!$A$2:$H$32,7,FALSE)))</f>
        <v/>
      </c>
    </row>
    <row r="997">
      <c r="A997" s="8" t="n"/>
      <c r="B997" s="9" t="n"/>
      <c r="C997" s="65" t="n"/>
      <c r="D997" s="9" t="n"/>
      <c r="E997" s="66">
        <f>IF($B997="","",IF(LEFT($B997,1)="━","⚠️ Chọn hạng mục cụ thể",$C997*VLOOKUP($B997,'4. CÀI ĐẶT'!$A$2:$H$32,2,FALSE)))</f>
        <v/>
      </c>
      <c r="F997" s="67">
        <f>IF($B997="",0,IF(LEFT($B997,1)="━",0,$C997*VLOOKUP($B997,'4. CÀI ĐẶT'!$A$2:$H$32,3,FALSE)))</f>
        <v/>
      </c>
      <c r="G997" s="67">
        <f>IF($B997="",0,IF(LEFT($B997,1)="━",0,$C997*VLOOKUP($B997,'4. CÀI ĐẶT'!$A$2:$H$32,4,FALSE)))</f>
        <v/>
      </c>
      <c r="H997" s="67">
        <f>IF($B997="",0,IF(LEFT($B997,1)="━",0,$C997*VLOOKUP($B997,'4. CÀI ĐẶT'!$A$2:$H$32,5,FALSE)))</f>
        <v/>
      </c>
      <c r="I997">
        <f>IF($B997="","",IF(LEFT($B997,1)="━","",VLOOKUP($B997,'4. CÀI ĐẶT'!$A$2:$H$32,6,FALSE)))</f>
        <v/>
      </c>
      <c r="J997" s="13">
        <f>IF($A997="","",EOMONTH($A997,0))</f>
        <v/>
      </c>
      <c r="K997" s="67">
        <f>IF($B997="",0,IF(LEFT($B997,1)="━",0,$C997*VLOOKUP($B997,'4. CÀI ĐẶT'!$A$2:$H$32,7,FALSE)))</f>
        <v/>
      </c>
    </row>
    <row r="998">
      <c r="A998" s="8" t="n"/>
      <c r="B998" s="9" t="n"/>
      <c r="C998" s="65" t="n"/>
      <c r="D998" s="9" t="n"/>
      <c r="E998" s="66">
        <f>IF($B998="","",IF(LEFT($B998,1)="━","⚠️ Chọn hạng mục cụ thể",$C998*VLOOKUP($B998,'4. CÀI ĐẶT'!$A$2:$H$32,2,FALSE)))</f>
        <v/>
      </c>
      <c r="F998" s="67">
        <f>IF($B998="",0,IF(LEFT($B998,1)="━",0,$C998*VLOOKUP($B998,'4. CÀI ĐẶT'!$A$2:$H$32,3,FALSE)))</f>
        <v/>
      </c>
      <c r="G998" s="67">
        <f>IF($B998="",0,IF(LEFT($B998,1)="━",0,$C998*VLOOKUP($B998,'4. CÀI ĐẶT'!$A$2:$H$32,4,FALSE)))</f>
        <v/>
      </c>
      <c r="H998" s="67">
        <f>IF($B998="",0,IF(LEFT($B998,1)="━",0,$C998*VLOOKUP($B998,'4. CÀI ĐẶT'!$A$2:$H$32,5,FALSE)))</f>
        <v/>
      </c>
      <c r="I998">
        <f>IF($B998="","",IF(LEFT($B998,1)="━","",VLOOKUP($B998,'4. CÀI ĐẶT'!$A$2:$H$32,6,FALSE)))</f>
        <v/>
      </c>
      <c r="J998" s="13">
        <f>IF($A998="","",EOMONTH($A998,0))</f>
        <v/>
      </c>
      <c r="K998" s="67">
        <f>IF($B998="",0,IF(LEFT($B998,1)="━",0,$C998*VLOOKUP($B998,'4. CÀI ĐẶT'!$A$2:$H$32,7,FALSE)))</f>
        <v/>
      </c>
    </row>
    <row r="999">
      <c r="A999" s="8" t="n"/>
      <c r="B999" s="9" t="n"/>
      <c r="C999" s="65" t="n"/>
      <c r="D999" s="9" t="n"/>
      <c r="E999" s="66">
        <f>IF($B999="","",IF(LEFT($B999,1)="━","⚠️ Chọn hạng mục cụ thể",$C999*VLOOKUP($B999,'4. CÀI ĐẶT'!$A$2:$H$32,2,FALSE)))</f>
        <v/>
      </c>
      <c r="F999" s="67">
        <f>IF($B999="",0,IF(LEFT($B999,1)="━",0,$C999*VLOOKUP($B999,'4. CÀI ĐẶT'!$A$2:$H$32,3,FALSE)))</f>
        <v/>
      </c>
      <c r="G999" s="67">
        <f>IF($B999="",0,IF(LEFT($B999,1)="━",0,$C999*VLOOKUP($B999,'4. CÀI ĐẶT'!$A$2:$H$32,4,FALSE)))</f>
        <v/>
      </c>
      <c r="H999" s="67">
        <f>IF($B999="",0,IF(LEFT($B999,1)="━",0,$C999*VLOOKUP($B999,'4. CÀI ĐẶT'!$A$2:$H$32,5,FALSE)))</f>
        <v/>
      </c>
      <c r="I999">
        <f>IF($B999="","",IF(LEFT($B999,1)="━","",VLOOKUP($B999,'4. CÀI ĐẶT'!$A$2:$H$32,6,FALSE)))</f>
        <v/>
      </c>
      <c r="J999" s="13">
        <f>IF($A999="","",EOMONTH($A999,0))</f>
        <v/>
      </c>
      <c r="K999" s="67">
        <f>IF($B999="",0,IF(LEFT($B999,1)="━",0,$C999*VLOOKUP($B999,'4. CÀI ĐẶT'!$A$2:$H$32,7,FALSE)))</f>
        <v/>
      </c>
    </row>
    <row r="1000">
      <c r="A1000" s="8" t="n"/>
      <c r="B1000" s="9" t="n"/>
      <c r="C1000" s="65" t="n"/>
      <c r="D1000" s="9" t="n"/>
      <c r="E1000" s="66">
        <f>IF($B1000="","",IF(LEFT($B1000,1)="━","⚠️ Chọn hạng mục cụ thể",$C1000*VLOOKUP($B1000,'4. CÀI ĐẶT'!$A$2:$H$32,2,FALSE)))</f>
        <v/>
      </c>
      <c r="F1000" s="67">
        <f>IF($B1000="",0,IF(LEFT($B1000,1)="━",0,$C1000*VLOOKUP($B1000,'4. CÀI ĐẶT'!$A$2:$H$32,3,FALSE)))</f>
        <v/>
      </c>
      <c r="G1000" s="67">
        <f>IF($B1000="",0,IF(LEFT($B1000,1)="━",0,$C1000*VLOOKUP($B1000,'4. CÀI ĐẶT'!$A$2:$H$32,4,FALSE)))</f>
        <v/>
      </c>
      <c r="H1000" s="67">
        <f>IF($B1000="",0,IF(LEFT($B1000,1)="━",0,$C1000*VLOOKUP($B1000,'4. CÀI ĐẶT'!$A$2:$H$32,5,FALSE)))</f>
        <v/>
      </c>
      <c r="I1000">
        <f>IF($B1000="","",IF(LEFT($B1000,1)="━","",VLOOKUP($B1000,'4. CÀI ĐẶT'!$A$2:$H$32,6,FALSE)))</f>
        <v/>
      </c>
      <c r="J1000" s="13">
        <f>IF($A1000="","",EOMONTH($A1000,0))</f>
        <v/>
      </c>
      <c r="K1000" s="67">
        <f>IF($B1000="",0,IF(LEFT($B1000,1)="━",0,$C1000*VLOOKUP($B1000,'4. CÀI ĐẶT'!$A$2:$H$32,7,FALSE)))</f>
        <v/>
      </c>
    </row>
    <row r="1001">
      <c r="A1001" s="8" t="n"/>
      <c r="B1001" s="9" t="n"/>
      <c r="C1001" s="65" t="n"/>
      <c r="D1001" s="9" t="n"/>
      <c r="E1001" s="66">
        <f>IF($B1001="","",IF(LEFT($B1001,1)="━","⚠️ Chọn hạng mục cụ thể",$C1001*VLOOKUP($B1001,'4. CÀI ĐẶT'!$A$2:$H$32,2,FALSE)))</f>
        <v/>
      </c>
      <c r="F1001" s="67">
        <f>IF($B1001="",0,IF(LEFT($B1001,1)="━",0,$C1001*VLOOKUP($B1001,'4. CÀI ĐẶT'!$A$2:$H$32,3,FALSE)))</f>
        <v/>
      </c>
      <c r="G1001" s="67">
        <f>IF($B1001="",0,IF(LEFT($B1001,1)="━",0,$C1001*VLOOKUP($B1001,'4. CÀI ĐẶT'!$A$2:$H$32,4,FALSE)))</f>
        <v/>
      </c>
      <c r="H1001" s="67">
        <f>IF($B1001="",0,IF(LEFT($B1001,1)="━",0,$C1001*VLOOKUP($B1001,'4. CÀI ĐẶT'!$A$2:$H$32,5,FALSE)))</f>
        <v/>
      </c>
      <c r="I1001">
        <f>IF($B1001="","",IF(LEFT($B1001,1)="━","",VLOOKUP($B1001,'4. CÀI ĐẶT'!$A$2:$H$32,6,FALSE)))</f>
        <v/>
      </c>
      <c r="J1001" s="13">
        <f>IF($A1001="","",EOMONTH($A1001,0))</f>
        <v/>
      </c>
      <c r="K1001" s="67">
        <f>IF($B1001="",0,IF(LEFT($B1001,1)="━",0,$C1001*VLOOKUP($B1001,'4. CÀI ĐẶT'!$A$2:$H$32,7,FALSE)))</f>
        <v/>
      </c>
    </row>
    <row r="1002">
      <c r="A1002" s="8" t="n"/>
      <c r="B1002" s="9" t="n"/>
      <c r="C1002" s="65" t="n"/>
      <c r="D1002" s="9" t="n"/>
      <c r="E1002" s="66">
        <f>IF($B1002="","",IF(LEFT($B1002,1)="━","⚠️ Chọn hạng mục cụ thể",$C1002*VLOOKUP($B1002,'4. CÀI ĐẶT'!$A$2:$H$32,2,FALSE)))</f>
        <v/>
      </c>
      <c r="F1002" s="67">
        <f>IF($B1002="",0,IF(LEFT($B1002,1)="━",0,$C1002*VLOOKUP($B1002,'4. CÀI ĐẶT'!$A$2:$H$32,3,FALSE)))</f>
        <v/>
      </c>
      <c r="G1002" s="67">
        <f>IF($B1002="",0,IF(LEFT($B1002,1)="━",0,$C1002*VLOOKUP($B1002,'4. CÀI ĐẶT'!$A$2:$H$32,4,FALSE)))</f>
        <v/>
      </c>
      <c r="H1002" s="67">
        <f>IF($B1002="",0,IF(LEFT($B1002,1)="━",0,$C1002*VLOOKUP($B1002,'4. CÀI ĐẶT'!$A$2:$H$32,5,FALSE)))</f>
        <v/>
      </c>
      <c r="I1002">
        <f>IF($B1002="","",IF(LEFT($B1002,1)="━","",VLOOKUP($B1002,'4. CÀI ĐẶT'!$A$2:$H$32,6,FALSE)))</f>
        <v/>
      </c>
      <c r="J1002" s="13">
        <f>IF($A1002="","",EOMONTH($A1002,0))</f>
        <v/>
      </c>
      <c r="K1002" s="67">
        <f>IF($B1002="",0,IF(LEFT($B1002,1)="━",0,$C1002*VLOOKUP($B1002,'4. CÀI ĐẶT'!$A$2:$H$32,7,FALSE)))</f>
        <v/>
      </c>
    </row>
    <row r="1003">
      <c r="A1003" s="8" t="n"/>
      <c r="B1003" s="9" t="n"/>
      <c r="C1003" s="65" t="n"/>
      <c r="D1003" s="9" t="n"/>
      <c r="E1003" s="66">
        <f>IF($B1003="","",IF(LEFT($B1003,1)="━","⚠️ Chọn hạng mục cụ thể",$C1003*VLOOKUP($B1003,'4. CÀI ĐẶT'!$A$2:$H$32,2,FALSE)))</f>
        <v/>
      </c>
      <c r="F1003" s="67">
        <f>IF($B1003="",0,IF(LEFT($B1003,1)="━",0,$C1003*VLOOKUP($B1003,'4. CÀI ĐẶT'!$A$2:$H$32,3,FALSE)))</f>
        <v/>
      </c>
      <c r="G1003" s="67">
        <f>IF($B1003="",0,IF(LEFT($B1003,1)="━",0,$C1003*VLOOKUP($B1003,'4. CÀI ĐẶT'!$A$2:$H$32,4,FALSE)))</f>
        <v/>
      </c>
      <c r="H1003" s="67">
        <f>IF($B1003="",0,IF(LEFT($B1003,1)="━",0,$C1003*VLOOKUP($B1003,'4. CÀI ĐẶT'!$A$2:$H$32,5,FALSE)))</f>
        <v/>
      </c>
      <c r="I1003">
        <f>IF($B1003="","",IF(LEFT($B1003,1)="━","",VLOOKUP($B1003,'4. CÀI ĐẶT'!$A$2:$H$32,6,FALSE)))</f>
        <v/>
      </c>
      <c r="J1003" s="13">
        <f>IF($A1003="","",EOMONTH($A1003,0))</f>
        <v/>
      </c>
      <c r="K1003" s="67">
        <f>IF($B1003="",0,IF(LEFT($B1003,1)="━",0,$C1003*VLOOKUP($B1003,'4. CÀI ĐẶT'!$A$2:$H$32,7,FALSE)))</f>
        <v/>
      </c>
    </row>
    <row r="1004">
      <c r="A1004" s="8" t="n"/>
      <c r="B1004" s="9" t="n"/>
      <c r="C1004" s="65" t="n"/>
      <c r="D1004" s="9" t="n"/>
      <c r="E1004" s="66">
        <f>IF($B1004="","",IF(LEFT($B1004,1)="━","⚠️ Chọn hạng mục cụ thể",$C1004*VLOOKUP($B1004,'4. CÀI ĐẶT'!$A$2:$H$32,2,FALSE)))</f>
        <v/>
      </c>
      <c r="F1004" s="67">
        <f>IF($B1004="",0,IF(LEFT($B1004,1)="━",0,$C1004*VLOOKUP($B1004,'4. CÀI ĐẶT'!$A$2:$H$32,3,FALSE)))</f>
        <v/>
      </c>
      <c r="G1004" s="67">
        <f>IF($B1004="",0,IF(LEFT($B1004,1)="━",0,$C1004*VLOOKUP($B1004,'4. CÀI ĐẶT'!$A$2:$H$32,4,FALSE)))</f>
        <v/>
      </c>
      <c r="H1004" s="67">
        <f>IF($B1004="",0,IF(LEFT($B1004,1)="━",0,$C1004*VLOOKUP($B1004,'4. CÀI ĐẶT'!$A$2:$H$32,5,FALSE)))</f>
        <v/>
      </c>
      <c r="I1004">
        <f>IF($B1004="","",IF(LEFT($B1004,1)="━","",VLOOKUP($B1004,'4. CÀI ĐẶT'!$A$2:$H$32,6,FALSE)))</f>
        <v/>
      </c>
      <c r="J1004" s="13">
        <f>IF($A1004="","",EOMONTH($A1004,0))</f>
        <v/>
      </c>
      <c r="K1004" s="67">
        <f>IF($B1004="",0,IF(LEFT($B1004,1)="━",0,$C1004*VLOOKUP($B1004,'4. CÀI ĐẶT'!$A$2:$H$32,7,FALSE)))</f>
        <v/>
      </c>
    </row>
    <row r="1005">
      <c r="A1005" s="8" t="n"/>
      <c r="B1005" s="9" t="n"/>
      <c r="C1005" s="65" t="n"/>
      <c r="D1005" s="9" t="n"/>
      <c r="E1005" s="66">
        <f>IF($B1005="","",IF(LEFT($B1005,1)="━","⚠️ Chọn hạng mục cụ thể",$C1005*VLOOKUP($B1005,'4. CÀI ĐẶT'!$A$2:$H$32,2,FALSE)))</f>
        <v/>
      </c>
      <c r="F1005" s="67">
        <f>IF($B1005="",0,IF(LEFT($B1005,1)="━",0,$C1005*VLOOKUP($B1005,'4. CÀI ĐẶT'!$A$2:$H$32,3,FALSE)))</f>
        <v/>
      </c>
      <c r="G1005" s="67">
        <f>IF($B1005="",0,IF(LEFT($B1005,1)="━",0,$C1005*VLOOKUP($B1005,'4. CÀI ĐẶT'!$A$2:$H$32,4,FALSE)))</f>
        <v/>
      </c>
      <c r="H1005" s="67">
        <f>IF($B1005="",0,IF(LEFT($B1005,1)="━",0,$C1005*VLOOKUP($B1005,'4. CÀI ĐẶT'!$A$2:$H$32,5,FALSE)))</f>
        <v/>
      </c>
      <c r="I1005">
        <f>IF($B1005="","",IF(LEFT($B1005,1)="━","",VLOOKUP($B1005,'4. CÀI ĐẶT'!$A$2:$H$32,6,FALSE)))</f>
        <v/>
      </c>
      <c r="J1005" s="13">
        <f>IF($A1005="","",EOMONTH($A1005,0))</f>
        <v/>
      </c>
      <c r="K1005" s="67">
        <f>IF($B1005="",0,IF(LEFT($B1005,1)="━",0,$C1005*VLOOKUP($B1005,'4. CÀI ĐẶT'!$A$2:$H$32,7,FALSE)))</f>
        <v/>
      </c>
    </row>
    <row r="1006">
      <c r="A1006" s="8" t="n"/>
      <c r="B1006" s="9" t="n"/>
      <c r="C1006" s="65" t="n"/>
      <c r="D1006" s="9" t="n"/>
      <c r="E1006" s="66">
        <f>IF($B1006="","",IF(LEFT($B1006,1)="━","⚠️ Chọn hạng mục cụ thể",$C1006*VLOOKUP($B1006,'4. CÀI ĐẶT'!$A$2:$H$32,2,FALSE)))</f>
        <v/>
      </c>
      <c r="F1006" s="67">
        <f>IF($B1006="",0,IF(LEFT($B1006,1)="━",0,$C1006*VLOOKUP($B1006,'4. CÀI ĐẶT'!$A$2:$H$32,3,FALSE)))</f>
        <v/>
      </c>
      <c r="G1006" s="67">
        <f>IF($B1006="",0,IF(LEFT($B1006,1)="━",0,$C1006*VLOOKUP($B1006,'4. CÀI ĐẶT'!$A$2:$H$32,4,FALSE)))</f>
        <v/>
      </c>
      <c r="H1006" s="67">
        <f>IF($B1006="",0,IF(LEFT($B1006,1)="━",0,$C1006*VLOOKUP($B1006,'4. CÀI ĐẶT'!$A$2:$H$32,5,FALSE)))</f>
        <v/>
      </c>
      <c r="I1006">
        <f>IF($B1006="","",IF(LEFT($B1006,1)="━","",VLOOKUP($B1006,'4. CÀI ĐẶT'!$A$2:$H$32,6,FALSE)))</f>
        <v/>
      </c>
      <c r="J1006" s="13">
        <f>IF($A1006="","",EOMONTH($A1006,0))</f>
        <v/>
      </c>
      <c r="K1006" s="67">
        <f>IF($B1006="",0,IF(LEFT($B1006,1)="━",0,$C1006*VLOOKUP($B1006,'4. CÀI ĐẶT'!$A$2:$H$32,7,FALSE)))</f>
        <v/>
      </c>
    </row>
    <row r="1007">
      <c r="A1007" s="8" t="n"/>
      <c r="B1007" s="9" t="n"/>
      <c r="C1007" s="65" t="n"/>
      <c r="D1007" s="9" t="n"/>
      <c r="E1007" s="66">
        <f>IF($B1007="","",IF(LEFT($B1007,1)="━","⚠️ Chọn hạng mục cụ thể",$C1007*VLOOKUP($B1007,'4. CÀI ĐẶT'!$A$2:$H$32,2,FALSE)))</f>
        <v/>
      </c>
      <c r="F1007" s="67">
        <f>IF($B1007="",0,IF(LEFT($B1007,1)="━",0,$C1007*VLOOKUP($B1007,'4. CÀI ĐẶT'!$A$2:$H$32,3,FALSE)))</f>
        <v/>
      </c>
      <c r="G1007" s="67">
        <f>IF($B1007="",0,IF(LEFT($B1007,1)="━",0,$C1007*VLOOKUP($B1007,'4. CÀI ĐẶT'!$A$2:$H$32,4,FALSE)))</f>
        <v/>
      </c>
      <c r="H1007" s="67">
        <f>IF($B1007="",0,IF(LEFT($B1007,1)="━",0,$C1007*VLOOKUP($B1007,'4. CÀI ĐẶT'!$A$2:$H$32,5,FALSE)))</f>
        <v/>
      </c>
      <c r="I1007">
        <f>IF($B1007="","",IF(LEFT($B1007,1)="━","",VLOOKUP($B1007,'4. CÀI ĐẶT'!$A$2:$H$32,6,FALSE)))</f>
        <v/>
      </c>
      <c r="J1007" s="13">
        <f>IF($A1007="","",EOMONTH($A1007,0))</f>
        <v/>
      </c>
      <c r="K1007" s="67">
        <f>IF($B1007="",0,IF(LEFT($B1007,1)="━",0,$C1007*VLOOKUP($B1007,'4. CÀI ĐẶT'!$A$2:$H$32,7,FALSE)))</f>
        <v/>
      </c>
    </row>
    <row r="1008">
      <c r="A1008" s="8" t="n"/>
      <c r="B1008" s="9" t="n"/>
      <c r="C1008" s="65" t="n"/>
      <c r="D1008" s="9" t="n"/>
      <c r="E1008" s="66">
        <f>IF($B1008="","",IF(LEFT($B1008,1)="━","⚠️ Chọn hạng mục cụ thể",$C1008*VLOOKUP($B1008,'4. CÀI ĐẶT'!$A$2:$H$32,2,FALSE)))</f>
        <v/>
      </c>
      <c r="F1008" s="67">
        <f>IF($B1008="",0,IF(LEFT($B1008,1)="━",0,$C1008*VLOOKUP($B1008,'4. CÀI ĐẶT'!$A$2:$H$32,3,FALSE)))</f>
        <v/>
      </c>
      <c r="G1008" s="67">
        <f>IF($B1008="",0,IF(LEFT($B1008,1)="━",0,$C1008*VLOOKUP($B1008,'4. CÀI ĐẶT'!$A$2:$H$32,4,FALSE)))</f>
        <v/>
      </c>
      <c r="H1008" s="67">
        <f>IF($B1008="",0,IF(LEFT($B1008,1)="━",0,$C1008*VLOOKUP($B1008,'4. CÀI ĐẶT'!$A$2:$H$32,5,FALSE)))</f>
        <v/>
      </c>
      <c r="I1008">
        <f>IF($B1008="","",IF(LEFT($B1008,1)="━","",VLOOKUP($B1008,'4. CÀI ĐẶT'!$A$2:$H$32,6,FALSE)))</f>
        <v/>
      </c>
      <c r="J1008" s="13">
        <f>IF($A1008="","",EOMONTH($A1008,0))</f>
        <v/>
      </c>
      <c r="K1008" s="67">
        <f>IF($B1008="",0,IF(LEFT($B1008,1)="━",0,$C1008*VLOOKUP($B1008,'4. CÀI ĐẶT'!$A$2:$H$32,7,FALSE)))</f>
        <v/>
      </c>
    </row>
    <row r="1009">
      <c r="A1009" s="8" t="n"/>
      <c r="B1009" s="9" t="n"/>
      <c r="C1009" s="65" t="n"/>
      <c r="D1009" s="9" t="n"/>
      <c r="E1009" s="66">
        <f>IF($B1009="","",IF(LEFT($B1009,1)="━","⚠️ Chọn hạng mục cụ thể",$C1009*VLOOKUP($B1009,'4. CÀI ĐẶT'!$A$2:$H$32,2,FALSE)))</f>
        <v/>
      </c>
      <c r="F1009" s="67">
        <f>IF($B1009="",0,IF(LEFT($B1009,1)="━",0,$C1009*VLOOKUP($B1009,'4. CÀI ĐẶT'!$A$2:$H$32,3,FALSE)))</f>
        <v/>
      </c>
      <c r="G1009" s="67">
        <f>IF($B1009="",0,IF(LEFT($B1009,1)="━",0,$C1009*VLOOKUP($B1009,'4. CÀI ĐẶT'!$A$2:$H$32,4,FALSE)))</f>
        <v/>
      </c>
      <c r="H1009" s="67">
        <f>IF($B1009="",0,IF(LEFT($B1009,1)="━",0,$C1009*VLOOKUP($B1009,'4. CÀI ĐẶT'!$A$2:$H$32,5,FALSE)))</f>
        <v/>
      </c>
      <c r="I1009">
        <f>IF($B1009="","",IF(LEFT($B1009,1)="━","",VLOOKUP($B1009,'4. CÀI ĐẶT'!$A$2:$H$32,6,FALSE)))</f>
        <v/>
      </c>
      <c r="J1009" s="13">
        <f>IF($A1009="","",EOMONTH($A1009,0))</f>
        <v/>
      </c>
      <c r="K1009" s="67">
        <f>IF($B1009="",0,IF(LEFT($B1009,1)="━",0,$C1009*VLOOKUP($B1009,'4. CÀI ĐẶT'!$A$2:$H$32,7,FALSE)))</f>
        <v/>
      </c>
    </row>
    <row r="1010">
      <c r="A1010" s="8" t="n"/>
      <c r="B1010" s="9" t="n"/>
      <c r="C1010" s="65" t="n"/>
      <c r="D1010" s="9" t="n"/>
      <c r="E1010" s="66">
        <f>IF($B1010="","",IF(LEFT($B1010,1)="━","⚠️ Chọn hạng mục cụ thể",$C1010*VLOOKUP($B1010,'4. CÀI ĐẶT'!$A$2:$H$32,2,FALSE)))</f>
        <v/>
      </c>
      <c r="F1010" s="67">
        <f>IF($B1010="",0,IF(LEFT($B1010,1)="━",0,$C1010*VLOOKUP($B1010,'4. CÀI ĐẶT'!$A$2:$H$32,3,FALSE)))</f>
        <v/>
      </c>
      <c r="G1010" s="67">
        <f>IF($B1010="",0,IF(LEFT($B1010,1)="━",0,$C1010*VLOOKUP($B1010,'4. CÀI ĐẶT'!$A$2:$H$32,4,FALSE)))</f>
        <v/>
      </c>
      <c r="H1010" s="67">
        <f>IF($B1010="",0,IF(LEFT($B1010,1)="━",0,$C1010*VLOOKUP($B1010,'4. CÀI ĐẶT'!$A$2:$H$32,5,FALSE)))</f>
        <v/>
      </c>
      <c r="I1010">
        <f>IF($B1010="","",IF(LEFT($B1010,1)="━","",VLOOKUP($B1010,'4. CÀI ĐẶT'!$A$2:$H$32,6,FALSE)))</f>
        <v/>
      </c>
      <c r="J1010" s="13">
        <f>IF($A1010="","",EOMONTH($A1010,0))</f>
        <v/>
      </c>
      <c r="K1010" s="67">
        <f>IF($B1010="",0,IF(LEFT($B1010,1)="━",0,$C1010*VLOOKUP($B1010,'4. CÀI ĐẶT'!$A$2:$H$32,7,FALSE)))</f>
        <v/>
      </c>
    </row>
    <row r="1011">
      <c r="A1011" s="8" t="n"/>
      <c r="B1011" s="9" t="n"/>
      <c r="C1011" s="65" t="n"/>
      <c r="D1011" s="9" t="n"/>
      <c r="E1011" s="66">
        <f>IF($B1011="","",IF(LEFT($B1011,1)="━","⚠️ Chọn hạng mục cụ thể",$C1011*VLOOKUP($B1011,'4. CÀI ĐẶT'!$A$2:$H$32,2,FALSE)))</f>
        <v/>
      </c>
      <c r="F1011" s="67">
        <f>IF($B1011="",0,IF(LEFT($B1011,1)="━",0,$C1011*VLOOKUP($B1011,'4. CÀI ĐẶT'!$A$2:$H$32,3,FALSE)))</f>
        <v/>
      </c>
      <c r="G1011" s="67">
        <f>IF($B1011="",0,IF(LEFT($B1011,1)="━",0,$C1011*VLOOKUP($B1011,'4. CÀI ĐẶT'!$A$2:$H$32,4,FALSE)))</f>
        <v/>
      </c>
      <c r="H1011" s="67">
        <f>IF($B1011="",0,IF(LEFT($B1011,1)="━",0,$C1011*VLOOKUP($B1011,'4. CÀI ĐẶT'!$A$2:$H$32,5,FALSE)))</f>
        <v/>
      </c>
      <c r="I1011">
        <f>IF($B1011="","",IF(LEFT($B1011,1)="━","",VLOOKUP($B1011,'4. CÀI ĐẶT'!$A$2:$H$32,6,FALSE)))</f>
        <v/>
      </c>
      <c r="J1011" s="13">
        <f>IF($A1011="","",EOMONTH($A1011,0))</f>
        <v/>
      </c>
      <c r="K1011" s="67">
        <f>IF($B1011="",0,IF(LEFT($B1011,1)="━",0,$C1011*VLOOKUP($B1011,'4. CÀI ĐẶT'!$A$2:$H$32,7,FALSE)))</f>
        <v/>
      </c>
    </row>
    <row r="1012">
      <c r="A1012" s="8" t="n"/>
      <c r="B1012" s="9" t="n"/>
      <c r="C1012" s="65" t="n"/>
      <c r="D1012" s="9" t="n"/>
      <c r="E1012" s="66">
        <f>IF($B1012="","",IF(LEFT($B1012,1)="━","⚠️ Chọn hạng mục cụ thể",$C1012*VLOOKUP($B1012,'4. CÀI ĐẶT'!$A$2:$H$32,2,FALSE)))</f>
        <v/>
      </c>
      <c r="F1012" s="67">
        <f>IF($B1012="",0,IF(LEFT($B1012,1)="━",0,$C1012*VLOOKUP($B1012,'4. CÀI ĐẶT'!$A$2:$H$32,3,FALSE)))</f>
        <v/>
      </c>
      <c r="G1012" s="67">
        <f>IF($B1012="",0,IF(LEFT($B1012,1)="━",0,$C1012*VLOOKUP($B1012,'4. CÀI ĐẶT'!$A$2:$H$32,4,FALSE)))</f>
        <v/>
      </c>
      <c r="H1012" s="67">
        <f>IF($B1012="",0,IF(LEFT($B1012,1)="━",0,$C1012*VLOOKUP($B1012,'4. CÀI ĐẶT'!$A$2:$H$32,5,FALSE)))</f>
        <v/>
      </c>
      <c r="I1012">
        <f>IF($B1012="","",IF(LEFT($B1012,1)="━","",VLOOKUP($B1012,'4. CÀI ĐẶT'!$A$2:$H$32,6,FALSE)))</f>
        <v/>
      </c>
      <c r="J1012" s="13">
        <f>IF($A1012="","",EOMONTH($A1012,0))</f>
        <v/>
      </c>
      <c r="K1012" s="67">
        <f>IF($B1012="",0,IF(LEFT($B1012,1)="━",0,$C1012*VLOOKUP($B1012,'4. CÀI ĐẶT'!$A$2:$H$32,7,FALSE)))</f>
        <v/>
      </c>
    </row>
    <row r="1013">
      <c r="A1013" s="8" t="n"/>
      <c r="B1013" s="9" t="n"/>
      <c r="C1013" s="65" t="n"/>
      <c r="D1013" s="9" t="n"/>
      <c r="E1013" s="66">
        <f>IF($B1013="","",IF(LEFT($B1013,1)="━","⚠️ Chọn hạng mục cụ thể",$C1013*VLOOKUP($B1013,'4. CÀI ĐẶT'!$A$2:$H$32,2,FALSE)))</f>
        <v/>
      </c>
      <c r="F1013" s="67">
        <f>IF($B1013="",0,IF(LEFT($B1013,1)="━",0,$C1013*VLOOKUP($B1013,'4. CÀI ĐẶT'!$A$2:$H$32,3,FALSE)))</f>
        <v/>
      </c>
      <c r="G1013" s="67">
        <f>IF($B1013="",0,IF(LEFT($B1013,1)="━",0,$C1013*VLOOKUP($B1013,'4. CÀI ĐẶT'!$A$2:$H$32,4,FALSE)))</f>
        <v/>
      </c>
      <c r="H1013" s="67">
        <f>IF($B1013="",0,IF(LEFT($B1013,1)="━",0,$C1013*VLOOKUP($B1013,'4. CÀI ĐẶT'!$A$2:$H$32,5,FALSE)))</f>
        <v/>
      </c>
      <c r="I1013">
        <f>IF($B1013="","",IF(LEFT($B1013,1)="━","",VLOOKUP($B1013,'4. CÀI ĐẶT'!$A$2:$H$32,6,FALSE)))</f>
        <v/>
      </c>
      <c r="J1013" s="13">
        <f>IF($A1013="","",EOMONTH($A1013,0))</f>
        <v/>
      </c>
      <c r="K1013" s="67">
        <f>IF($B1013="",0,IF(LEFT($B1013,1)="━",0,$C1013*VLOOKUP($B1013,'4. CÀI ĐẶT'!$A$2:$H$32,7,FALSE)))</f>
        <v/>
      </c>
    </row>
    <row r="1014">
      <c r="A1014" s="8" t="n"/>
      <c r="B1014" s="9" t="n"/>
      <c r="C1014" s="65" t="n"/>
      <c r="D1014" s="9" t="n"/>
      <c r="E1014" s="66">
        <f>IF($B1014="","",IF(LEFT($B1014,1)="━","⚠️ Chọn hạng mục cụ thể",$C1014*VLOOKUP($B1014,'4. CÀI ĐẶT'!$A$2:$H$32,2,FALSE)))</f>
        <v/>
      </c>
      <c r="F1014" s="67">
        <f>IF($B1014="",0,IF(LEFT($B1014,1)="━",0,$C1014*VLOOKUP($B1014,'4. CÀI ĐẶT'!$A$2:$H$32,3,FALSE)))</f>
        <v/>
      </c>
      <c r="G1014" s="67">
        <f>IF($B1014="",0,IF(LEFT($B1014,1)="━",0,$C1014*VLOOKUP($B1014,'4. CÀI ĐẶT'!$A$2:$H$32,4,FALSE)))</f>
        <v/>
      </c>
      <c r="H1014" s="67">
        <f>IF($B1014="",0,IF(LEFT($B1014,1)="━",0,$C1014*VLOOKUP($B1014,'4. CÀI ĐẶT'!$A$2:$H$32,5,FALSE)))</f>
        <v/>
      </c>
      <c r="I1014">
        <f>IF($B1014="","",IF(LEFT($B1014,1)="━","",VLOOKUP($B1014,'4. CÀI ĐẶT'!$A$2:$H$32,6,FALSE)))</f>
        <v/>
      </c>
      <c r="J1014" s="13">
        <f>IF($A1014="","",EOMONTH($A1014,0))</f>
        <v/>
      </c>
      <c r="K1014" s="67">
        <f>IF($B1014="",0,IF(LEFT($B1014,1)="━",0,$C1014*VLOOKUP($B1014,'4. CÀI ĐẶT'!$A$2:$H$32,7,FALSE)))</f>
        <v/>
      </c>
    </row>
    <row r="1015">
      <c r="A1015" s="8" t="n"/>
      <c r="B1015" s="9" t="n"/>
      <c r="C1015" s="65" t="n"/>
      <c r="D1015" s="9" t="n"/>
      <c r="E1015" s="66">
        <f>IF($B1015="","",IF(LEFT($B1015,1)="━","⚠️ Chọn hạng mục cụ thể",$C1015*VLOOKUP($B1015,'4. CÀI ĐẶT'!$A$2:$H$32,2,FALSE)))</f>
        <v/>
      </c>
      <c r="F1015" s="67">
        <f>IF($B1015="",0,IF(LEFT($B1015,1)="━",0,$C1015*VLOOKUP($B1015,'4. CÀI ĐẶT'!$A$2:$H$32,3,FALSE)))</f>
        <v/>
      </c>
      <c r="G1015" s="67">
        <f>IF($B1015="",0,IF(LEFT($B1015,1)="━",0,$C1015*VLOOKUP($B1015,'4. CÀI ĐẶT'!$A$2:$H$32,4,FALSE)))</f>
        <v/>
      </c>
      <c r="H1015" s="67">
        <f>IF($B1015="",0,IF(LEFT($B1015,1)="━",0,$C1015*VLOOKUP($B1015,'4. CÀI ĐẶT'!$A$2:$H$32,5,FALSE)))</f>
        <v/>
      </c>
      <c r="I1015">
        <f>IF($B1015="","",IF(LEFT($B1015,1)="━","",VLOOKUP($B1015,'4. CÀI ĐẶT'!$A$2:$H$32,6,FALSE)))</f>
        <v/>
      </c>
      <c r="J1015" s="13">
        <f>IF($A1015="","",EOMONTH($A1015,0))</f>
        <v/>
      </c>
      <c r="K1015" s="67">
        <f>IF($B1015="",0,IF(LEFT($B1015,1)="━",0,$C1015*VLOOKUP($B1015,'4. CÀI ĐẶT'!$A$2:$H$32,7,FALSE)))</f>
        <v/>
      </c>
    </row>
    <row r="1016">
      <c r="A1016" s="8" t="n"/>
      <c r="B1016" s="9" t="n"/>
      <c r="C1016" s="65" t="n"/>
      <c r="D1016" s="9" t="n"/>
      <c r="E1016" s="66">
        <f>IF($B1016="","",IF(LEFT($B1016,1)="━","⚠️ Chọn hạng mục cụ thể",$C1016*VLOOKUP($B1016,'4. CÀI ĐẶT'!$A$2:$H$32,2,FALSE)))</f>
        <v/>
      </c>
      <c r="F1016" s="67">
        <f>IF($B1016="",0,IF(LEFT($B1016,1)="━",0,$C1016*VLOOKUP($B1016,'4. CÀI ĐẶT'!$A$2:$H$32,3,FALSE)))</f>
        <v/>
      </c>
      <c r="G1016" s="67">
        <f>IF($B1016="",0,IF(LEFT($B1016,1)="━",0,$C1016*VLOOKUP($B1016,'4. CÀI ĐẶT'!$A$2:$H$32,4,FALSE)))</f>
        <v/>
      </c>
      <c r="H1016" s="67">
        <f>IF($B1016="",0,IF(LEFT($B1016,1)="━",0,$C1016*VLOOKUP($B1016,'4. CÀI ĐẶT'!$A$2:$H$32,5,FALSE)))</f>
        <v/>
      </c>
      <c r="I1016">
        <f>IF($B1016="","",IF(LEFT($B1016,1)="━","",VLOOKUP($B1016,'4. CÀI ĐẶT'!$A$2:$H$32,6,FALSE)))</f>
        <v/>
      </c>
      <c r="J1016" s="13">
        <f>IF($A1016="","",EOMONTH($A1016,0))</f>
        <v/>
      </c>
      <c r="K1016" s="67">
        <f>IF($B1016="",0,IF(LEFT($B1016,1)="━",0,$C1016*VLOOKUP($B1016,'4. CÀI ĐẶT'!$A$2:$H$32,7,FALSE)))</f>
        <v/>
      </c>
    </row>
    <row r="1017">
      <c r="A1017" s="8" t="n"/>
      <c r="B1017" s="9" t="n"/>
      <c r="C1017" s="65" t="n"/>
      <c r="D1017" s="9" t="n"/>
      <c r="E1017" s="66">
        <f>IF($B1017="","",IF(LEFT($B1017,1)="━","⚠️ Chọn hạng mục cụ thể",$C1017*VLOOKUP($B1017,'4. CÀI ĐẶT'!$A$2:$H$32,2,FALSE)))</f>
        <v/>
      </c>
      <c r="F1017" s="67">
        <f>IF($B1017="",0,IF(LEFT($B1017,1)="━",0,$C1017*VLOOKUP($B1017,'4. CÀI ĐẶT'!$A$2:$H$32,3,FALSE)))</f>
        <v/>
      </c>
      <c r="G1017" s="67">
        <f>IF($B1017="",0,IF(LEFT($B1017,1)="━",0,$C1017*VLOOKUP($B1017,'4. CÀI ĐẶT'!$A$2:$H$32,4,FALSE)))</f>
        <v/>
      </c>
      <c r="H1017" s="67">
        <f>IF($B1017="",0,IF(LEFT($B1017,1)="━",0,$C1017*VLOOKUP($B1017,'4. CÀI ĐẶT'!$A$2:$H$32,5,FALSE)))</f>
        <v/>
      </c>
      <c r="I1017">
        <f>IF($B1017="","",IF(LEFT($B1017,1)="━","",VLOOKUP($B1017,'4. CÀI ĐẶT'!$A$2:$H$32,6,FALSE)))</f>
        <v/>
      </c>
      <c r="J1017" s="13">
        <f>IF($A1017="","",EOMONTH($A1017,0))</f>
        <v/>
      </c>
      <c r="K1017" s="67">
        <f>IF($B1017="",0,IF(LEFT($B1017,1)="━",0,$C1017*VLOOKUP($B1017,'4. CÀI ĐẶT'!$A$2:$H$32,7,FALSE)))</f>
        <v/>
      </c>
    </row>
    <row r="1018">
      <c r="A1018" s="8" t="n"/>
      <c r="B1018" s="9" t="n"/>
      <c r="C1018" s="65" t="n"/>
      <c r="D1018" s="9" t="n"/>
      <c r="E1018" s="66">
        <f>IF($B1018="","",IF(LEFT($B1018,1)="━","⚠️ Chọn hạng mục cụ thể",$C1018*VLOOKUP($B1018,'4. CÀI ĐẶT'!$A$2:$H$32,2,FALSE)))</f>
        <v/>
      </c>
      <c r="F1018" s="67">
        <f>IF($B1018="",0,IF(LEFT($B1018,1)="━",0,$C1018*VLOOKUP($B1018,'4. CÀI ĐẶT'!$A$2:$H$32,3,FALSE)))</f>
        <v/>
      </c>
      <c r="G1018" s="67">
        <f>IF($B1018="",0,IF(LEFT($B1018,1)="━",0,$C1018*VLOOKUP($B1018,'4. CÀI ĐẶT'!$A$2:$H$32,4,FALSE)))</f>
        <v/>
      </c>
      <c r="H1018" s="67">
        <f>IF($B1018="",0,IF(LEFT($B1018,1)="━",0,$C1018*VLOOKUP($B1018,'4. CÀI ĐẶT'!$A$2:$H$32,5,FALSE)))</f>
        <v/>
      </c>
      <c r="I1018">
        <f>IF($B1018="","",IF(LEFT($B1018,1)="━","",VLOOKUP($B1018,'4. CÀI ĐẶT'!$A$2:$H$32,6,FALSE)))</f>
        <v/>
      </c>
      <c r="J1018" s="13">
        <f>IF($A1018="","",EOMONTH($A1018,0))</f>
        <v/>
      </c>
      <c r="K1018" s="67">
        <f>IF($B1018="",0,IF(LEFT($B1018,1)="━",0,$C1018*VLOOKUP($B1018,'4. CÀI ĐẶT'!$A$2:$H$32,7,FALSE)))</f>
        <v/>
      </c>
    </row>
    <row r="1019">
      <c r="A1019" s="8" t="n"/>
      <c r="B1019" s="9" t="n"/>
      <c r="C1019" s="65" t="n"/>
      <c r="D1019" s="9" t="n"/>
      <c r="E1019" s="66">
        <f>IF($B1019="","",IF(LEFT($B1019,1)="━","⚠️ Chọn hạng mục cụ thể",$C1019*VLOOKUP($B1019,'4. CÀI ĐẶT'!$A$2:$H$32,2,FALSE)))</f>
        <v/>
      </c>
      <c r="F1019" s="67">
        <f>IF($B1019="",0,IF(LEFT($B1019,1)="━",0,$C1019*VLOOKUP($B1019,'4. CÀI ĐẶT'!$A$2:$H$32,3,FALSE)))</f>
        <v/>
      </c>
      <c r="G1019" s="67">
        <f>IF($B1019="",0,IF(LEFT($B1019,1)="━",0,$C1019*VLOOKUP($B1019,'4. CÀI ĐẶT'!$A$2:$H$32,4,FALSE)))</f>
        <v/>
      </c>
      <c r="H1019" s="67">
        <f>IF($B1019="",0,IF(LEFT($B1019,1)="━",0,$C1019*VLOOKUP($B1019,'4. CÀI ĐẶT'!$A$2:$H$32,5,FALSE)))</f>
        <v/>
      </c>
      <c r="I1019">
        <f>IF($B1019="","",IF(LEFT($B1019,1)="━","",VLOOKUP($B1019,'4. CÀI ĐẶT'!$A$2:$H$32,6,FALSE)))</f>
        <v/>
      </c>
      <c r="J1019" s="13">
        <f>IF($A1019="","",EOMONTH($A1019,0))</f>
        <v/>
      </c>
      <c r="K1019" s="67">
        <f>IF($B1019="",0,IF(LEFT($B1019,1)="━",0,$C1019*VLOOKUP($B1019,'4. CÀI ĐẶT'!$A$2:$H$32,7,FALSE)))</f>
        <v/>
      </c>
    </row>
    <row r="1020">
      <c r="A1020" s="8" t="n"/>
      <c r="B1020" s="9" t="n"/>
      <c r="C1020" s="65" t="n"/>
      <c r="D1020" s="9" t="n"/>
      <c r="E1020" s="66">
        <f>IF($B1020="","",IF(LEFT($B1020,1)="━","⚠️ Chọn hạng mục cụ thể",$C1020*VLOOKUP($B1020,'4. CÀI ĐẶT'!$A$2:$H$32,2,FALSE)))</f>
        <v/>
      </c>
      <c r="F1020" s="67">
        <f>IF($B1020="",0,IF(LEFT($B1020,1)="━",0,$C1020*VLOOKUP($B1020,'4. CÀI ĐẶT'!$A$2:$H$32,3,FALSE)))</f>
        <v/>
      </c>
      <c r="G1020" s="67">
        <f>IF($B1020="",0,IF(LEFT($B1020,1)="━",0,$C1020*VLOOKUP($B1020,'4. CÀI ĐẶT'!$A$2:$H$32,4,FALSE)))</f>
        <v/>
      </c>
      <c r="H1020" s="67">
        <f>IF($B1020="",0,IF(LEFT($B1020,1)="━",0,$C1020*VLOOKUP($B1020,'4. CÀI ĐẶT'!$A$2:$H$32,5,FALSE)))</f>
        <v/>
      </c>
      <c r="I1020">
        <f>IF($B1020="","",IF(LEFT($B1020,1)="━","",VLOOKUP($B1020,'4. CÀI ĐẶT'!$A$2:$H$32,6,FALSE)))</f>
        <v/>
      </c>
      <c r="J1020" s="13">
        <f>IF($A1020="","",EOMONTH($A1020,0))</f>
        <v/>
      </c>
      <c r="K1020" s="67">
        <f>IF($B1020="",0,IF(LEFT($B1020,1)="━",0,$C1020*VLOOKUP($B1020,'4. CÀI ĐẶT'!$A$2:$H$32,7,FALSE)))</f>
        <v/>
      </c>
    </row>
    <row r="1021">
      <c r="A1021" s="8" t="n"/>
      <c r="B1021" s="9" t="n"/>
      <c r="C1021" s="65" t="n"/>
      <c r="D1021" s="9" t="n"/>
      <c r="E1021" s="66">
        <f>IF($B1021="","",IF(LEFT($B1021,1)="━","⚠️ Chọn hạng mục cụ thể",$C1021*VLOOKUP($B1021,'4. CÀI ĐẶT'!$A$2:$H$32,2,FALSE)))</f>
        <v/>
      </c>
      <c r="F1021" s="67">
        <f>IF($B1021="",0,IF(LEFT($B1021,1)="━",0,$C1021*VLOOKUP($B1021,'4. CÀI ĐẶT'!$A$2:$H$32,3,FALSE)))</f>
        <v/>
      </c>
      <c r="G1021" s="67">
        <f>IF($B1021="",0,IF(LEFT($B1021,1)="━",0,$C1021*VLOOKUP($B1021,'4. CÀI ĐẶT'!$A$2:$H$32,4,FALSE)))</f>
        <v/>
      </c>
      <c r="H1021" s="67">
        <f>IF($B1021="",0,IF(LEFT($B1021,1)="━",0,$C1021*VLOOKUP($B1021,'4. CÀI ĐẶT'!$A$2:$H$32,5,FALSE)))</f>
        <v/>
      </c>
      <c r="I1021">
        <f>IF($B1021="","",IF(LEFT($B1021,1)="━","",VLOOKUP($B1021,'4. CÀI ĐẶT'!$A$2:$H$32,6,FALSE)))</f>
        <v/>
      </c>
      <c r="J1021" s="13">
        <f>IF($A1021="","",EOMONTH($A1021,0))</f>
        <v/>
      </c>
      <c r="K1021" s="67">
        <f>IF($B1021="",0,IF(LEFT($B1021,1)="━",0,$C1021*VLOOKUP($B1021,'4. CÀI ĐẶT'!$A$2:$H$32,7,FALSE)))</f>
        <v/>
      </c>
    </row>
    <row r="1022">
      <c r="A1022" s="8" t="n"/>
      <c r="B1022" s="9" t="n"/>
      <c r="C1022" s="65" t="n"/>
      <c r="D1022" s="9" t="n"/>
      <c r="E1022" s="66">
        <f>IF($B1022="","",IF(LEFT($B1022,1)="━","⚠️ Chọn hạng mục cụ thể",$C1022*VLOOKUP($B1022,'4. CÀI ĐẶT'!$A$2:$H$32,2,FALSE)))</f>
        <v/>
      </c>
      <c r="F1022" s="67">
        <f>IF($B1022="",0,IF(LEFT($B1022,1)="━",0,$C1022*VLOOKUP($B1022,'4. CÀI ĐẶT'!$A$2:$H$32,3,FALSE)))</f>
        <v/>
      </c>
      <c r="G1022" s="67">
        <f>IF($B1022="",0,IF(LEFT($B1022,1)="━",0,$C1022*VLOOKUP($B1022,'4. CÀI ĐẶT'!$A$2:$H$32,4,FALSE)))</f>
        <v/>
      </c>
      <c r="H1022" s="67">
        <f>IF($B1022="",0,IF(LEFT($B1022,1)="━",0,$C1022*VLOOKUP($B1022,'4. CÀI ĐẶT'!$A$2:$H$32,5,FALSE)))</f>
        <v/>
      </c>
      <c r="I1022">
        <f>IF($B1022="","",IF(LEFT($B1022,1)="━","",VLOOKUP($B1022,'4. CÀI ĐẶT'!$A$2:$H$32,6,FALSE)))</f>
        <v/>
      </c>
      <c r="J1022" s="13">
        <f>IF($A1022="","",EOMONTH($A1022,0))</f>
        <v/>
      </c>
      <c r="K1022" s="67">
        <f>IF($B1022="",0,IF(LEFT($B1022,1)="━",0,$C1022*VLOOKUP($B1022,'4. CÀI ĐẶT'!$A$2:$H$32,7,FALSE)))</f>
        <v/>
      </c>
    </row>
    <row r="1023">
      <c r="A1023" s="8" t="n"/>
      <c r="B1023" s="9" t="n"/>
      <c r="C1023" s="65" t="n"/>
      <c r="D1023" s="9" t="n"/>
      <c r="E1023" s="66">
        <f>IF($B1023="","",IF(LEFT($B1023,1)="━","⚠️ Chọn hạng mục cụ thể",$C1023*VLOOKUP($B1023,'4. CÀI ĐẶT'!$A$2:$H$32,2,FALSE)))</f>
        <v/>
      </c>
      <c r="F1023" s="67">
        <f>IF($B1023="",0,IF(LEFT($B1023,1)="━",0,$C1023*VLOOKUP($B1023,'4. CÀI ĐẶT'!$A$2:$H$32,3,FALSE)))</f>
        <v/>
      </c>
      <c r="G1023" s="67">
        <f>IF($B1023="",0,IF(LEFT($B1023,1)="━",0,$C1023*VLOOKUP($B1023,'4. CÀI ĐẶT'!$A$2:$H$32,4,FALSE)))</f>
        <v/>
      </c>
      <c r="H1023" s="67">
        <f>IF($B1023="",0,IF(LEFT($B1023,1)="━",0,$C1023*VLOOKUP($B1023,'4. CÀI ĐẶT'!$A$2:$H$32,5,FALSE)))</f>
        <v/>
      </c>
      <c r="I1023">
        <f>IF($B1023="","",IF(LEFT($B1023,1)="━","",VLOOKUP($B1023,'4. CÀI ĐẶT'!$A$2:$H$32,6,FALSE)))</f>
        <v/>
      </c>
      <c r="J1023" s="13">
        <f>IF($A1023="","",EOMONTH($A1023,0))</f>
        <v/>
      </c>
      <c r="K1023" s="67">
        <f>IF($B1023="",0,IF(LEFT($B1023,1)="━",0,$C1023*VLOOKUP($B1023,'4. CÀI ĐẶT'!$A$2:$H$32,7,FALSE)))</f>
        <v/>
      </c>
    </row>
    <row r="1024">
      <c r="A1024" s="8" t="n"/>
      <c r="B1024" s="9" t="n"/>
      <c r="C1024" s="65" t="n"/>
      <c r="D1024" s="9" t="n"/>
      <c r="E1024" s="66">
        <f>IF($B1024="","",IF(LEFT($B1024,1)="━","⚠️ Chọn hạng mục cụ thể",$C1024*VLOOKUP($B1024,'4. CÀI ĐẶT'!$A$2:$H$32,2,FALSE)))</f>
        <v/>
      </c>
      <c r="F1024" s="67">
        <f>IF($B1024="",0,IF(LEFT($B1024,1)="━",0,$C1024*VLOOKUP($B1024,'4. CÀI ĐẶT'!$A$2:$H$32,3,FALSE)))</f>
        <v/>
      </c>
      <c r="G1024" s="67">
        <f>IF($B1024="",0,IF(LEFT($B1024,1)="━",0,$C1024*VLOOKUP($B1024,'4. CÀI ĐẶT'!$A$2:$H$32,4,FALSE)))</f>
        <v/>
      </c>
      <c r="H1024" s="67">
        <f>IF($B1024="",0,IF(LEFT($B1024,1)="━",0,$C1024*VLOOKUP($B1024,'4. CÀI ĐẶT'!$A$2:$H$32,5,FALSE)))</f>
        <v/>
      </c>
      <c r="I1024">
        <f>IF($B1024="","",IF(LEFT($B1024,1)="━","",VLOOKUP($B1024,'4. CÀI ĐẶT'!$A$2:$H$32,6,FALSE)))</f>
        <v/>
      </c>
      <c r="J1024" s="13">
        <f>IF($A1024="","",EOMONTH($A1024,0))</f>
        <v/>
      </c>
      <c r="K1024" s="67">
        <f>IF($B1024="",0,IF(LEFT($B1024,1)="━",0,$C1024*VLOOKUP($B1024,'4. CÀI ĐẶT'!$A$2:$H$32,7,FALSE)))</f>
        <v/>
      </c>
    </row>
    <row r="1025">
      <c r="A1025" s="8" t="n"/>
      <c r="B1025" s="9" t="n"/>
      <c r="C1025" s="65" t="n"/>
      <c r="D1025" s="9" t="n"/>
      <c r="E1025" s="66">
        <f>IF($B1025="","",IF(LEFT($B1025,1)="━","⚠️ Chọn hạng mục cụ thể",$C1025*VLOOKUP($B1025,'4. CÀI ĐẶT'!$A$2:$H$32,2,FALSE)))</f>
        <v/>
      </c>
      <c r="F1025" s="67">
        <f>IF($B1025="",0,IF(LEFT($B1025,1)="━",0,$C1025*VLOOKUP($B1025,'4. CÀI ĐẶT'!$A$2:$H$32,3,FALSE)))</f>
        <v/>
      </c>
      <c r="G1025" s="67">
        <f>IF($B1025="",0,IF(LEFT($B1025,1)="━",0,$C1025*VLOOKUP($B1025,'4. CÀI ĐẶT'!$A$2:$H$32,4,FALSE)))</f>
        <v/>
      </c>
      <c r="H1025" s="67">
        <f>IF($B1025="",0,IF(LEFT($B1025,1)="━",0,$C1025*VLOOKUP($B1025,'4. CÀI ĐẶT'!$A$2:$H$32,5,FALSE)))</f>
        <v/>
      </c>
      <c r="I1025">
        <f>IF($B1025="","",IF(LEFT($B1025,1)="━","",VLOOKUP($B1025,'4. CÀI ĐẶT'!$A$2:$H$32,6,FALSE)))</f>
        <v/>
      </c>
      <c r="J1025" s="13">
        <f>IF($A1025="","",EOMONTH($A1025,0))</f>
        <v/>
      </c>
      <c r="K1025" s="67">
        <f>IF($B1025="",0,IF(LEFT($B1025,1)="━",0,$C1025*VLOOKUP($B1025,'4. CÀI ĐẶT'!$A$2:$H$32,7,FALSE)))</f>
        <v/>
      </c>
    </row>
    <row r="1026">
      <c r="A1026" s="8" t="n"/>
      <c r="B1026" s="9" t="n"/>
      <c r="C1026" s="65" t="n"/>
      <c r="D1026" s="9" t="n"/>
      <c r="E1026" s="66">
        <f>IF($B1026="","",IF(LEFT($B1026,1)="━","⚠️ Chọn hạng mục cụ thể",$C1026*VLOOKUP($B1026,'4. CÀI ĐẶT'!$A$2:$H$32,2,FALSE)))</f>
        <v/>
      </c>
      <c r="F1026" s="67">
        <f>IF($B1026="",0,IF(LEFT($B1026,1)="━",0,$C1026*VLOOKUP($B1026,'4. CÀI ĐẶT'!$A$2:$H$32,3,FALSE)))</f>
        <v/>
      </c>
      <c r="G1026" s="67">
        <f>IF($B1026="",0,IF(LEFT($B1026,1)="━",0,$C1026*VLOOKUP($B1026,'4. CÀI ĐẶT'!$A$2:$H$32,4,FALSE)))</f>
        <v/>
      </c>
      <c r="H1026" s="67">
        <f>IF($B1026="",0,IF(LEFT($B1026,1)="━",0,$C1026*VLOOKUP($B1026,'4. CÀI ĐẶT'!$A$2:$H$32,5,FALSE)))</f>
        <v/>
      </c>
      <c r="I1026">
        <f>IF($B1026="","",IF(LEFT($B1026,1)="━","",VLOOKUP($B1026,'4. CÀI ĐẶT'!$A$2:$H$32,6,FALSE)))</f>
        <v/>
      </c>
      <c r="J1026" s="13">
        <f>IF($A1026="","",EOMONTH($A1026,0))</f>
        <v/>
      </c>
      <c r="K1026" s="67">
        <f>IF($B1026="",0,IF(LEFT($B1026,1)="━",0,$C1026*VLOOKUP($B1026,'4. CÀI ĐẶT'!$A$2:$H$32,7,FALSE)))</f>
        <v/>
      </c>
    </row>
    <row r="1027">
      <c r="A1027" s="8" t="n"/>
      <c r="B1027" s="9" t="n"/>
      <c r="C1027" s="65" t="n"/>
      <c r="D1027" s="9" t="n"/>
      <c r="E1027" s="66">
        <f>IF($B1027="","",IF(LEFT($B1027,1)="━","⚠️ Chọn hạng mục cụ thể",$C1027*VLOOKUP($B1027,'4. CÀI ĐẶT'!$A$2:$H$32,2,FALSE)))</f>
        <v/>
      </c>
      <c r="F1027" s="67">
        <f>IF($B1027="",0,IF(LEFT($B1027,1)="━",0,$C1027*VLOOKUP($B1027,'4. CÀI ĐẶT'!$A$2:$H$32,3,FALSE)))</f>
        <v/>
      </c>
      <c r="G1027" s="67">
        <f>IF($B1027="",0,IF(LEFT($B1027,1)="━",0,$C1027*VLOOKUP($B1027,'4. CÀI ĐẶT'!$A$2:$H$32,4,FALSE)))</f>
        <v/>
      </c>
      <c r="H1027" s="67">
        <f>IF($B1027="",0,IF(LEFT($B1027,1)="━",0,$C1027*VLOOKUP($B1027,'4. CÀI ĐẶT'!$A$2:$H$32,5,FALSE)))</f>
        <v/>
      </c>
      <c r="I1027">
        <f>IF($B1027="","",IF(LEFT($B1027,1)="━","",VLOOKUP($B1027,'4. CÀI ĐẶT'!$A$2:$H$32,6,FALSE)))</f>
        <v/>
      </c>
      <c r="J1027" s="13">
        <f>IF($A1027="","",EOMONTH($A1027,0))</f>
        <v/>
      </c>
      <c r="K1027" s="67">
        <f>IF($B1027="",0,IF(LEFT($B1027,1)="━",0,$C1027*VLOOKUP($B1027,'4. CÀI ĐẶT'!$A$2:$H$32,7,FALSE)))</f>
        <v/>
      </c>
    </row>
    <row r="1028">
      <c r="A1028" s="8" t="n"/>
      <c r="B1028" s="9" t="n"/>
      <c r="C1028" s="65" t="n"/>
      <c r="D1028" s="9" t="n"/>
      <c r="E1028" s="66">
        <f>IF($B1028="","",IF(LEFT($B1028,1)="━","⚠️ Chọn hạng mục cụ thể",$C1028*VLOOKUP($B1028,'4. CÀI ĐẶT'!$A$2:$H$32,2,FALSE)))</f>
        <v/>
      </c>
      <c r="F1028" s="67">
        <f>IF($B1028="",0,IF(LEFT($B1028,1)="━",0,$C1028*VLOOKUP($B1028,'4. CÀI ĐẶT'!$A$2:$H$32,3,FALSE)))</f>
        <v/>
      </c>
      <c r="G1028" s="67">
        <f>IF($B1028="",0,IF(LEFT($B1028,1)="━",0,$C1028*VLOOKUP($B1028,'4. CÀI ĐẶT'!$A$2:$H$32,4,FALSE)))</f>
        <v/>
      </c>
      <c r="H1028" s="67">
        <f>IF($B1028="",0,IF(LEFT($B1028,1)="━",0,$C1028*VLOOKUP($B1028,'4. CÀI ĐẶT'!$A$2:$H$32,5,FALSE)))</f>
        <v/>
      </c>
      <c r="I1028">
        <f>IF($B1028="","",IF(LEFT($B1028,1)="━","",VLOOKUP($B1028,'4. CÀI ĐẶT'!$A$2:$H$32,6,FALSE)))</f>
        <v/>
      </c>
      <c r="J1028" s="13">
        <f>IF($A1028="","",EOMONTH($A1028,0))</f>
        <v/>
      </c>
      <c r="K1028" s="67">
        <f>IF($B1028="",0,IF(LEFT($B1028,1)="━",0,$C1028*VLOOKUP($B1028,'4. CÀI ĐẶT'!$A$2:$H$32,7,FALSE)))</f>
        <v/>
      </c>
    </row>
    <row r="1029">
      <c r="A1029" s="8" t="n"/>
      <c r="B1029" s="9" t="n"/>
      <c r="C1029" s="65" t="n"/>
      <c r="D1029" s="9" t="n"/>
      <c r="E1029" s="66">
        <f>IF($B1029="","",IF(LEFT($B1029,1)="━","⚠️ Chọn hạng mục cụ thể",$C1029*VLOOKUP($B1029,'4. CÀI ĐẶT'!$A$2:$H$32,2,FALSE)))</f>
        <v/>
      </c>
      <c r="F1029" s="67">
        <f>IF($B1029="",0,IF(LEFT($B1029,1)="━",0,$C1029*VLOOKUP($B1029,'4. CÀI ĐẶT'!$A$2:$H$32,3,FALSE)))</f>
        <v/>
      </c>
      <c r="G1029" s="67">
        <f>IF($B1029="",0,IF(LEFT($B1029,1)="━",0,$C1029*VLOOKUP($B1029,'4. CÀI ĐẶT'!$A$2:$H$32,4,FALSE)))</f>
        <v/>
      </c>
      <c r="H1029" s="67">
        <f>IF($B1029="",0,IF(LEFT($B1029,1)="━",0,$C1029*VLOOKUP($B1029,'4. CÀI ĐẶT'!$A$2:$H$32,5,FALSE)))</f>
        <v/>
      </c>
      <c r="I1029">
        <f>IF($B1029="","",IF(LEFT($B1029,1)="━","",VLOOKUP($B1029,'4. CÀI ĐẶT'!$A$2:$H$32,6,FALSE)))</f>
        <v/>
      </c>
      <c r="J1029" s="13">
        <f>IF($A1029="","",EOMONTH($A1029,0))</f>
        <v/>
      </c>
      <c r="K1029" s="67">
        <f>IF($B1029="",0,IF(LEFT($B1029,1)="━",0,$C1029*VLOOKUP($B1029,'4. CÀI ĐẶT'!$A$2:$H$32,7,FALSE)))</f>
        <v/>
      </c>
    </row>
    <row r="1030">
      <c r="A1030" s="8" t="n"/>
      <c r="B1030" s="9" t="n"/>
      <c r="C1030" s="65" t="n"/>
      <c r="D1030" s="9" t="n"/>
      <c r="E1030" s="66">
        <f>IF($B1030="","",IF(LEFT($B1030,1)="━","⚠️ Chọn hạng mục cụ thể",$C1030*VLOOKUP($B1030,'4. CÀI ĐẶT'!$A$2:$H$32,2,FALSE)))</f>
        <v/>
      </c>
      <c r="F1030" s="67">
        <f>IF($B1030="",0,IF(LEFT($B1030,1)="━",0,$C1030*VLOOKUP($B1030,'4. CÀI ĐẶT'!$A$2:$H$32,3,FALSE)))</f>
        <v/>
      </c>
      <c r="G1030" s="67">
        <f>IF($B1030="",0,IF(LEFT($B1030,1)="━",0,$C1030*VLOOKUP($B1030,'4. CÀI ĐẶT'!$A$2:$H$32,4,FALSE)))</f>
        <v/>
      </c>
      <c r="H1030" s="67">
        <f>IF($B1030="",0,IF(LEFT($B1030,1)="━",0,$C1030*VLOOKUP($B1030,'4. CÀI ĐẶT'!$A$2:$H$32,5,FALSE)))</f>
        <v/>
      </c>
      <c r="I1030">
        <f>IF($B1030="","",IF(LEFT($B1030,1)="━","",VLOOKUP($B1030,'4. CÀI ĐẶT'!$A$2:$H$32,6,FALSE)))</f>
        <v/>
      </c>
      <c r="J1030" s="13">
        <f>IF($A1030="","",EOMONTH($A1030,0))</f>
        <v/>
      </c>
      <c r="K1030" s="67">
        <f>IF($B1030="",0,IF(LEFT($B1030,1)="━",0,$C1030*VLOOKUP($B1030,'4. CÀI ĐẶT'!$A$2:$H$32,7,FALSE)))</f>
        <v/>
      </c>
    </row>
    <row r="1031">
      <c r="A1031" s="8" t="n"/>
      <c r="B1031" s="9" t="n"/>
      <c r="C1031" s="65" t="n"/>
      <c r="D1031" s="9" t="n"/>
      <c r="E1031" s="66">
        <f>IF($B1031="","",IF(LEFT($B1031,1)="━","⚠️ Chọn hạng mục cụ thể",$C1031*VLOOKUP($B1031,'4. CÀI ĐẶT'!$A$2:$H$32,2,FALSE)))</f>
        <v/>
      </c>
      <c r="F1031" s="67">
        <f>IF($B1031="",0,IF(LEFT($B1031,1)="━",0,$C1031*VLOOKUP($B1031,'4. CÀI ĐẶT'!$A$2:$H$32,3,FALSE)))</f>
        <v/>
      </c>
      <c r="G1031" s="67">
        <f>IF($B1031="",0,IF(LEFT($B1031,1)="━",0,$C1031*VLOOKUP($B1031,'4. CÀI ĐẶT'!$A$2:$H$32,4,FALSE)))</f>
        <v/>
      </c>
      <c r="H1031" s="67">
        <f>IF($B1031="",0,IF(LEFT($B1031,1)="━",0,$C1031*VLOOKUP($B1031,'4. CÀI ĐẶT'!$A$2:$H$32,5,FALSE)))</f>
        <v/>
      </c>
      <c r="I1031">
        <f>IF($B1031="","",IF(LEFT($B1031,1)="━","",VLOOKUP($B1031,'4. CÀI ĐẶT'!$A$2:$H$32,6,FALSE)))</f>
        <v/>
      </c>
      <c r="J1031" s="13">
        <f>IF($A1031="","",EOMONTH($A1031,0))</f>
        <v/>
      </c>
      <c r="K1031" s="67">
        <f>IF($B1031="",0,IF(LEFT($B1031,1)="━",0,$C1031*VLOOKUP($B1031,'4. CÀI ĐẶT'!$A$2:$H$32,7,FALSE)))</f>
        <v/>
      </c>
    </row>
    <row r="1032">
      <c r="A1032" s="8" t="n"/>
      <c r="B1032" s="9" t="n"/>
      <c r="C1032" s="65" t="n"/>
      <c r="D1032" s="9" t="n"/>
      <c r="E1032" s="66">
        <f>IF($B1032="","",IF(LEFT($B1032,1)="━","⚠️ Chọn hạng mục cụ thể",$C1032*VLOOKUP($B1032,'4. CÀI ĐẶT'!$A$2:$H$32,2,FALSE)))</f>
        <v/>
      </c>
      <c r="F1032" s="67">
        <f>IF($B1032="",0,IF(LEFT($B1032,1)="━",0,$C1032*VLOOKUP($B1032,'4. CÀI ĐẶT'!$A$2:$H$32,3,FALSE)))</f>
        <v/>
      </c>
      <c r="G1032" s="67">
        <f>IF($B1032="",0,IF(LEFT($B1032,1)="━",0,$C1032*VLOOKUP($B1032,'4. CÀI ĐẶT'!$A$2:$H$32,4,FALSE)))</f>
        <v/>
      </c>
      <c r="H1032" s="67">
        <f>IF($B1032="",0,IF(LEFT($B1032,1)="━",0,$C1032*VLOOKUP($B1032,'4. CÀI ĐẶT'!$A$2:$H$32,5,FALSE)))</f>
        <v/>
      </c>
      <c r="I1032">
        <f>IF($B1032="","",IF(LEFT($B1032,1)="━","",VLOOKUP($B1032,'4. CÀI ĐẶT'!$A$2:$H$32,6,FALSE)))</f>
        <v/>
      </c>
      <c r="J1032" s="13">
        <f>IF($A1032="","",EOMONTH($A1032,0))</f>
        <v/>
      </c>
      <c r="K1032" s="67">
        <f>IF($B1032="",0,IF(LEFT($B1032,1)="━",0,$C1032*VLOOKUP($B1032,'4. CÀI ĐẶT'!$A$2:$H$32,7,FALSE)))</f>
        <v/>
      </c>
    </row>
    <row r="1033">
      <c r="A1033" s="8" t="n"/>
      <c r="B1033" s="9" t="n"/>
      <c r="C1033" s="65" t="n"/>
      <c r="D1033" s="9" t="n"/>
      <c r="E1033" s="66">
        <f>IF($B1033="","",IF(LEFT($B1033,1)="━","⚠️ Chọn hạng mục cụ thể",$C1033*VLOOKUP($B1033,'4. CÀI ĐẶT'!$A$2:$H$32,2,FALSE)))</f>
        <v/>
      </c>
      <c r="F1033" s="67">
        <f>IF($B1033="",0,IF(LEFT($B1033,1)="━",0,$C1033*VLOOKUP($B1033,'4. CÀI ĐẶT'!$A$2:$H$32,3,FALSE)))</f>
        <v/>
      </c>
      <c r="G1033" s="67">
        <f>IF($B1033="",0,IF(LEFT($B1033,1)="━",0,$C1033*VLOOKUP($B1033,'4. CÀI ĐẶT'!$A$2:$H$32,4,FALSE)))</f>
        <v/>
      </c>
      <c r="H1033" s="67">
        <f>IF($B1033="",0,IF(LEFT($B1033,1)="━",0,$C1033*VLOOKUP($B1033,'4. CÀI ĐẶT'!$A$2:$H$32,5,FALSE)))</f>
        <v/>
      </c>
      <c r="I1033">
        <f>IF($B1033="","",IF(LEFT($B1033,1)="━","",VLOOKUP($B1033,'4. CÀI ĐẶT'!$A$2:$H$32,6,FALSE)))</f>
        <v/>
      </c>
      <c r="J1033" s="13">
        <f>IF($A1033="","",EOMONTH($A1033,0))</f>
        <v/>
      </c>
      <c r="K1033" s="67">
        <f>IF($B1033="",0,IF(LEFT($B1033,1)="━",0,$C1033*VLOOKUP($B1033,'4. CÀI ĐẶT'!$A$2:$H$32,7,FALSE)))</f>
        <v/>
      </c>
    </row>
    <row r="1034">
      <c r="A1034" s="8" t="n"/>
      <c r="B1034" s="9" t="n"/>
      <c r="C1034" s="65" t="n"/>
      <c r="D1034" s="9" t="n"/>
      <c r="E1034" s="66">
        <f>IF($B1034="","",IF(LEFT($B1034,1)="━","⚠️ Chọn hạng mục cụ thể",$C1034*VLOOKUP($B1034,'4. CÀI ĐẶT'!$A$2:$H$32,2,FALSE)))</f>
        <v/>
      </c>
      <c r="F1034" s="67">
        <f>IF($B1034="",0,IF(LEFT($B1034,1)="━",0,$C1034*VLOOKUP($B1034,'4. CÀI ĐẶT'!$A$2:$H$32,3,FALSE)))</f>
        <v/>
      </c>
      <c r="G1034" s="67">
        <f>IF($B1034="",0,IF(LEFT($B1034,1)="━",0,$C1034*VLOOKUP($B1034,'4. CÀI ĐẶT'!$A$2:$H$32,4,FALSE)))</f>
        <v/>
      </c>
      <c r="H1034" s="67">
        <f>IF($B1034="",0,IF(LEFT($B1034,1)="━",0,$C1034*VLOOKUP($B1034,'4. CÀI ĐẶT'!$A$2:$H$32,5,FALSE)))</f>
        <v/>
      </c>
      <c r="I1034">
        <f>IF($B1034="","",IF(LEFT($B1034,1)="━","",VLOOKUP($B1034,'4. CÀI ĐẶT'!$A$2:$H$32,6,FALSE)))</f>
        <v/>
      </c>
      <c r="J1034" s="13">
        <f>IF($A1034="","",EOMONTH($A1034,0))</f>
        <v/>
      </c>
      <c r="K1034" s="67">
        <f>IF($B1034="",0,IF(LEFT($B1034,1)="━",0,$C1034*VLOOKUP($B1034,'4. CÀI ĐẶT'!$A$2:$H$32,7,FALSE)))</f>
        <v/>
      </c>
    </row>
    <row r="1035">
      <c r="A1035" s="8" t="n"/>
      <c r="B1035" s="9" t="n"/>
      <c r="C1035" s="65" t="n"/>
      <c r="D1035" s="9" t="n"/>
      <c r="E1035" s="66">
        <f>IF($B1035="","",IF(LEFT($B1035,1)="━","⚠️ Chọn hạng mục cụ thể",$C1035*VLOOKUP($B1035,'4. CÀI ĐẶT'!$A$2:$H$32,2,FALSE)))</f>
        <v/>
      </c>
      <c r="F1035" s="67">
        <f>IF($B1035="",0,IF(LEFT($B1035,1)="━",0,$C1035*VLOOKUP($B1035,'4. CÀI ĐẶT'!$A$2:$H$32,3,FALSE)))</f>
        <v/>
      </c>
      <c r="G1035" s="67">
        <f>IF($B1035="",0,IF(LEFT($B1035,1)="━",0,$C1035*VLOOKUP($B1035,'4. CÀI ĐẶT'!$A$2:$H$32,4,FALSE)))</f>
        <v/>
      </c>
      <c r="H1035" s="67">
        <f>IF($B1035="",0,IF(LEFT($B1035,1)="━",0,$C1035*VLOOKUP($B1035,'4. CÀI ĐẶT'!$A$2:$H$32,5,FALSE)))</f>
        <v/>
      </c>
      <c r="I1035">
        <f>IF($B1035="","",IF(LEFT($B1035,1)="━","",VLOOKUP($B1035,'4. CÀI ĐẶT'!$A$2:$H$32,6,FALSE)))</f>
        <v/>
      </c>
      <c r="J1035" s="13">
        <f>IF($A1035="","",EOMONTH($A1035,0))</f>
        <v/>
      </c>
      <c r="K1035" s="67">
        <f>IF($B1035="",0,IF(LEFT($B1035,1)="━",0,$C1035*VLOOKUP($B1035,'4. CÀI ĐẶT'!$A$2:$H$32,7,FALSE)))</f>
        <v/>
      </c>
    </row>
    <row r="1036">
      <c r="A1036" s="8" t="n"/>
      <c r="B1036" s="9" t="n"/>
      <c r="C1036" s="65" t="n"/>
      <c r="D1036" s="9" t="n"/>
      <c r="E1036" s="66">
        <f>IF($B1036="","",IF(LEFT($B1036,1)="━","⚠️ Chọn hạng mục cụ thể",$C1036*VLOOKUP($B1036,'4. CÀI ĐẶT'!$A$2:$H$32,2,FALSE)))</f>
        <v/>
      </c>
      <c r="F1036" s="67">
        <f>IF($B1036="",0,IF(LEFT($B1036,1)="━",0,$C1036*VLOOKUP($B1036,'4. CÀI ĐẶT'!$A$2:$H$32,3,FALSE)))</f>
        <v/>
      </c>
      <c r="G1036" s="67">
        <f>IF($B1036="",0,IF(LEFT($B1036,1)="━",0,$C1036*VLOOKUP($B1036,'4. CÀI ĐẶT'!$A$2:$H$32,4,FALSE)))</f>
        <v/>
      </c>
      <c r="H1036" s="67">
        <f>IF($B1036="",0,IF(LEFT($B1036,1)="━",0,$C1036*VLOOKUP($B1036,'4. CÀI ĐẶT'!$A$2:$H$32,5,FALSE)))</f>
        <v/>
      </c>
      <c r="I1036">
        <f>IF($B1036="","",IF(LEFT($B1036,1)="━","",VLOOKUP($B1036,'4. CÀI ĐẶT'!$A$2:$H$32,6,FALSE)))</f>
        <v/>
      </c>
      <c r="J1036" s="13">
        <f>IF($A1036="","",EOMONTH($A1036,0))</f>
        <v/>
      </c>
      <c r="K1036" s="67">
        <f>IF($B1036="",0,IF(LEFT($B1036,1)="━",0,$C1036*VLOOKUP($B1036,'4. CÀI ĐẶT'!$A$2:$H$32,7,FALSE)))</f>
        <v/>
      </c>
    </row>
    <row r="1037">
      <c r="A1037" s="8" t="n"/>
      <c r="B1037" s="9" t="n"/>
      <c r="C1037" s="65" t="n"/>
      <c r="D1037" s="9" t="n"/>
      <c r="E1037" s="66">
        <f>IF($B1037="","",IF(LEFT($B1037,1)="━","⚠️ Chọn hạng mục cụ thể",$C1037*VLOOKUP($B1037,'4. CÀI ĐẶT'!$A$2:$H$32,2,FALSE)))</f>
        <v/>
      </c>
      <c r="F1037" s="67">
        <f>IF($B1037="",0,IF(LEFT($B1037,1)="━",0,$C1037*VLOOKUP($B1037,'4. CÀI ĐẶT'!$A$2:$H$32,3,FALSE)))</f>
        <v/>
      </c>
      <c r="G1037" s="67">
        <f>IF($B1037="",0,IF(LEFT($B1037,1)="━",0,$C1037*VLOOKUP($B1037,'4. CÀI ĐẶT'!$A$2:$H$32,4,FALSE)))</f>
        <v/>
      </c>
      <c r="H1037" s="67">
        <f>IF($B1037="",0,IF(LEFT($B1037,1)="━",0,$C1037*VLOOKUP($B1037,'4. CÀI ĐẶT'!$A$2:$H$32,5,FALSE)))</f>
        <v/>
      </c>
      <c r="I1037">
        <f>IF($B1037="","",IF(LEFT($B1037,1)="━","",VLOOKUP($B1037,'4. CÀI ĐẶT'!$A$2:$H$32,6,FALSE)))</f>
        <v/>
      </c>
      <c r="J1037" s="13">
        <f>IF($A1037="","",EOMONTH($A1037,0))</f>
        <v/>
      </c>
      <c r="K1037" s="67">
        <f>IF($B1037="",0,IF(LEFT($B1037,1)="━",0,$C1037*VLOOKUP($B1037,'4. CÀI ĐẶT'!$A$2:$H$32,7,FALSE)))</f>
        <v/>
      </c>
    </row>
    <row r="1038">
      <c r="A1038" s="8" t="n"/>
      <c r="B1038" s="9" t="n"/>
      <c r="C1038" s="65" t="n"/>
      <c r="D1038" s="9" t="n"/>
      <c r="E1038" s="66">
        <f>IF($B1038="","",IF(LEFT($B1038,1)="━","⚠️ Chọn hạng mục cụ thể",$C1038*VLOOKUP($B1038,'4. CÀI ĐẶT'!$A$2:$H$32,2,FALSE)))</f>
        <v/>
      </c>
      <c r="F1038" s="67">
        <f>IF($B1038="",0,IF(LEFT($B1038,1)="━",0,$C1038*VLOOKUP($B1038,'4. CÀI ĐẶT'!$A$2:$H$32,3,FALSE)))</f>
        <v/>
      </c>
      <c r="G1038" s="67">
        <f>IF($B1038="",0,IF(LEFT($B1038,1)="━",0,$C1038*VLOOKUP($B1038,'4. CÀI ĐẶT'!$A$2:$H$32,4,FALSE)))</f>
        <v/>
      </c>
      <c r="H1038" s="67">
        <f>IF($B1038="",0,IF(LEFT($B1038,1)="━",0,$C1038*VLOOKUP($B1038,'4. CÀI ĐẶT'!$A$2:$H$32,5,FALSE)))</f>
        <v/>
      </c>
      <c r="I1038">
        <f>IF($B1038="","",IF(LEFT($B1038,1)="━","",VLOOKUP($B1038,'4. CÀI ĐẶT'!$A$2:$H$32,6,FALSE)))</f>
        <v/>
      </c>
      <c r="J1038" s="13">
        <f>IF($A1038="","",EOMONTH($A1038,0))</f>
        <v/>
      </c>
      <c r="K1038" s="67">
        <f>IF($B1038="",0,IF(LEFT($B1038,1)="━",0,$C1038*VLOOKUP($B1038,'4. CÀI ĐẶT'!$A$2:$H$32,7,FALSE)))</f>
        <v/>
      </c>
    </row>
    <row r="1039">
      <c r="A1039" s="8" t="n"/>
      <c r="B1039" s="9" t="n"/>
      <c r="C1039" s="65" t="n"/>
      <c r="D1039" s="9" t="n"/>
      <c r="E1039" s="66">
        <f>IF($B1039="","",IF(LEFT($B1039,1)="━","⚠️ Chọn hạng mục cụ thể",$C1039*VLOOKUP($B1039,'4. CÀI ĐẶT'!$A$2:$H$32,2,FALSE)))</f>
        <v/>
      </c>
      <c r="F1039" s="67">
        <f>IF($B1039="",0,IF(LEFT($B1039,1)="━",0,$C1039*VLOOKUP($B1039,'4. CÀI ĐẶT'!$A$2:$H$32,3,FALSE)))</f>
        <v/>
      </c>
      <c r="G1039" s="67">
        <f>IF($B1039="",0,IF(LEFT($B1039,1)="━",0,$C1039*VLOOKUP($B1039,'4. CÀI ĐẶT'!$A$2:$H$32,4,FALSE)))</f>
        <v/>
      </c>
      <c r="H1039" s="67">
        <f>IF($B1039="",0,IF(LEFT($B1039,1)="━",0,$C1039*VLOOKUP($B1039,'4. CÀI ĐẶT'!$A$2:$H$32,5,FALSE)))</f>
        <v/>
      </c>
      <c r="I1039">
        <f>IF($B1039="","",IF(LEFT($B1039,1)="━","",VLOOKUP($B1039,'4. CÀI ĐẶT'!$A$2:$H$32,6,FALSE)))</f>
        <v/>
      </c>
      <c r="J1039" s="13">
        <f>IF($A1039="","",EOMONTH($A1039,0))</f>
        <v/>
      </c>
      <c r="K1039" s="67">
        <f>IF($B1039="",0,IF(LEFT($B1039,1)="━",0,$C1039*VLOOKUP($B1039,'4. CÀI ĐẶT'!$A$2:$H$32,7,FALSE)))</f>
        <v/>
      </c>
    </row>
    <row r="1040">
      <c r="A1040" s="8" t="n"/>
      <c r="B1040" s="9" t="n"/>
      <c r="C1040" s="65" t="n"/>
      <c r="D1040" s="9" t="n"/>
      <c r="E1040" s="66">
        <f>IF($B1040="","",IF(LEFT($B1040,1)="━","⚠️ Chọn hạng mục cụ thể",$C1040*VLOOKUP($B1040,'4. CÀI ĐẶT'!$A$2:$H$32,2,FALSE)))</f>
        <v/>
      </c>
      <c r="F1040" s="67">
        <f>IF($B1040="",0,IF(LEFT($B1040,1)="━",0,$C1040*VLOOKUP($B1040,'4. CÀI ĐẶT'!$A$2:$H$32,3,FALSE)))</f>
        <v/>
      </c>
      <c r="G1040" s="67">
        <f>IF($B1040="",0,IF(LEFT($B1040,1)="━",0,$C1040*VLOOKUP($B1040,'4. CÀI ĐẶT'!$A$2:$H$32,4,FALSE)))</f>
        <v/>
      </c>
      <c r="H1040" s="67">
        <f>IF($B1040="",0,IF(LEFT($B1040,1)="━",0,$C1040*VLOOKUP($B1040,'4. CÀI ĐẶT'!$A$2:$H$32,5,FALSE)))</f>
        <v/>
      </c>
      <c r="I1040">
        <f>IF($B1040="","",IF(LEFT($B1040,1)="━","",VLOOKUP($B1040,'4. CÀI ĐẶT'!$A$2:$H$32,6,FALSE)))</f>
        <v/>
      </c>
      <c r="J1040" s="13">
        <f>IF($A1040="","",EOMONTH($A1040,0))</f>
        <v/>
      </c>
      <c r="K1040" s="67">
        <f>IF($B1040="",0,IF(LEFT($B1040,1)="━",0,$C1040*VLOOKUP($B1040,'4. CÀI ĐẶT'!$A$2:$H$32,7,FALSE)))</f>
        <v/>
      </c>
    </row>
    <row r="1041">
      <c r="A1041" s="8" t="n"/>
      <c r="B1041" s="9" t="n"/>
      <c r="C1041" s="65" t="n"/>
      <c r="D1041" s="9" t="n"/>
      <c r="E1041" s="66">
        <f>IF($B1041="","",IF(LEFT($B1041,1)="━","⚠️ Chọn hạng mục cụ thể",$C1041*VLOOKUP($B1041,'4. CÀI ĐẶT'!$A$2:$H$32,2,FALSE)))</f>
        <v/>
      </c>
      <c r="F1041" s="67">
        <f>IF($B1041="",0,IF(LEFT($B1041,1)="━",0,$C1041*VLOOKUP($B1041,'4. CÀI ĐẶT'!$A$2:$H$32,3,FALSE)))</f>
        <v/>
      </c>
      <c r="G1041" s="67">
        <f>IF($B1041="",0,IF(LEFT($B1041,1)="━",0,$C1041*VLOOKUP($B1041,'4. CÀI ĐẶT'!$A$2:$H$32,4,FALSE)))</f>
        <v/>
      </c>
      <c r="H1041" s="67">
        <f>IF($B1041="",0,IF(LEFT($B1041,1)="━",0,$C1041*VLOOKUP($B1041,'4. CÀI ĐẶT'!$A$2:$H$32,5,FALSE)))</f>
        <v/>
      </c>
      <c r="I1041">
        <f>IF($B1041="","",IF(LEFT($B1041,1)="━","",VLOOKUP($B1041,'4. CÀI ĐẶT'!$A$2:$H$32,6,FALSE)))</f>
        <v/>
      </c>
      <c r="J1041" s="13">
        <f>IF($A1041="","",EOMONTH($A1041,0))</f>
        <v/>
      </c>
      <c r="K1041" s="67">
        <f>IF($B1041="",0,IF(LEFT($B1041,1)="━",0,$C1041*VLOOKUP($B1041,'4. CÀI ĐẶT'!$A$2:$H$32,7,FALSE)))</f>
        <v/>
      </c>
    </row>
    <row r="1042">
      <c r="A1042" s="8" t="n"/>
      <c r="B1042" s="9" t="n"/>
      <c r="C1042" s="65" t="n"/>
      <c r="D1042" s="9" t="n"/>
      <c r="E1042" s="66">
        <f>IF($B1042="","",IF(LEFT($B1042,1)="━","⚠️ Chọn hạng mục cụ thể",$C1042*VLOOKUP($B1042,'4. CÀI ĐẶT'!$A$2:$H$32,2,FALSE)))</f>
        <v/>
      </c>
      <c r="F1042" s="67">
        <f>IF($B1042="",0,IF(LEFT($B1042,1)="━",0,$C1042*VLOOKUP($B1042,'4. CÀI ĐẶT'!$A$2:$H$32,3,FALSE)))</f>
        <v/>
      </c>
      <c r="G1042" s="67">
        <f>IF($B1042="",0,IF(LEFT($B1042,1)="━",0,$C1042*VLOOKUP($B1042,'4. CÀI ĐẶT'!$A$2:$H$32,4,FALSE)))</f>
        <v/>
      </c>
      <c r="H1042" s="67">
        <f>IF($B1042="",0,IF(LEFT($B1042,1)="━",0,$C1042*VLOOKUP($B1042,'4. CÀI ĐẶT'!$A$2:$H$32,5,FALSE)))</f>
        <v/>
      </c>
      <c r="I1042">
        <f>IF($B1042="","",IF(LEFT($B1042,1)="━","",VLOOKUP($B1042,'4. CÀI ĐẶT'!$A$2:$H$32,6,FALSE)))</f>
        <v/>
      </c>
      <c r="J1042" s="13">
        <f>IF($A1042="","",EOMONTH($A1042,0))</f>
        <v/>
      </c>
      <c r="K1042" s="67">
        <f>IF($B1042="",0,IF(LEFT($B1042,1)="━",0,$C1042*VLOOKUP($B1042,'4. CÀI ĐẶT'!$A$2:$H$32,7,FALSE)))</f>
        <v/>
      </c>
    </row>
    <row r="1043">
      <c r="A1043" s="8" t="n"/>
      <c r="B1043" s="9" t="n"/>
      <c r="C1043" s="65" t="n"/>
      <c r="D1043" s="9" t="n"/>
      <c r="E1043" s="66">
        <f>IF($B1043="","",IF(LEFT($B1043,1)="━","⚠️ Chọn hạng mục cụ thể",$C1043*VLOOKUP($B1043,'4. CÀI ĐẶT'!$A$2:$H$32,2,FALSE)))</f>
        <v/>
      </c>
      <c r="F1043" s="67">
        <f>IF($B1043="",0,IF(LEFT($B1043,1)="━",0,$C1043*VLOOKUP($B1043,'4. CÀI ĐẶT'!$A$2:$H$32,3,FALSE)))</f>
        <v/>
      </c>
      <c r="G1043" s="67">
        <f>IF($B1043="",0,IF(LEFT($B1043,1)="━",0,$C1043*VLOOKUP($B1043,'4. CÀI ĐẶT'!$A$2:$H$32,4,FALSE)))</f>
        <v/>
      </c>
      <c r="H1043" s="67">
        <f>IF($B1043="",0,IF(LEFT($B1043,1)="━",0,$C1043*VLOOKUP($B1043,'4. CÀI ĐẶT'!$A$2:$H$32,5,FALSE)))</f>
        <v/>
      </c>
      <c r="I1043">
        <f>IF($B1043="","",IF(LEFT($B1043,1)="━","",VLOOKUP($B1043,'4. CÀI ĐẶT'!$A$2:$H$32,6,FALSE)))</f>
        <v/>
      </c>
      <c r="J1043" s="13">
        <f>IF($A1043="","",EOMONTH($A1043,0))</f>
        <v/>
      </c>
      <c r="K1043" s="67">
        <f>IF($B1043="",0,IF(LEFT($B1043,1)="━",0,$C1043*VLOOKUP($B1043,'4. CÀI ĐẶT'!$A$2:$H$32,7,FALSE)))</f>
        <v/>
      </c>
    </row>
    <row r="1044">
      <c r="A1044" s="8" t="n"/>
      <c r="B1044" s="9" t="n"/>
      <c r="C1044" s="65" t="n"/>
      <c r="D1044" s="9" t="n"/>
      <c r="E1044" s="66">
        <f>IF($B1044="","",IF(LEFT($B1044,1)="━","⚠️ Chọn hạng mục cụ thể",$C1044*VLOOKUP($B1044,'4. CÀI ĐẶT'!$A$2:$H$32,2,FALSE)))</f>
        <v/>
      </c>
      <c r="F1044" s="67">
        <f>IF($B1044="",0,IF(LEFT($B1044,1)="━",0,$C1044*VLOOKUP($B1044,'4. CÀI ĐẶT'!$A$2:$H$32,3,FALSE)))</f>
        <v/>
      </c>
      <c r="G1044" s="67">
        <f>IF($B1044="",0,IF(LEFT($B1044,1)="━",0,$C1044*VLOOKUP($B1044,'4. CÀI ĐẶT'!$A$2:$H$32,4,FALSE)))</f>
        <v/>
      </c>
      <c r="H1044" s="67">
        <f>IF($B1044="",0,IF(LEFT($B1044,1)="━",0,$C1044*VLOOKUP($B1044,'4. CÀI ĐẶT'!$A$2:$H$32,5,FALSE)))</f>
        <v/>
      </c>
      <c r="I1044">
        <f>IF($B1044="","",IF(LEFT($B1044,1)="━","",VLOOKUP($B1044,'4. CÀI ĐẶT'!$A$2:$H$32,6,FALSE)))</f>
        <v/>
      </c>
      <c r="J1044" s="13">
        <f>IF($A1044="","",EOMONTH($A1044,0))</f>
        <v/>
      </c>
      <c r="K1044" s="67">
        <f>IF($B1044="",0,IF(LEFT($B1044,1)="━",0,$C1044*VLOOKUP($B1044,'4. CÀI ĐẶT'!$A$2:$H$32,7,FALSE)))</f>
        <v/>
      </c>
    </row>
    <row r="1045">
      <c r="A1045" s="8" t="n"/>
      <c r="B1045" s="9" t="n"/>
      <c r="C1045" s="65" t="n"/>
      <c r="D1045" s="9" t="n"/>
      <c r="E1045" s="66">
        <f>IF($B1045="","",IF(LEFT($B1045,1)="━","⚠️ Chọn hạng mục cụ thể",$C1045*VLOOKUP($B1045,'4. CÀI ĐẶT'!$A$2:$H$32,2,FALSE)))</f>
        <v/>
      </c>
      <c r="F1045" s="67">
        <f>IF($B1045="",0,IF(LEFT($B1045,1)="━",0,$C1045*VLOOKUP($B1045,'4. CÀI ĐẶT'!$A$2:$H$32,3,FALSE)))</f>
        <v/>
      </c>
      <c r="G1045" s="67">
        <f>IF($B1045="",0,IF(LEFT($B1045,1)="━",0,$C1045*VLOOKUP($B1045,'4. CÀI ĐẶT'!$A$2:$H$32,4,FALSE)))</f>
        <v/>
      </c>
      <c r="H1045" s="67">
        <f>IF($B1045="",0,IF(LEFT($B1045,1)="━",0,$C1045*VLOOKUP($B1045,'4. CÀI ĐẶT'!$A$2:$H$32,5,FALSE)))</f>
        <v/>
      </c>
      <c r="I1045">
        <f>IF($B1045="","",IF(LEFT($B1045,1)="━","",VLOOKUP($B1045,'4. CÀI ĐẶT'!$A$2:$H$32,6,FALSE)))</f>
        <v/>
      </c>
      <c r="J1045" s="13">
        <f>IF($A1045="","",EOMONTH($A1045,0))</f>
        <v/>
      </c>
      <c r="K1045" s="67">
        <f>IF($B1045="",0,IF(LEFT($B1045,1)="━",0,$C1045*VLOOKUP($B1045,'4. CÀI ĐẶT'!$A$2:$H$32,7,FALSE)))</f>
        <v/>
      </c>
    </row>
    <row r="1046">
      <c r="A1046" s="8" t="n"/>
      <c r="B1046" s="9" t="n"/>
      <c r="C1046" s="65" t="n"/>
      <c r="D1046" s="9" t="n"/>
      <c r="E1046" s="66">
        <f>IF($B1046="","",IF(LEFT($B1046,1)="━","⚠️ Chọn hạng mục cụ thể",$C1046*VLOOKUP($B1046,'4. CÀI ĐẶT'!$A$2:$H$32,2,FALSE)))</f>
        <v/>
      </c>
      <c r="F1046" s="67">
        <f>IF($B1046="",0,IF(LEFT($B1046,1)="━",0,$C1046*VLOOKUP($B1046,'4. CÀI ĐẶT'!$A$2:$H$32,3,FALSE)))</f>
        <v/>
      </c>
      <c r="G1046" s="67">
        <f>IF($B1046="",0,IF(LEFT($B1046,1)="━",0,$C1046*VLOOKUP($B1046,'4. CÀI ĐẶT'!$A$2:$H$32,4,FALSE)))</f>
        <v/>
      </c>
      <c r="H1046" s="67">
        <f>IF($B1046="",0,IF(LEFT($B1046,1)="━",0,$C1046*VLOOKUP($B1046,'4. CÀI ĐẶT'!$A$2:$H$32,5,FALSE)))</f>
        <v/>
      </c>
      <c r="I1046">
        <f>IF($B1046="","",IF(LEFT($B1046,1)="━","",VLOOKUP($B1046,'4. CÀI ĐẶT'!$A$2:$H$32,6,FALSE)))</f>
        <v/>
      </c>
      <c r="J1046" s="13">
        <f>IF($A1046="","",EOMONTH($A1046,0))</f>
        <v/>
      </c>
      <c r="K1046" s="67">
        <f>IF($B1046="",0,IF(LEFT($B1046,1)="━",0,$C1046*VLOOKUP($B1046,'4. CÀI ĐẶT'!$A$2:$H$32,7,FALSE)))</f>
        <v/>
      </c>
    </row>
    <row r="1047">
      <c r="A1047" s="8" t="n"/>
      <c r="B1047" s="9" t="n"/>
      <c r="C1047" s="65" t="n"/>
      <c r="D1047" s="9" t="n"/>
      <c r="E1047" s="66">
        <f>IF($B1047="","",IF(LEFT($B1047,1)="━","⚠️ Chọn hạng mục cụ thể",$C1047*VLOOKUP($B1047,'4. CÀI ĐẶT'!$A$2:$H$32,2,FALSE)))</f>
        <v/>
      </c>
      <c r="F1047" s="67">
        <f>IF($B1047="",0,IF(LEFT($B1047,1)="━",0,$C1047*VLOOKUP($B1047,'4. CÀI ĐẶT'!$A$2:$H$32,3,FALSE)))</f>
        <v/>
      </c>
      <c r="G1047" s="67">
        <f>IF($B1047="",0,IF(LEFT($B1047,1)="━",0,$C1047*VLOOKUP($B1047,'4. CÀI ĐẶT'!$A$2:$H$32,4,FALSE)))</f>
        <v/>
      </c>
      <c r="H1047" s="67">
        <f>IF($B1047="",0,IF(LEFT($B1047,1)="━",0,$C1047*VLOOKUP($B1047,'4. CÀI ĐẶT'!$A$2:$H$32,5,FALSE)))</f>
        <v/>
      </c>
      <c r="I1047">
        <f>IF($B1047="","",IF(LEFT($B1047,1)="━","",VLOOKUP($B1047,'4. CÀI ĐẶT'!$A$2:$H$32,6,FALSE)))</f>
        <v/>
      </c>
      <c r="J1047" s="13">
        <f>IF($A1047="","",EOMONTH($A1047,0))</f>
        <v/>
      </c>
      <c r="K1047" s="67">
        <f>IF($B1047="",0,IF(LEFT($B1047,1)="━",0,$C1047*VLOOKUP($B1047,'4. CÀI ĐẶT'!$A$2:$H$32,7,FALSE)))</f>
        <v/>
      </c>
    </row>
    <row r="1048">
      <c r="A1048" s="8" t="n"/>
      <c r="B1048" s="9" t="n"/>
      <c r="C1048" s="65" t="n"/>
      <c r="D1048" s="9" t="n"/>
      <c r="E1048" s="66">
        <f>IF($B1048="","",IF(LEFT($B1048,1)="━","⚠️ Chọn hạng mục cụ thể",$C1048*VLOOKUP($B1048,'4. CÀI ĐẶT'!$A$2:$H$32,2,FALSE)))</f>
        <v/>
      </c>
      <c r="F1048" s="67">
        <f>IF($B1048="",0,IF(LEFT($B1048,1)="━",0,$C1048*VLOOKUP($B1048,'4. CÀI ĐẶT'!$A$2:$H$32,3,FALSE)))</f>
        <v/>
      </c>
      <c r="G1048" s="67">
        <f>IF($B1048="",0,IF(LEFT($B1048,1)="━",0,$C1048*VLOOKUP($B1048,'4. CÀI ĐẶT'!$A$2:$H$32,4,FALSE)))</f>
        <v/>
      </c>
      <c r="H1048" s="67">
        <f>IF($B1048="",0,IF(LEFT($B1048,1)="━",0,$C1048*VLOOKUP($B1048,'4. CÀI ĐẶT'!$A$2:$H$32,5,FALSE)))</f>
        <v/>
      </c>
      <c r="I1048">
        <f>IF($B1048="","",IF(LEFT($B1048,1)="━","",VLOOKUP($B1048,'4. CÀI ĐẶT'!$A$2:$H$32,6,FALSE)))</f>
        <v/>
      </c>
      <c r="J1048" s="13">
        <f>IF($A1048="","",EOMONTH($A1048,0))</f>
        <v/>
      </c>
      <c r="K1048" s="67">
        <f>IF($B1048="",0,IF(LEFT($B1048,1)="━",0,$C1048*VLOOKUP($B1048,'4. CÀI ĐẶT'!$A$2:$H$32,7,FALSE)))</f>
        <v/>
      </c>
    </row>
    <row r="1049">
      <c r="A1049" s="8" t="n"/>
      <c r="B1049" s="9" t="n"/>
      <c r="C1049" s="65" t="n"/>
      <c r="D1049" s="9" t="n"/>
      <c r="E1049" s="66">
        <f>IF($B1049="","",IF(LEFT($B1049,1)="━","⚠️ Chọn hạng mục cụ thể",$C1049*VLOOKUP($B1049,'4. CÀI ĐẶT'!$A$2:$H$32,2,FALSE)))</f>
        <v/>
      </c>
      <c r="F1049" s="67">
        <f>IF($B1049="",0,IF(LEFT($B1049,1)="━",0,$C1049*VLOOKUP($B1049,'4. CÀI ĐẶT'!$A$2:$H$32,3,FALSE)))</f>
        <v/>
      </c>
      <c r="G1049" s="67">
        <f>IF($B1049="",0,IF(LEFT($B1049,1)="━",0,$C1049*VLOOKUP($B1049,'4. CÀI ĐẶT'!$A$2:$H$32,4,FALSE)))</f>
        <v/>
      </c>
      <c r="H1049" s="67">
        <f>IF($B1049="",0,IF(LEFT($B1049,1)="━",0,$C1049*VLOOKUP($B1049,'4. CÀI ĐẶT'!$A$2:$H$32,5,FALSE)))</f>
        <v/>
      </c>
      <c r="I1049">
        <f>IF($B1049="","",IF(LEFT($B1049,1)="━","",VLOOKUP($B1049,'4. CÀI ĐẶT'!$A$2:$H$32,6,FALSE)))</f>
        <v/>
      </c>
      <c r="J1049" s="13">
        <f>IF($A1049="","",EOMONTH($A1049,0))</f>
        <v/>
      </c>
      <c r="K1049" s="67">
        <f>IF($B1049="",0,IF(LEFT($B1049,1)="━",0,$C1049*VLOOKUP($B1049,'4. CÀI ĐẶT'!$A$2:$H$32,7,FALSE)))</f>
        <v/>
      </c>
    </row>
    <row r="1050">
      <c r="A1050" s="8" t="n"/>
      <c r="B1050" s="9" t="n"/>
      <c r="C1050" s="65" t="n"/>
      <c r="D1050" s="9" t="n"/>
      <c r="E1050" s="66">
        <f>IF($B1050="","",IF(LEFT($B1050,1)="━","⚠️ Chọn hạng mục cụ thể",$C1050*VLOOKUP($B1050,'4. CÀI ĐẶT'!$A$2:$H$32,2,FALSE)))</f>
        <v/>
      </c>
      <c r="F1050" s="67">
        <f>IF($B1050="",0,IF(LEFT($B1050,1)="━",0,$C1050*VLOOKUP($B1050,'4. CÀI ĐẶT'!$A$2:$H$32,3,FALSE)))</f>
        <v/>
      </c>
      <c r="G1050" s="67">
        <f>IF($B1050="",0,IF(LEFT($B1050,1)="━",0,$C1050*VLOOKUP($B1050,'4. CÀI ĐẶT'!$A$2:$H$32,4,FALSE)))</f>
        <v/>
      </c>
      <c r="H1050" s="67">
        <f>IF($B1050="",0,IF(LEFT($B1050,1)="━",0,$C1050*VLOOKUP($B1050,'4. CÀI ĐẶT'!$A$2:$H$32,5,FALSE)))</f>
        <v/>
      </c>
      <c r="I1050">
        <f>IF($B1050="","",IF(LEFT($B1050,1)="━","",VLOOKUP($B1050,'4. CÀI ĐẶT'!$A$2:$H$32,6,FALSE)))</f>
        <v/>
      </c>
      <c r="J1050" s="13">
        <f>IF($A1050="","",EOMONTH($A1050,0))</f>
        <v/>
      </c>
      <c r="K1050" s="67">
        <f>IF($B1050="",0,IF(LEFT($B1050,1)="━",0,$C1050*VLOOKUP($B1050,'4. CÀI ĐẶT'!$A$2:$H$32,7,FALSE)))</f>
        <v/>
      </c>
    </row>
    <row r="1051">
      <c r="A1051" s="8" t="n"/>
      <c r="B1051" s="9" t="n"/>
      <c r="C1051" s="65" t="n"/>
      <c r="D1051" s="9" t="n"/>
      <c r="E1051" s="66">
        <f>IF($B1051="","",IF(LEFT($B1051,1)="━","⚠️ Chọn hạng mục cụ thể",$C1051*VLOOKUP($B1051,'4. CÀI ĐẶT'!$A$2:$H$32,2,FALSE)))</f>
        <v/>
      </c>
      <c r="F1051" s="67">
        <f>IF($B1051="",0,IF(LEFT($B1051,1)="━",0,$C1051*VLOOKUP($B1051,'4. CÀI ĐẶT'!$A$2:$H$32,3,FALSE)))</f>
        <v/>
      </c>
      <c r="G1051" s="67">
        <f>IF($B1051="",0,IF(LEFT($B1051,1)="━",0,$C1051*VLOOKUP($B1051,'4. CÀI ĐẶT'!$A$2:$H$32,4,FALSE)))</f>
        <v/>
      </c>
      <c r="H1051" s="67">
        <f>IF($B1051="",0,IF(LEFT($B1051,1)="━",0,$C1051*VLOOKUP($B1051,'4. CÀI ĐẶT'!$A$2:$H$32,5,FALSE)))</f>
        <v/>
      </c>
      <c r="I1051">
        <f>IF($B1051="","",IF(LEFT($B1051,1)="━","",VLOOKUP($B1051,'4. CÀI ĐẶT'!$A$2:$H$32,6,FALSE)))</f>
        <v/>
      </c>
      <c r="J1051" s="13">
        <f>IF($A1051="","",EOMONTH($A1051,0))</f>
        <v/>
      </c>
      <c r="K1051" s="67">
        <f>IF($B1051="",0,IF(LEFT($B1051,1)="━",0,$C1051*VLOOKUP($B1051,'4. CÀI ĐẶT'!$A$2:$H$32,7,FALSE)))</f>
        <v/>
      </c>
    </row>
    <row r="1052">
      <c r="A1052" s="8" t="n"/>
      <c r="B1052" s="9" t="n"/>
      <c r="C1052" s="65" t="n"/>
      <c r="D1052" s="9" t="n"/>
      <c r="E1052" s="66">
        <f>IF($B1052="","",IF(LEFT($B1052,1)="━","⚠️ Chọn hạng mục cụ thể",$C1052*VLOOKUP($B1052,'4. CÀI ĐẶT'!$A$2:$H$32,2,FALSE)))</f>
        <v/>
      </c>
      <c r="F1052" s="67">
        <f>IF($B1052="",0,IF(LEFT($B1052,1)="━",0,$C1052*VLOOKUP($B1052,'4. CÀI ĐẶT'!$A$2:$H$32,3,FALSE)))</f>
        <v/>
      </c>
      <c r="G1052" s="67">
        <f>IF($B1052="",0,IF(LEFT($B1052,1)="━",0,$C1052*VLOOKUP($B1052,'4. CÀI ĐẶT'!$A$2:$H$32,4,FALSE)))</f>
        <v/>
      </c>
      <c r="H1052" s="67">
        <f>IF($B1052="",0,IF(LEFT($B1052,1)="━",0,$C1052*VLOOKUP($B1052,'4. CÀI ĐẶT'!$A$2:$H$32,5,FALSE)))</f>
        <v/>
      </c>
      <c r="I1052">
        <f>IF($B1052="","",IF(LEFT($B1052,1)="━","",VLOOKUP($B1052,'4. CÀI ĐẶT'!$A$2:$H$32,6,FALSE)))</f>
        <v/>
      </c>
      <c r="J1052" s="13">
        <f>IF($A1052="","",EOMONTH($A1052,0))</f>
        <v/>
      </c>
      <c r="K1052" s="67">
        <f>IF($B1052="",0,IF(LEFT($B1052,1)="━",0,$C1052*VLOOKUP($B1052,'4. CÀI ĐẶT'!$A$2:$H$32,7,FALSE)))</f>
        <v/>
      </c>
    </row>
    <row r="1053">
      <c r="A1053" s="8" t="n"/>
      <c r="B1053" s="9" t="n"/>
      <c r="C1053" s="65" t="n"/>
      <c r="D1053" s="9" t="n"/>
      <c r="E1053" s="66">
        <f>IF($B1053="","",IF(LEFT($B1053,1)="━","⚠️ Chọn hạng mục cụ thể",$C1053*VLOOKUP($B1053,'4. CÀI ĐẶT'!$A$2:$H$32,2,FALSE)))</f>
        <v/>
      </c>
      <c r="F1053" s="67">
        <f>IF($B1053="",0,IF(LEFT($B1053,1)="━",0,$C1053*VLOOKUP($B1053,'4. CÀI ĐẶT'!$A$2:$H$32,3,FALSE)))</f>
        <v/>
      </c>
      <c r="G1053" s="67">
        <f>IF($B1053="",0,IF(LEFT($B1053,1)="━",0,$C1053*VLOOKUP($B1053,'4. CÀI ĐẶT'!$A$2:$H$32,4,FALSE)))</f>
        <v/>
      </c>
      <c r="H1053" s="67">
        <f>IF($B1053="",0,IF(LEFT($B1053,1)="━",0,$C1053*VLOOKUP($B1053,'4. CÀI ĐẶT'!$A$2:$H$32,5,FALSE)))</f>
        <v/>
      </c>
      <c r="I1053">
        <f>IF($B1053="","",IF(LEFT($B1053,1)="━","",VLOOKUP($B1053,'4. CÀI ĐẶT'!$A$2:$H$32,6,FALSE)))</f>
        <v/>
      </c>
      <c r="J1053" s="13">
        <f>IF($A1053="","",EOMONTH($A1053,0))</f>
        <v/>
      </c>
      <c r="K1053" s="67">
        <f>IF($B1053="",0,IF(LEFT($B1053,1)="━",0,$C1053*VLOOKUP($B1053,'4. CÀI ĐẶT'!$A$2:$H$32,7,FALSE)))</f>
        <v/>
      </c>
    </row>
    <row r="1054">
      <c r="A1054" s="8" t="n"/>
      <c r="B1054" s="9" t="n"/>
      <c r="C1054" s="65" t="n"/>
      <c r="D1054" s="9" t="n"/>
      <c r="E1054" s="66">
        <f>IF($B1054="","",IF(LEFT($B1054,1)="━","⚠️ Chọn hạng mục cụ thể",$C1054*VLOOKUP($B1054,'4. CÀI ĐẶT'!$A$2:$H$32,2,FALSE)))</f>
        <v/>
      </c>
      <c r="F1054" s="67">
        <f>IF($B1054="",0,IF(LEFT($B1054,1)="━",0,$C1054*VLOOKUP($B1054,'4. CÀI ĐẶT'!$A$2:$H$32,3,FALSE)))</f>
        <v/>
      </c>
      <c r="G1054" s="67">
        <f>IF($B1054="",0,IF(LEFT($B1054,1)="━",0,$C1054*VLOOKUP($B1054,'4. CÀI ĐẶT'!$A$2:$H$32,4,FALSE)))</f>
        <v/>
      </c>
      <c r="H1054" s="67">
        <f>IF($B1054="",0,IF(LEFT($B1054,1)="━",0,$C1054*VLOOKUP($B1054,'4. CÀI ĐẶT'!$A$2:$H$32,5,FALSE)))</f>
        <v/>
      </c>
      <c r="I1054">
        <f>IF($B1054="","",IF(LEFT($B1054,1)="━","",VLOOKUP($B1054,'4. CÀI ĐẶT'!$A$2:$H$32,6,FALSE)))</f>
        <v/>
      </c>
      <c r="J1054" s="13">
        <f>IF($A1054="","",EOMONTH($A1054,0))</f>
        <v/>
      </c>
      <c r="K1054" s="67">
        <f>IF($B1054="",0,IF(LEFT($B1054,1)="━",0,$C1054*VLOOKUP($B1054,'4. CÀI ĐẶT'!$A$2:$H$32,7,FALSE)))</f>
        <v/>
      </c>
    </row>
    <row r="1055">
      <c r="A1055" s="8" t="n"/>
      <c r="B1055" s="9" t="n"/>
      <c r="C1055" s="65" t="n"/>
      <c r="D1055" s="9" t="n"/>
      <c r="E1055" s="66">
        <f>IF($B1055="","",IF(LEFT($B1055,1)="━","⚠️ Chọn hạng mục cụ thể",$C1055*VLOOKUP($B1055,'4. CÀI ĐẶT'!$A$2:$H$32,2,FALSE)))</f>
        <v/>
      </c>
      <c r="F1055" s="67">
        <f>IF($B1055="",0,IF(LEFT($B1055,1)="━",0,$C1055*VLOOKUP($B1055,'4. CÀI ĐẶT'!$A$2:$H$32,3,FALSE)))</f>
        <v/>
      </c>
      <c r="G1055" s="67">
        <f>IF($B1055="",0,IF(LEFT($B1055,1)="━",0,$C1055*VLOOKUP($B1055,'4. CÀI ĐẶT'!$A$2:$H$32,4,FALSE)))</f>
        <v/>
      </c>
      <c r="H1055" s="67">
        <f>IF($B1055="",0,IF(LEFT($B1055,1)="━",0,$C1055*VLOOKUP($B1055,'4. CÀI ĐẶT'!$A$2:$H$32,5,FALSE)))</f>
        <v/>
      </c>
      <c r="I1055">
        <f>IF($B1055="","",IF(LEFT($B1055,1)="━","",VLOOKUP($B1055,'4. CÀI ĐẶT'!$A$2:$H$32,6,FALSE)))</f>
        <v/>
      </c>
      <c r="J1055" s="13">
        <f>IF($A1055="","",EOMONTH($A1055,0))</f>
        <v/>
      </c>
      <c r="K1055" s="67">
        <f>IF($B1055="",0,IF(LEFT($B1055,1)="━",0,$C1055*VLOOKUP($B1055,'4. CÀI ĐẶT'!$A$2:$H$32,7,FALSE)))</f>
        <v/>
      </c>
    </row>
    <row r="1056">
      <c r="A1056" s="8" t="n"/>
      <c r="B1056" s="9" t="n"/>
      <c r="C1056" s="65" t="n"/>
      <c r="D1056" s="9" t="n"/>
      <c r="E1056" s="66">
        <f>IF($B1056="","",IF(LEFT($B1056,1)="━","⚠️ Chọn hạng mục cụ thể",$C1056*VLOOKUP($B1056,'4. CÀI ĐẶT'!$A$2:$H$32,2,FALSE)))</f>
        <v/>
      </c>
      <c r="F1056" s="67">
        <f>IF($B1056="",0,IF(LEFT($B1056,1)="━",0,$C1056*VLOOKUP($B1056,'4. CÀI ĐẶT'!$A$2:$H$32,3,FALSE)))</f>
        <v/>
      </c>
      <c r="G1056" s="67">
        <f>IF($B1056="",0,IF(LEFT($B1056,1)="━",0,$C1056*VLOOKUP($B1056,'4. CÀI ĐẶT'!$A$2:$H$32,4,FALSE)))</f>
        <v/>
      </c>
      <c r="H1056" s="67">
        <f>IF($B1056="",0,IF(LEFT($B1056,1)="━",0,$C1056*VLOOKUP($B1056,'4. CÀI ĐẶT'!$A$2:$H$32,5,FALSE)))</f>
        <v/>
      </c>
      <c r="I1056">
        <f>IF($B1056="","",IF(LEFT($B1056,1)="━","",VLOOKUP($B1056,'4. CÀI ĐẶT'!$A$2:$H$32,6,FALSE)))</f>
        <v/>
      </c>
      <c r="J1056" s="13">
        <f>IF($A1056="","",EOMONTH($A1056,0))</f>
        <v/>
      </c>
      <c r="K1056" s="67">
        <f>IF($B1056="",0,IF(LEFT($B1056,1)="━",0,$C1056*VLOOKUP($B1056,'4. CÀI ĐẶT'!$A$2:$H$32,7,FALSE)))</f>
        <v/>
      </c>
    </row>
    <row r="1057">
      <c r="A1057" s="8" t="n"/>
      <c r="B1057" s="9" t="n"/>
      <c r="C1057" s="65" t="n"/>
      <c r="D1057" s="9" t="n"/>
      <c r="E1057" s="66">
        <f>IF($B1057="","",IF(LEFT($B1057,1)="━","⚠️ Chọn hạng mục cụ thể",$C1057*VLOOKUP($B1057,'4. CÀI ĐẶT'!$A$2:$H$32,2,FALSE)))</f>
        <v/>
      </c>
      <c r="F1057" s="67">
        <f>IF($B1057="",0,IF(LEFT($B1057,1)="━",0,$C1057*VLOOKUP($B1057,'4. CÀI ĐẶT'!$A$2:$H$32,3,FALSE)))</f>
        <v/>
      </c>
      <c r="G1057" s="67">
        <f>IF($B1057="",0,IF(LEFT($B1057,1)="━",0,$C1057*VLOOKUP($B1057,'4. CÀI ĐẶT'!$A$2:$H$32,4,FALSE)))</f>
        <v/>
      </c>
      <c r="H1057" s="67">
        <f>IF($B1057="",0,IF(LEFT($B1057,1)="━",0,$C1057*VLOOKUP($B1057,'4. CÀI ĐẶT'!$A$2:$H$32,5,FALSE)))</f>
        <v/>
      </c>
      <c r="I1057">
        <f>IF($B1057="","",IF(LEFT($B1057,1)="━","",VLOOKUP($B1057,'4. CÀI ĐẶT'!$A$2:$H$32,6,FALSE)))</f>
        <v/>
      </c>
      <c r="J1057" s="13">
        <f>IF($A1057="","",EOMONTH($A1057,0))</f>
        <v/>
      </c>
      <c r="K1057" s="67">
        <f>IF($B1057="",0,IF(LEFT($B1057,1)="━",0,$C1057*VLOOKUP($B1057,'4. CÀI ĐẶT'!$A$2:$H$32,7,FALSE)))</f>
        <v/>
      </c>
    </row>
    <row r="1058">
      <c r="A1058" s="8" t="n"/>
      <c r="B1058" s="9" t="n"/>
      <c r="C1058" s="65" t="n"/>
      <c r="D1058" s="9" t="n"/>
      <c r="E1058" s="66">
        <f>IF($B1058="","",IF(LEFT($B1058,1)="━","⚠️ Chọn hạng mục cụ thể",$C1058*VLOOKUP($B1058,'4. CÀI ĐẶT'!$A$2:$H$32,2,FALSE)))</f>
        <v/>
      </c>
      <c r="F1058" s="67">
        <f>IF($B1058="",0,IF(LEFT($B1058,1)="━",0,$C1058*VLOOKUP($B1058,'4. CÀI ĐẶT'!$A$2:$H$32,3,FALSE)))</f>
        <v/>
      </c>
      <c r="G1058" s="67">
        <f>IF($B1058="",0,IF(LEFT($B1058,1)="━",0,$C1058*VLOOKUP($B1058,'4. CÀI ĐẶT'!$A$2:$H$32,4,FALSE)))</f>
        <v/>
      </c>
      <c r="H1058" s="67">
        <f>IF($B1058="",0,IF(LEFT($B1058,1)="━",0,$C1058*VLOOKUP($B1058,'4. CÀI ĐẶT'!$A$2:$H$32,5,FALSE)))</f>
        <v/>
      </c>
      <c r="I1058">
        <f>IF($B1058="","",IF(LEFT($B1058,1)="━","",VLOOKUP($B1058,'4. CÀI ĐẶT'!$A$2:$H$32,6,FALSE)))</f>
        <v/>
      </c>
      <c r="J1058" s="13">
        <f>IF($A1058="","",EOMONTH($A1058,0))</f>
        <v/>
      </c>
      <c r="K1058" s="67">
        <f>IF($B1058="",0,IF(LEFT($B1058,1)="━",0,$C1058*VLOOKUP($B1058,'4. CÀI ĐẶT'!$A$2:$H$32,7,FALSE)))</f>
        <v/>
      </c>
    </row>
    <row r="1059">
      <c r="A1059" s="8" t="n"/>
      <c r="B1059" s="9" t="n"/>
      <c r="C1059" s="65" t="n"/>
      <c r="D1059" s="9" t="n"/>
      <c r="E1059" s="66">
        <f>IF($B1059="","",IF(LEFT($B1059,1)="━","⚠️ Chọn hạng mục cụ thể",$C1059*VLOOKUP($B1059,'4. CÀI ĐẶT'!$A$2:$H$32,2,FALSE)))</f>
        <v/>
      </c>
      <c r="F1059" s="67">
        <f>IF($B1059="",0,IF(LEFT($B1059,1)="━",0,$C1059*VLOOKUP($B1059,'4. CÀI ĐẶT'!$A$2:$H$32,3,FALSE)))</f>
        <v/>
      </c>
      <c r="G1059" s="67">
        <f>IF($B1059="",0,IF(LEFT($B1059,1)="━",0,$C1059*VLOOKUP($B1059,'4. CÀI ĐẶT'!$A$2:$H$32,4,FALSE)))</f>
        <v/>
      </c>
      <c r="H1059" s="67">
        <f>IF($B1059="",0,IF(LEFT($B1059,1)="━",0,$C1059*VLOOKUP($B1059,'4. CÀI ĐẶT'!$A$2:$H$32,5,FALSE)))</f>
        <v/>
      </c>
      <c r="I1059">
        <f>IF($B1059="","",IF(LEFT($B1059,1)="━","",VLOOKUP($B1059,'4. CÀI ĐẶT'!$A$2:$H$32,6,FALSE)))</f>
        <v/>
      </c>
      <c r="J1059" s="13">
        <f>IF($A1059="","",EOMONTH($A1059,0))</f>
        <v/>
      </c>
      <c r="K1059" s="67">
        <f>IF($B1059="",0,IF(LEFT($B1059,1)="━",0,$C1059*VLOOKUP($B1059,'4. CÀI ĐẶT'!$A$2:$H$32,7,FALSE)))</f>
        <v/>
      </c>
    </row>
    <row r="1060">
      <c r="A1060" s="8" t="n"/>
      <c r="B1060" s="9" t="n"/>
      <c r="C1060" s="65" t="n"/>
      <c r="D1060" s="9" t="n"/>
      <c r="E1060" s="66">
        <f>IF($B1060="","",IF(LEFT($B1060,1)="━","⚠️ Chọn hạng mục cụ thể",$C1060*VLOOKUP($B1060,'4. CÀI ĐẶT'!$A$2:$H$32,2,FALSE)))</f>
        <v/>
      </c>
      <c r="F1060" s="67">
        <f>IF($B1060="",0,IF(LEFT($B1060,1)="━",0,$C1060*VLOOKUP($B1060,'4. CÀI ĐẶT'!$A$2:$H$32,3,FALSE)))</f>
        <v/>
      </c>
      <c r="G1060" s="67">
        <f>IF($B1060="",0,IF(LEFT($B1060,1)="━",0,$C1060*VLOOKUP($B1060,'4. CÀI ĐẶT'!$A$2:$H$32,4,FALSE)))</f>
        <v/>
      </c>
      <c r="H1060" s="67">
        <f>IF($B1060="",0,IF(LEFT($B1060,1)="━",0,$C1060*VLOOKUP($B1060,'4. CÀI ĐẶT'!$A$2:$H$32,5,FALSE)))</f>
        <v/>
      </c>
      <c r="I1060">
        <f>IF($B1060="","",IF(LEFT($B1060,1)="━","",VLOOKUP($B1060,'4. CÀI ĐẶT'!$A$2:$H$32,6,FALSE)))</f>
        <v/>
      </c>
      <c r="J1060" s="13">
        <f>IF($A1060="","",EOMONTH($A1060,0))</f>
        <v/>
      </c>
      <c r="K1060" s="67">
        <f>IF($B1060="",0,IF(LEFT($B1060,1)="━",0,$C1060*VLOOKUP($B1060,'4. CÀI ĐẶT'!$A$2:$H$32,7,FALSE)))</f>
        <v/>
      </c>
    </row>
    <row r="1061">
      <c r="A1061" s="8" t="n"/>
      <c r="B1061" s="9" t="n"/>
      <c r="C1061" s="65" t="n"/>
      <c r="D1061" s="9" t="n"/>
      <c r="E1061" s="66">
        <f>IF($B1061="","",IF(LEFT($B1061,1)="━","⚠️ Chọn hạng mục cụ thể",$C1061*VLOOKUP($B1061,'4. CÀI ĐẶT'!$A$2:$H$32,2,FALSE)))</f>
        <v/>
      </c>
      <c r="F1061" s="67">
        <f>IF($B1061="",0,IF(LEFT($B1061,1)="━",0,$C1061*VLOOKUP($B1061,'4. CÀI ĐẶT'!$A$2:$H$32,3,FALSE)))</f>
        <v/>
      </c>
      <c r="G1061" s="67">
        <f>IF($B1061="",0,IF(LEFT($B1061,1)="━",0,$C1061*VLOOKUP($B1061,'4. CÀI ĐẶT'!$A$2:$H$32,4,FALSE)))</f>
        <v/>
      </c>
      <c r="H1061" s="67">
        <f>IF($B1061="",0,IF(LEFT($B1061,1)="━",0,$C1061*VLOOKUP($B1061,'4. CÀI ĐẶT'!$A$2:$H$32,5,FALSE)))</f>
        <v/>
      </c>
      <c r="I1061">
        <f>IF($B1061="","",IF(LEFT($B1061,1)="━","",VLOOKUP($B1061,'4. CÀI ĐẶT'!$A$2:$H$32,6,FALSE)))</f>
        <v/>
      </c>
      <c r="J1061" s="13">
        <f>IF($A1061="","",EOMONTH($A1061,0))</f>
        <v/>
      </c>
      <c r="K1061" s="67">
        <f>IF($B1061="",0,IF(LEFT($B1061,1)="━",0,$C1061*VLOOKUP($B1061,'4. CÀI ĐẶT'!$A$2:$H$32,7,FALSE)))</f>
        <v/>
      </c>
    </row>
    <row r="1062">
      <c r="A1062" s="8" t="n"/>
      <c r="B1062" s="9" t="n"/>
      <c r="C1062" s="65" t="n"/>
      <c r="D1062" s="9" t="n"/>
      <c r="E1062" s="66">
        <f>IF($B1062="","",IF(LEFT($B1062,1)="━","⚠️ Chọn hạng mục cụ thể",$C1062*VLOOKUP($B1062,'4. CÀI ĐẶT'!$A$2:$H$32,2,FALSE)))</f>
        <v/>
      </c>
      <c r="F1062" s="67">
        <f>IF($B1062="",0,IF(LEFT($B1062,1)="━",0,$C1062*VLOOKUP($B1062,'4. CÀI ĐẶT'!$A$2:$H$32,3,FALSE)))</f>
        <v/>
      </c>
      <c r="G1062" s="67">
        <f>IF($B1062="",0,IF(LEFT($B1062,1)="━",0,$C1062*VLOOKUP($B1062,'4. CÀI ĐẶT'!$A$2:$H$32,4,FALSE)))</f>
        <v/>
      </c>
      <c r="H1062" s="67">
        <f>IF($B1062="",0,IF(LEFT($B1062,1)="━",0,$C1062*VLOOKUP($B1062,'4. CÀI ĐẶT'!$A$2:$H$32,5,FALSE)))</f>
        <v/>
      </c>
      <c r="I1062">
        <f>IF($B1062="","",IF(LEFT($B1062,1)="━","",VLOOKUP($B1062,'4. CÀI ĐẶT'!$A$2:$H$32,6,FALSE)))</f>
        <v/>
      </c>
      <c r="J1062" s="13">
        <f>IF($A1062="","",EOMONTH($A1062,0))</f>
        <v/>
      </c>
      <c r="K1062" s="67">
        <f>IF($B1062="",0,IF(LEFT($B1062,1)="━",0,$C1062*VLOOKUP($B1062,'4. CÀI ĐẶT'!$A$2:$H$32,7,FALSE)))</f>
        <v/>
      </c>
    </row>
    <row r="1063">
      <c r="A1063" s="8" t="n"/>
      <c r="B1063" s="9" t="n"/>
      <c r="C1063" s="65" t="n"/>
      <c r="D1063" s="9" t="n"/>
      <c r="E1063" s="66">
        <f>IF($B1063="","",IF(LEFT($B1063,1)="━","⚠️ Chọn hạng mục cụ thể",$C1063*VLOOKUP($B1063,'4. CÀI ĐẶT'!$A$2:$H$32,2,FALSE)))</f>
        <v/>
      </c>
      <c r="F1063" s="67">
        <f>IF($B1063="",0,IF(LEFT($B1063,1)="━",0,$C1063*VLOOKUP($B1063,'4. CÀI ĐẶT'!$A$2:$H$32,3,FALSE)))</f>
        <v/>
      </c>
      <c r="G1063" s="67">
        <f>IF($B1063="",0,IF(LEFT($B1063,1)="━",0,$C1063*VLOOKUP($B1063,'4. CÀI ĐẶT'!$A$2:$H$32,4,FALSE)))</f>
        <v/>
      </c>
      <c r="H1063" s="67">
        <f>IF($B1063="",0,IF(LEFT($B1063,1)="━",0,$C1063*VLOOKUP($B1063,'4. CÀI ĐẶT'!$A$2:$H$32,5,FALSE)))</f>
        <v/>
      </c>
      <c r="I1063">
        <f>IF($B1063="","",IF(LEFT($B1063,1)="━","",VLOOKUP($B1063,'4. CÀI ĐẶT'!$A$2:$H$32,6,FALSE)))</f>
        <v/>
      </c>
      <c r="J1063" s="13">
        <f>IF($A1063="","",EOMONTH($A1063,0))</f>
        <v/>
      </c>
      <c r="K1063" s="67">
        <f>IF($B1063="",0,IF(LEFT($B1063,1)="━",0,$C1063*VLOOKUP($B1063,'4. CÀI ĐẶT'!$A$2:$H$32,7,FALSE)))</f>
        <v/>
      </c>
    </row>
    <row r="1064">
      <c r="A1064" s="8" t="n"/>
      <c r="B1064" s="9" t="n"/>
      <c r="C1064" s="65" t="n"/>
      <c r="D1064" s="9" t="n"/>
      <c r="E1064" s="66">
        <f>IF($B1064="","",IF(LEFT($B1064,1)="━","⚠️ Chọn hạng mục cụ thể",$C1064*VLOOKUP($B1064,'4. CÀI ĐẶT'!$A$2:$H$32,2,FALSE)))</f>
        <v/>
      </c>
      <c r="F1064" s="67">
        <f>IF($B1064="",0,IF(LEFT($B1064,1)="━",0,$C1064*VLOOKUP($B1064,'4. CÀI ĐẶT'!$A$2:$H$32,3,FALSE)))</f>
        <v/>
      </c>
      <c r="G1064" s="67">
        <f>IF($B1064="",0,IF(LEFT($B1064,1)="━",0,$C1064*VLOOKUP($B1064,'4. CÀI ĐẶT'!$A$2:$H$32,4,FALSE)))</f>
        <v/>
      </c>
      <c r="H1064" s="67">
        <f>IF($B1064="",0,IF(LEFT($B1064,1)="━",0,$C1064*VLOOKUP($B1064,'4. CÀI ĐẶT'!$A$2:$H$32,5,FALSE)))</f>
        <v/>
      </c>
      <c r="I1064">
        <f>IF($B1064="","",IF(LEFT($B1064,1)="━","",VLOOKUP($B1064,'4. CÀI ĐẶT'!$A$2:$H$32,6,FALSE)))</f>
        <v/>
      </c>
      <c r="J1064" s="13">
        <f>IF($A1064="","",EOMONTH($A1064,0))</f>
        <v/>
      </c>
      <c r="K1064" s="67">
        <f>IF($B1064="",0,IF(LEFT($B1064,1)="━",0,$C1064*VLOOKUP($B1064,'4. CÀI ĐẶT'!$A$2:$H$32,7,FALSE)))</f>
        <v/>
      </c>
    </row>
    <row r="1065">
      <c r="A1065" s="8" t="n"/>
      <c r="B1065" s="9" t="n"/>
      <c r="C1065" s="65" t="n"/>
      <c r="D1065" s="9" t="n"/>
      <c r="E1065" s="66">
        <f>IF($B1065="","",IF(LEFT($B1065,1)="━","⚠️ Chọn hạng mục cụ thể",$C1065*VLOOKUP($B1065,'4. CÀI ĐẶT'!$A$2:$H$32,2,FALSE)))</f>
        <v/>
      </c>
      <c r="F1065" s="67">
        <f>IF($B1065="",0,IF(LEFT($B1065,1)="━",0,$C1065*VLOOKUP($B1065,'4. CÀI ĐẶT'!$A$2:$H$32,3,FALSE)))</f>
        <v/>
      </c>
      <c r="G1065" s="67">
        <f>IF($B1065="",0,IF(LEFT($B1065,1)="━",0,$C1065*VLOOKUP($B1065,'4. CÀI ĐẶT'!$A$2:$H$32,4,FALSE)))</f>
        <v/>
      </c>
      <c r="H1065" s="67">
        <f>IF($B1065="",0,IF(LEFT($B1065,1)="━",0,$C1065*VLOOKUP($B1065,'4. CÀI ĐẶT'!$A$2:$H$32,5,FALSE)))</f>
        <v/>
      </c>
      <c r="I1065">
        <f>IF($B1065="","",IF(LEFT($B1065,1)="━","",VLOOKUP($B1065,'4. CÀI ĐẶT'!$A$2:$H$32,6,FALSE)))</f>
        <v/>
      </c>
      <c r="J1065" s="13">
        <f>IF($A1065="","",EOMONTH($A1065,0))</f>
        <v/>
      </c>
      <c r="K1065" s="67">
        <f>IF($B1065="",0,IF(LEFT($B1065,1)="━",0,$C1065*VLOOKUP($B1065,'4. CÀI ĐẶT'!$A$2:$H$32,7,FALSE)))</f>
        <v/>
      </c>
    </row>
    <row r="1066">
      <c r="A1066" s="8" t="n"/>
      <c r="B1066" s="9" t="n"/>
      <c r="C1066" s="65" t="n"/>
      <c r="D1066" s="9" t="n"/>
      <c r="E1066" s="66">
        <f>IF($B1066="","",IF(LEFT($B1066,1)="━","⚠️ Chọn hạng mục cụ thể",$C1066*VLOOKUP($B1066,'4. CÀI ĐẶT'!$A$2:$H$32,2,FALSE)))</f>
        <v/>
      </c>
      <c r="F1066" s="67">
        <f>IF($B1066="",0,IF(LEFT($B1066,1)="━",0,$C1066*VLOOKUP($B1066,'4. CÀI ĐẶT'!$A$2:$H$32,3,FALSE)))</f>
        <v/>
      </c>
      <c r="G1066" s="67">
        <f>IF($B1066="",0,IF(LEFT($B1066,1)="━",0,$C1066*VLOOKUP($B1066,'4. CÀI ĐẶT'!$A$2:$H$32,4,FALSE)))</f>
        <v/>
      </c>
      <c r="H1066" s="67">
        <f>IF($B1066="",0,IF(LEFT($B1066,1)="━",0,$C1066*VLOOKUP($B1066,'4. CÀI ĐẶT'!$A$2:$H$32,5,FALSE)))</f>
        <v/>
      </c>
      <c r="I1066">
        <f>IF($B1066="","",IF(LEFT($B1066,1)="━","",VLOOKUP($B1066,'4. CÀI ĐẶT'!$A$2:$H$32,6,FALSE)))</f>
        <v/>
      </c>
      <c r="J1066" s="13">
        <f>IF($A1066="","",EOMONTH($A1066,0))</f>
        <v/>
      </c>
      <c r="K1066" s="67">
        <f>IF($B1066="",0,IF(LEFT($B1066,1)="━",0,$C1066*VLOOKUP($B1066,'4. CÀI ĐẶT'!$A$2:$H$32,7,FALSE)))</f>
        <v/>
      </c>
    </row>
    <row r="1067">
      <c r="A1067" s="8" t="n"/>
      <c r="B1067" s="9" t="n"/>
      <c r="C1067" s="65" t="n"/>
      <c r="D1067" s="9" t="n"/>
      <c r="E1067" s="66">
        <f>IF($B1067="","",IF(LEFT($B1067,1)="━","⚠️ Chọn hạng mục cụ thể",$C1067*VLOOKUP($B1067,'4. CÀI ĐẶT'!$A$2:$H$32,2,FALSE)))</f>
        <v/>
      </c>
      <c r="F1067" s="67">
        <f>IF($B1067="",0,IF(LEFT($B1067,1)="━",0,$C1067*VLOOKUP($B1067,'4. CÀI ĐẶT'!$A$2:$H$32,3,FALSE)))</f>
        <v/>
      </c>
      <c r="G1067" s="67">
        <f>IF($B1067="",0,IF(LEFT($B1067,1)="━",0,$C1067*VLOOKUP($B1067,'4. CÀI ĐẶT'!$A$2:$H$32,4,FALSE)))</f>
        <v/>
      </c>
      <c r="H1067" s="67">
        <f>IF($B1067="",0,IF(LEFT($B1067,1)="━",0,$C1067*VLOOKUP($B1067,'4. CÀI ĐẶT'!$A$2:$H$32,5,FALSE)))</f>
        <v/>
      </c>
      <c r="I1067">
        <f>IF($B1067="","",IF(LEFT($B1067,1)="━","",VLOOKUP($B1067,'4. CÀI ĐẶT'!$A$2:$H$32,6,FALSE)))</f>
        <v/>
      </c>
      <c r="J1067" s="13">
        <f>IF($A1067="","",EOMONTH($A1067,0))</f>
        <v/>
      </c>
      <c r="K1067" s="67">
        <f>IF($B1067="",0,IF(LEFT($B1067,1)="━",0,$C1067*VLOOKUP($B1067,'4. CÀI ĐẶT'!$A$2:$H$32,7,FALSE)))</f>
        <v/>
      </c>
    </row>
    <row r="1068">
      <c r="A1068" s="8" t="n"/>
      <c r="B1068" s="9" t="n"/>
      <c r="C1068" s="65" t="n"/>
      <c r="D1068" s="9" t="n"/>
      <c r="E1068" s="66">
        <f>IF($B1068="","",IF(LEFT($B1068,1)="━","⚠️ Chọn hạng mục cụ thể",$C1068*VLOOKUP($B1068,'4. CÀI ĐẶT'!$A$2:$H$32,2,FALSE)))</f>
        <v/>
      </c>
      <c r="F1068" s="67">
        <f>IF($B1068="",0,IF(LEFT($B1068,1)="━",0,$C1068*VLOOKUP($B1068,'4. CÀI ĐẶT'!$A$2:$H$32,3,FALSE)))</f>
        <v/>
      </c>
      <c r="G1068" s="67">
        <f>IF($B1068="",0,IF(LEFT($B1068,1)="━",0,$C1068*VLOOKUP($B1068,'4. CÀI ĐẶT'!$A$2:$H$32,4,FALSE)))</f>
        <v/>
      </c>
      <c r="H1068" s="67">
        <f>IF($B1068="",0,IF(LEFT($B1068,1)="━",0,$C1068*VLOOKUP($B1068,'4. CÀI ĐẶT'!$A$2:$H$32,5,FALSE)))</f>
        <v/>
      </c>
      <c r="I1068">
        <f>IF($B1068="","",IF(LEFT($B1068,1)="━","",VLOOKUP($B1068,'4. CÀI ĐẶT'!$A$2:$H$32,6,FALSE)))</f>
        <v/>
      </c>
      <c r="J1068" s="13">
        <f>IF($A1068="","",EOMONTH($A1068,0))</f>
        <v/>
      </c>
      <c r="K1068" s="67">
        <f>IF($B1068="",0,IF(LEFT($B1068,1)="━",0,$C1068*VLOOKUP($B1068,'4. CÀI ĐẶT'!$A$2:$H$32,7,FALSE)))</f>
        <v/>
      </c>
    </row>
    <row r="1069">
      <c r="A1069" s="8" t="n"/>
      <c r="B1069" s="9" t="n"/>
      <c r="C1069" s="65" t="n"/>
      <c r="D1069" s="9" t="n"/>
      <c r="E1069" s="66">
        <f>IF($B1069="","",IF(LEFT($B1069,1)="━","⚠️ Chọn hạng mục cụ thể",$C1069*VLOOKUP($B1069,'4. CÀI ĐẶT'!$A$2:$H$32,2,FALSE)))</f>
        <v/>
      </c>
      <c r="F1069" s="67">
        <f>IF($B1069="",0,IF(LEFT($B1069,1)="━",0,$C1069*VLOOKUP($B1069,'4. CÀI ĐẶT'!$A$2:$H$32,3,FALSE)))</f>
        <v/>
      </c>
      <c r="G1069" s="67">
        <f>IF($B1069="",0,IF(LEFT($B1069,1)="━",0,$C1069*VLOOKUP($B1069,'4. CÀI ĐẶT'!$A$2:$H$32,4,FALSE)))</f>
        <v/>
      </c>
      <c r="H1069" s="67">
        <f>IF($B1069="",0,IF(LEFT($B1069,1)="━",0,$C1069*VLOOKUP($B1069,'4. CÀI ĐẶT'!$A$2:$H$32,5,FALSE)))</f>
        <v/>
      </c>
      <c r="I1069">
        <f>IF($B1069="","",IF(LEFT($B1069,1)="━","",VLOOKUP($B1069,'4. CÀI ĐẶT'!$A$2:$H$32,6,FALSE)))</f>
        <v/>
      </c>
      <c r="J1069" s="13">
        <f>IF($A1069="","",EOMONTH($A1069,0))</f>
        <v/>
      </c>
      <c r="K1069" s="67">
        <f>IF($B1069="",0,IF(LEFT($B1069,1)="━",0,$C1069*VLOOKUP($B1069,'4. CÀI ĐẶT'!$A$2:$H$32,7,FALSE)))</f>
        <v/>
      </c>
    </row>
    <row r="1070">
      <c r="A1070" s="8" t="n"/>
      <c r="B1070" s="9" t="n"/>
      <c r="C1070" s="65" t="n"/>
      <c r="D1070" s="9" t="n"/>
      <c r="E1070" s="66">
        <f>IF($B1070="","",IF(LEFT($B1070,1)="━","⚠️ Chọn hạng mục cụ thể",$C1070*VLOOKUP($B1070,'4. CÀI ĐẶT'!$A$2:$H$32,2,FALSE)))</f>
        <v/>
      </c>
      <c r="F1070" s="67">
        <f>IF($B1070="",0,IF(LEFT($B1070,1)="━",0,$C1070*VLOOKUP($B1070,'4. CÀI ĐẶT'!$A$2:$H$32,3,FALSE)))</f>
        <v/>
      </c>
      <c r="G1070" s="67">
        <f>IF($B1070="",0,IF(LEFT($B1070,1)="━",0,$C1070*VLOOKUP($B1070,'4. CÀI ĐẶT'!$A$2:$H$32,4,FALSE)))</f>
        <v/>
      </c>
      <c r="H1070" s="67">
        <f>IF($B1070="",0,IF(LEFT($B1070,1)="━",0,$C1070*VLOOKUP($B1070,'4. CÀI ĐẶT'!$A$2:$H$32,5,FALSE)))</f>
        <v/>
      </c>
      <c r="I1070">
        <f>IF($B1070="","",IF(LEFT($B1070,1)="━","",VLOOKUP($B1070,'4. CÀI ĐẶT'!$A$2:$H$32,6,FALSE)))</f>
        <v/>
      </c>
      <c r="J1070" s="13">
        <f>IF($A1070="","",EOMONTH($A1070,0))</f>
        <v/>
      </c>
      <c r="K1070" s="67">
        <f>IF($B1070="",0,IF(LEFT($B1070,1)="━",0,$C1070*VLOOKUP($B1070,'4. CÀI ĐẶT'!$A$2:$H$32,7,FALSE)))</f>
        <v/>
      </c>
    </row>
    <row r="1071">
      <c r="A1071" s="8" t="n"/>
      <c r="B1071" s="9" t="n"/>
      <c r="C1071" s="65" t="n"/>
      <c r="D1071" s="9" t="n"/>
      <c r="E1071" s="66">
        <f>IF($B1071="","",IF(LEFT($B1071,1)="━","⚠️ Chọn hạng mục cụ thể",$C1071*VLOOKUP($B1071,'4. CÀI ĐẶT'!$A$2:$H$32,2,FALSE)))</f>
        <v/>
      </c>
      <c r="F1071" s="67">
        <f>IF($B1071="",0,IF(LEFT($B1071,1)="━",0,$C1071*VLOOKUP($B1071,'4. CÀI ĐẶT'!$A$2:$H$32,3,FALSE)))</f>
        <v/>
      </c>
      <c r="G1071" s="67">
        <f>IF($B1071="",0,IF(LEFT($B1071,1)="━",0,$C1071*VLOOKUP($B1071,'4. CÀI ĐẶT'!$A$2:$H$32,4,FALSE)))</f>
        <v/>
      </c>
      <c r="H1071" s="67">
        <f>IF($B1071="",0,IF(LEFT($B1071,1)="━",0,$C1071*VLOOKUP($B1071,'4. CÀI ĐẶT'!$A$2:$H$32,5,FALSE)))</f>
        <v/>
      </c>
      <c r="I1071">
        <f>IF($B1071="","",IF(LEFT($B1071,1)="━","",VLOOKUP($B1071,'4. CÀI ĐẶT'!$A$2:$H$32,6,FALSE)))</f>
        <v/>
      </c>
      <c r="J1071" s="13">
        <f>IF($A1071="","",EOMONTH($A1071,0))</f>
        <v/>
      </c>
      <c r="K1071" s="67">
        <f>IF($B1071="",0,IF(LEFT($B1071,1)="━",0,$C1071*VLOOKUP($B1071,'4. CÀI ĐẶT'!$A$2:$H$32,7,FALSE)))</f>
        <v/>
      </c>
    </row>
    <row r="1072">
      <c r="A1072" s="8" t="n"/>
      <c r="B1072" s="9" t="n"/>
      <c r="C1072" s="65" t="n"/>
      <c r="D1072" s="9" t="n"/>
      <c r="E1072" s="66">
        <f>IF($B1072="","",IF(LEFT($B1072,1)="━","⚠️ Chọn hạng mục cụ thể",$C1072*VLOOKUP($B1072,'4. CÀI ĐẶT'!$A$2:$H$32,2,FALSE)))</f>
        <v/>
      </c>
      <c r="F1072" s="67">
        <f>IF($B1072="",0,IF(LEFT($B1072,1)="━",0,$C1072*VLOOKUP($B1072,'4. CÀI ĐẶT'!$A$2:$H$32,3,FALSE)))</f>
        <v/>
      </c>
      <c r="G1072" s="67">
        <f>IF($B1072="",0,IF(LEFT($B1072,1)="━",0,$C1072*VLOOKUP($B1072,'4. CÀI ĐẶT'!$A$2:$H$32,4,FALSE)))</f>
        <v/>
      </c>
      <c r="H1072" s="67">
        <f>IF($B1072="",0,IF(LEFT($B1072,1)="━",0,$C1072*VLOOKUP($B1072,'4. CÀI ĐẶT'!$A$2:$H$32,5,FALSE)))</f>
        <v/>
      </c>
      <c r="I1072">
        <f>IF($B1072="","",IF(LEFT($B1072,1)="━","",VLOOKUP($B1072,'4. CÀI ĐẶT'!$A$2:$H$32,6,FALSE)))</f>
        <v/>
      </c>
      <c r="J1072" s="13">
        <f>IF($A1072="","",EOMONTH($A1072,0))</f>
        <v/>
      </c>
      <c r="K1072" s="67">
        <f>IF($B1072="",0,IF(LEFT($B1072,1)="━",0,$C1072*VLOOKUP($B1072,'4. CÀI ĐẶT'!$A$2:$H$32,7,FALSE)))</f>
        <v/>
      </c>
    </row>
    <row r="1073">
      <c r="A1073" s="8" t="n"/>
      <c r="B1073" s="9" t="n"/>
      <c r="C1073" s="65" t="n"/>
      <c r="D1073" s="9" t="n"/>
      <c r="E1073" s="66">
        <f>IF($B1073="","",IF(LEFT($B1073,1)="━","⚠️ Chọn hạng mục cụ thể",$C1073*VLOOKUP($B1073,'4. CÀI ĐẶT'!$A$2:$H$32,2,FALSE)))</f>
        <v/>
      </c>
      <c r="F1073" s="67">
        <f>IF($B1073="",0,IF(LEFT($B1073,1)="━",0,$C1073*VLOOKUP($B1073,'4. CÀI ĐẶT'!$A$2:$H$32,3,FALSE)))</f>
        <v/>
      </c>
      <c r="G1073" s="67">
        <f>IF($B1073="",0,IF(LEFT($B1073,1)="━",0,$C1073*VLOOKUP($B1073,'4. CÀI ĐẶT'!$A$2:$H$32,4,FALSE)))</f>
        <v/>
      </c>
      <c r="H1073" s="67">
        <f>IF($B1073="",0,IF(LEFT($B1073,1)="━",0,$C1073*VLOOKUP($B1073,'4. CÀI ĐẶT'!$A$2:$H$32,5,FALSE)))</f>
        <v/>
      </c>
      <c r="I1073">
        <f>IF($B1073="","",IF(LEFT($B1073,1)="━","",VLOOKUP($B1073,'4. CÀI ĐẶT'!$A$2:$H$32,6,FALSE)))</f>
        <v/>
      </c>
      <c r="J1073" s="13">
        <f>IF($A1073="","",EOMONTH($A1073,0))</f>
        <v/>
      </c>
      <c r="K1073" s="67">
        <f>IF($B1073="",0,IF(LEFT($B1073,1)="━",0,$C1073*VLOOKUP($B1073,'4. CÀI ĐẶT'!$A$2:$H$32,7,FALSE)))</f>
        <v/>
      </c>
    </row>
    <row r="1074">
      <c r="A1074" s="8" t="n"/>
      <c r="B1074" s="9" t="n"/>
      <c r="C1074" s="65" t="n"/>
      <c r="D1074" s="9" t="n"/>
      <c r="E1074" s="66">
        <f>IF($B1074="","",IF(LEFT($B1074,1)="━","⚠️ Chọn hạng mục cụ thể",$C1074*VLOOKUP($B1074,'4. CÀI ĐẶT'!$A$2:$H$32,2,FALSE)))</f>
        <v/>
      </c>
      <c r="F1074" s="67">
        <f>IF($B1074="",0,IF(LEFT($B1074,1)="━",0,$C1074*VLOOKUP($B1074,'4. CÀI ĐẶT'!$A$2:$H$32,3,FALSE)))</f>
        <v/>
      </c>
      <c r="G1074" s="67">
        <f>IF($B1074="",0,IF(LEFT($B1074,1)="━",0,$C1074*VLOOKUP($B1074,'4. CÀI ĐẶT'!$A$2:$H$32,4,FALSE)))</f>
        <v/>
      </c>
      <c r="H1074" s="67">
        <f>IF($B1074="",0,IF(LEFT($B1074,1)="━",0,$C1074*VLOOKUP($B1074,'4. CÀI ĐẶT'!$A$2:$H$32,5,FALSE)))</f>
        <v/>
      </c>
      <c r="I1074">
        <f>IF($B1074="","",IF(LEFT($B1074,1)="━","",VLOOKUP($B1074,'4. CÀI ĐẶT'!$A$2:$H$32,6,FALSE)))</f>
        <v/>
      </c>
      <c r="J1074" s="13">
        <f>IF($A1074="","",EOMONTH($A1074,0))</f>
        <v/>
      </c>
      <c r="K1074" s="67">
        <f>IF($B1074="",0,IF(LEFT($B1074,1)="━",0,$C1074*VLOOKUP($B1074,'4. CÀI ĐẶT'!$A$2:$H$32,7,FALSE)))</f>
        <v/>
      </c>
    </row>
    <row r="1075">
      <c r="A1075" s="8" t="n"/>
      <c r="B1075" s="9" t="n"/>
      <c r="C1075" s="65" t="n"/>
      <c r="D1075" s="9" t="n"/>
      <c r="E1075" s="66">
        <f>IF($B1075="","",IF(LEFT($B1075,1)="━","⚠️ Chọn hạng mục cụ thể",$C1075*VLOOKUP($B1075,'4. CÀI ĐẶT'!$A$2:$H$32,2,FALSE)))</f>
        <v/>
      </c>
      <c r="F1075" s="67">
        <f>IF($B1075="",0,IF(LEFT($B1075,1)="━",0,$C1075*VLOOKUP($B1075,'4. CÀI ĐẶT'!$A$2:$H$32,3,FALSE)))</f>
        <v/>
      </c>
      <c r="G1075" s="67">
        <f>IF($B1075="",0,IF(LEFT($B1075,1)="━",0,$C1075*VLOOKUP($B1075,'4. CÀI ĐẶT'!$A$2:$H$32,4,FALSE)))</f>
        <v/>
      </c>
      <c r="H1075" s="67">
        <f>IF($B1075="",0,IF(LEFT($B1075,1)="━",0,$C1075*VLOOKUP($B1075,'4. CÀI ĐẶT'!$A$2:$H$32,5,FALSE)))</f>
        <v/>
      </c>
      <c r="I1075">
        <f>IF($B1075="","",IF(LEFT($B1075,1)="━","",VLOOKUP($B1075,'4. CÀI ĐẶT'!$A$2:$H$32,6,FALSE)))</f>
        <v/>
      </c>
      <c r="J1075" s="13">
        <f>IF($A1075="","",EOMONTH($A1075,0))</f>
        <v/>
      </c>
      <c r="K1075" s="67">
        <f>IF($B1075="",0,IF(LEFT($B1075,1)="━",0,$C1075*VLOOKUP($B1075,'4. CÀI ĐẶT'!$A$2:$H$32,7,FALSE)))</f>
        <v/>
      </c>
    </row>
    <row r="1076">
      <c r="A1076" s="8" t="n"/>
      <c r="B1076" s="9" t="n"/>
      <c r="C1076" s="65" t="n"/>
      <c r="D1076" s="9" t="n"/>
      <c r="E1076" s="66">
        <f>IF($B1076="","",IF(LEFT($B1076,1)="━","⚠️ Chọn hạng mục cụ thể",$C1076*VLOOKUP($B1076,'4. CÀI ĐẶT'!$A$2:$H$32,2,FALSE)))</f>
        <v/>
      </c>
      <c r="F1076" s="67">
        <f>IF($B1076="",0,IF(LEFT($B1076,1)="━",0,$C1076*VLOOKUP($B1076,'4. CÀI ĐẶT'!$A$2:$H$32,3,FALSE)))</f>
        <v/>
      </c>
      <c r="G1076" s="67">
        <f>IF($B1076="",0,IF(LEFT($B1076,1)="━",0,$C1076*VLOOKUP($B1076,'4. CÀI ĐẶT'!$A$2:$H$32,4,FALSE)))</f>
        <v/>
      </c>
      <c r="H1076" s="67">
        <f>IF($B1076="",0,IF(LEFT($B1076,1)="━",0,$C1076*VLOOKUP($B1076,'4. CÀI ĐẶT'!$A$2:$H$32,5,FALSE)))</f>
        <v/>
      </c>
      <c r="I1076">
        <f>IF($B1076="","",IF(LEFT($B1076,1)="━","",VLOOKUP($B1076,'4. CÀI ĐẶT'!$A$2:$H$32,6,FALSE)))</f>
        <v/>
      </c>
      <c r="J1076" s="13">
        <f>IF($A1076="","",EOMONTH($A1076,0))</f>
        <v/>
      </c>
      <c r="K1076" s="67">
        <f>IF($B1076="",0,IF(LEFT($B1076,1)="━",0,$C1076*VLOOKUP($B1076,'4. CÀI ĐẶT'!$A$2:$H$32,7,FALSE)))</f>
        <v/>
      </c>
    </row>
    <row r="1077">
      <c r="A1077" s="8" t="n"/>
      <c r="B1077" s="9" t="n"/>
      <c r="C1077" s="65" t="n"/>
      <c r="D1077" s="9" t="n"/>
      <c r="E1077" s="66">
        <f>IF($B1077="","",IF(LEFT($B1077,1)="━","⚠️ Chọn hạng mục cụ thể",$C1077*VLOOKUP($B1077,'4. CÀI ĐẶT'!$A$2:$H$32,2,FALSE)))</f>
        <v/>
      </c>
      <c r="F1077" s="67">
        <f>IF($B1077="",0,IF(LEFT($B1077,1)="━",0,$C1077*VLOOKUP($B1077,'4. CÀI ĐẶT'!$A$2:$H$32,3,FALSE)))</f>
        <v/>
      </c>
      <c r="G1077" s="67">
        <f>IF($B1077="",0,IF(LEFT($B1077,1)="━",0,$C1077*VLOOKUP($B1077,'4. CÀI ĐẶT'!$A$2:$H$32,4,FALSE)))</f>
        <v/>
      </c>
      <c r="H1077" s="67">
        <f>IF($B1077="",0,IF(LEFT($B1077,1)="━",0,$C1077*VLOOKUP($B1077,'4. CÀI ĐẶT'!$A$2:$H$32,5,FALSE)))</f>
        <v/>
      </c>
      <c r="I1077">
        <f>IF($B1077="","",IF(LEFT($B1077,1)="━","",VLOOKUP($B1077,'4. CÀI ĐẶT'!$A$2:$H$32,6,FALSE)))</f>
        <v/>
      </c>
      <c r="J1077" s="13">
        <f>IF($A1077="","",EOMONTH($A1077,0))</f>
        <v/>
      </c>
      <c r="K1077" s="67">
        <f>IF($B1077="",0,IF(LEFT($B1077,1)="━",0,$C1077*VLOOKUP($B1077,'4. CÀI ĐẶT'!$A$2:$H$32,7,FALSE)))</f>
        <v/>
      </c>
    </row>
    <row r="1078">
      <c r="A1078" s="8" t="n"/>
      <c r="B1078" s="9" t="n"/>
      <c r="C1078" s="65" t="n"/>
      <c r="D1078" s="9" t="n"/>
      <c r="E1078" s="66">
        <f>IF($B1078="","",IF(LEFT($B1078,1)="━","⚠️ Chọn hạng mục cụ thể",$C1078*VLOOKUP($B1078,'4. CÀI ĐẶT'!$A$2:$H$32,2,FALSE)))</f>
        <v/>
      </c>
      <c r="F1078" s="67">
        <f>IF($B1078="",0,IF(LEFT($B1078,1)="━",0,$C1078*VLOOKUP($B1078,'4. CÀI ĐẶT'!$A$2:$H$32,3,FALSE)))</f>
        <v/>
      </c>
      <c r="G1078" s="67">
        <f>IF($B1078="",0,IF(LEFT($B1078,1)="━",0,$C1078*VLOOKUP($B1078,'4. CÀI ĐẶT'!$A$2:$H$32,4,FALSE)))</f>
        <v/>
      </c>
      <c r="H1078" s="67">
        <f>IF($B1078="",0,IF(LEFT($B1078,1)="━",0,$C1078*VLOOKUP($B1078,'4. CÀI ĐẶT'!$A$2:$H$32,5,FALSE)))</f>
        <v/>
      </c>
      <c r="I1078">
        <f>IF($B1078="","",IF(LEFT($B1078,1)="━","",VLOOKUP($B1078,'4. CÀI ĐẶT'!$A$2:$H$32,6,FALSE)))</f>
        <v/>
      </c>
      <c r="J1078" s="13">
        <f>IF($A1078="","",EOMONTH($A1078,0))</f>
        <v/>
      </c>
      <c r="K1078" s="67">
        <f>IF($B1078="",0,IF(LEFT($B1078,1)="━",0,$C1078*VLOOKUP($B1078,'4. CÀI ĐẶT'!$A$2:$H$32,7,FALSE)))</f>
        <v/>
      </c>
    </row>
    <row r="1079">
      <c r="A1079" s="8" t="n"/>
      <c r="B1079" s="9" t="n"/>
      <c r="C1079" s="65" t="n"/>
      <c r="D1079" s="9" t="n"/>
      <c r="E1079" s="66">
        <f>IF($B1079="","",IF(LEFT($B1079,1)="━","⚠️ Chọn hạng mục cụ thể",$C1079*VLOOKUP($B1079,'4. CÀI ĐẶT'!$A$2:$H$32,2,FALSE)))</f>
        <v/>
      </c>
      <c r="F1079" s="67">
        <f>IF($B1079="",0,IF(LEFT($B1079,1)="━",0,$C1079*VLOOKUP($B1079,'4. CÀI ĐẶT'!$A$2:$H$32,3,FALSE)))</f>
        <v/>
      </c>
      <c r="G1079" s="67">
        <f>IF($B1079="",0,IF(LEFT($B1079,1)="━",0,$C1079*VLOOKUP($B1079,'4. CÀI ĐẶT'!$A$2:$H$32,4,FALSE)))</f>
        <v/>
      </c>
      <c r="H1079" s="67">
        <f>IF($B1079="",0,IF(LEFT($B1079,1)="━",0,$C1079*VLOOKUP($B1079,'4. CÀI ĐẶT'!$A$2:$H$32,5,FALSE)))</f>
        <v/>
      </c>
      <c r="I1079">
        <f>IF($B1079="","",IF(LEFT($B1079,1)="━","",VLOOKUP($B1079,'4. CÀI ĐẶT'!$A$2:$H$32,6,FALSE)))</f>
        <v/>
      </c>
      <c r="J1079" s="13">
        <f>IF($A1079="","",EOMONTH($A1079,0))</f>
        <v/>
      </c>
      <c r="K1079" s="67">
        <f>IF($B1079="",0,IF(LEFT($B1079,1)="━",0,$C1079*VLOOKUP($B1079,'4. CÀI ĐẶT'!$A$2:$H$32,7,FALSE)))</f>
        <v/>
      </c>
    </row>
    <row r="1080">
      <c r="A1080" s="8" t="n"/>
      <c r="B1080" s="9" t="n"/>
      <c r="C1080" s="65" t="n"/>
      <c r="D1080" s="9" t="n"/>
      <c r="E1080" s="66">
        <f>IF($B1080="","",IF(LEFT($B1080,1)="━","⚠️ Chọn hạng mục cụ thể",$C1080*VLOOKUP($B1080,'4. CÀI ĐẶT'!$A$2:$H$32,2,FALSE)))</f>
        <v/>
      </c>
      <c r="F1080" s="67">
        <f>IF($B1080="",0,IF(LEFT($B1080,1)="━",0,$C1080*VLOOKUP($B1080,'4. CÀI ĐẶT'!$A$2:$H$32,3,FALSE)))</f>
        <v/>
      </c>
      <c r="G1080" s="67">
        <f>IF($B1080="",0,IF(LEFT($B1080,1)="━",0,$C1080*VLOOKUP($B1080,'4. CÀI ĐẶT'!$A$2:$H$32,4,FALSE)))</f>
        <v/>
      </c>
      <c r="H1080" s="67">
        <f>IF($B1080="",0,IF(LEFT($B1080,1)="━",0,$C1080*VLOOKUP($B1080,'4. CÀI ĐẶT'!$A$2:$H$32,5,FALSE)))</f>
        <v/>
      </c>
      <c r="I1080">
        <f>IF($B1080="","",IF(LEFT($B1080,1)="━","",VLOOKUP($B1080,'4. CÀI ĐẶT'!$A$2:$H$32,6,FALSE)))</f>
        <v/>
      </c>
      <c r="J1080" s="13">
        <f>IF($A1080="","",EOMONTH($A1080,0))</f>
        <v/>
      </c>
      <c r="K1080" s="67">
        <f>IF($B1080="",0,IF(LEFT($B1080,1)="━",0,$C1080*VLOOKUP($B1080,'4. CÀI ĐẶT'!$A$2:$H$32,7,FALSE)))</f>
        <v/>
      </c>
    </row>
    <row r="1081">
      <c r="A1081" s="8" t="n"/>
      <c r="B1081" s="9" t="n"/>
      <c r="C1081" s="65" t="n"/>
      <c r="D1081" s="9" t="n"/>
      <c r="E1081" s="66">
        <f>IF($B1081="","",IF(LEFT($B1081,1)="━","⚠️ Chọn hạng mục cụ thể",$C1081*VLOOKUP($B1081,'4. CÀI ĐẶT'!$A$2:$H$32,2,FALSE)))</f>
        <v/>
      </c>
      <c r="F1081" s="67">
        <f>IF($B1081="",0,IF(LEFT($B1081,1)="━",0,$C1081*VLOOKUP($B1081,'4. CÀI ĐẶT'!$A$2:$H$32,3,FALSE)))</f>
        <v/>
      </c>
      <c r="G1081" s="67">
        <f>IF($B1081="",0,IF(LEFT($B1081,1)="━",0,$C1081*VLOOKUP($B1081,'4. CÀI ĐẶT'!$A$2:$H$32,4,FALSE)))</f>
        <v/>
      </c>
      <c r="H1081" s="67">
        <f>IF($B1081="",0,IF(LEFT($B1081,1)="━",0,$C1081*VLOOKUP($B1081,'4. CÀI ĐẶT'!$A$2:$H$32,5,FALSE)))</f>
        <v/>
      </c>
      <c r="I1081">
        <f>IF($B1081="","",IF(LEFT($B1081,1)="━","",VLOOKUP($B1081,'4. CÀI ĐẶT'!$A$2:$H$32,6,FALSE)))</f>
        <v/>
      </c>
      <c r="J1081" s="13">
        <f>IF($A1081="","",EOMONTH($A1081,0))</f>
        <v/>
      </c>
      <c r="K1081" s="67">
        <f>IF($B1081="",0,IF(LEFT($B1081,1)="━",0,$C1081*VLOOKUP($B1081,'4. CÀI ĐẶT'!$A$2:$H$32,7,FALSE)))</f>
        <v/>
      </c>
    </row>
    <row r="1082">
      <c r="A1082" s="8" t="n"/>
      <c r="B1082" s="9" t="n"/>
      <c r="C1082" s="65" t="n"/>
      <c r="D1082" s="9" t="n"/>
      <c r="E1082" s="66">
        <f>IF($B1082="","",IF(LEFT($B1082,1)="━","⚠️ Chọn hạng mục cụ thể",$C1082*VLOOKUP($B1082,'4. CÀI ĐẶT'!$A$2:$H$32,2,FALSE)))</f>
        <v/>
      </c>
      <c r="F1082" s="67">
        <f>IF($B1082="",0,IF(LEFT($B1082,1)="━",0,$C1082*VLOOKUP($B1082,'4. CÀI ĐẶT'!$A$2:$H$32,3,FALSE)))</f>
        <v/>
      </c>
      <c r="G1082" s="67">
        <f>IF($B1082="",0,IF(LEFT($B1082,1)="━",0,$C1082*VLOOKUP($B1082,'4. CÀI ĐẶT'!$A$2:$H$32,4,FALSE)))</f>
        <v/>
      </c>
      <c r="H1082" s="67">
        <f>IF($B1082="",0,IF(LEFT($B1082,1)="━",0,$C1082*VLOOKUP($B1082,'4. CÀI ĐẶT'!$A$2:$H$32,5,FALSE)))</f>
        <v/>
      </c>
      <c r="I1082">
        <f>IF($B1082="","",IF(LEFT($B1082,1)="━","",VLOOKUP($B1082,'4. CÀI ĐẶT'!$A$2:$H$32,6,FALSE)))</f>
        <v/>
      </c>
      <c r="J1082" s="13">
        <f>IF($A1082="","",EOMONTH($A1082,0))</f>
        <v/>
      </c>
      <c r="K1082" s="67">
        <f>IF($B1082="",0,IF(LEFT($B1082,1)="━",0,$C1082*VLOOKUP($B1082,'4. CÀI ĐẶT'!$A$2:$H$32,7,FALSE)))</f>
        <v/>
      </c>
    </row>
    <row r="1083">
      <c r="A1083" s="8" t="n"/>
      <c r="B1083" s="9" t="n"/>
      <c r="C1083" s="65" t="n"/>
      <c r="D1083" s="9" t="n"/>
      <c r="E1083" s="66">
        <f>IF($B1083="","",IF(LEFT($B1083,1)="━","⚠️ Chọn hạng mục cụ thể",$C1083*VLOOKUP($B1083,'4. CÀI ĐẶT'!$A$2:$H$32,2,FALSE)))</f>
        <v/>
      </c>
      <c r="F1083" s="67">
        <f>IF($B1083="",0,IF(LEFT($B1083,1)="━",0,$C1083*VLOOKUP($B1083,'4. CÀI ĐẶT'!$A$2:$H$32,3,FALSE)))</f>
        <v/>
      </c>
      <c r="G1083" s="67">
        <f>IF($B1083="",0,IF(LEFT($B1083,1)="━",0,$C1083*VLOOKUP($B1083,'4. CÀI ĐẶT'!$A$2:$H$32,4,FALSE)))</f>
        <v/>
      </c>
      <c r="H1083" s="67">
        <f>IF($B1083="",0,IF(LEFT($B1083,1)="━",0,$C1083*VLOOKUP($B1083,'4. CÀI ĐẶT'!$A$2:$H$32,5,FALSE)))</f>
        <v/>
      </c>
      <c r="I1083">
        <f>IF($B1083="","",IF(LEFT($B1083,1)="━","",VLOOKUP($B1083,'4. CÀI ĐẶT'!$A$2:$H$32,6,FALSE)))</f>
        <v/>
      </c>
      <c r="J1083" s="13">
        <f>IF($A1083="","",EOMONTH($A1083,0))</f>
        <v/>
      </c>
      <c r="K1083" s="67">
        <f>IF($B1083="",0,IF(LEFT($B1083,1)="━",0,$C1083*VLOOKUP($B1083,'4. CÀI ĐẶT'!$A$2:$H$32,7,FALSE)))</f>
        <v/>
      </c>
    </row>
    <row r="1084">
      <c r="A1084" s="8" t="n"/>
      <c r="B1084" s="9" t="n"/>
      <c r="C1084" s="65" t="n"/>
      <c r="D1084" s="9" t="n"/>
      <c r="E1084" s="66">
        <f>IF($B1084="","",IF(LEFT($B1084,1)="━","⚠️ Chọn hạng mục cụ thể",$C1084*VLOOKUP($B1084,'4. CÀI ĐẶT'!$A$2:$H$32,2,FALSE)))</f>
        <v/>
      </c>
      <c r="F1084" s="67">
        <f>IF($B1084="",0,IF(LEFT($B1084,1)="━",0,$C1084*VLOOKUP($B1084,'4. CÀI ĐẶT'!$A$2:$H$32,3,FALSE)))</f>
        <v/>
      </c>
      <c r="G1084" s="67">
        <f>IF($B1084="",0,IF(LEFT($B1084,1)="━",0,$C1084*VLOOKUP($B1084,'4. CÀI ĐẶT'!$A$2:$H$32,4,FALSE)))</f>
        <v/>
      </c>
      <c r="H1084" s="67">
        <f>IF($B1084="",0,IF(LEFT($B1084,1)="━",0,$C1084*VLOOKUP($B1084,'4. CÀI ĐẶT'!$A$2:$H$32,5,FALSE)))</f>
        <v/>
      </c>
      <c r="I1084">
        <f>IF($B1084="","",IF(LEFT($B1084,1)="━","",VLOOKUP($B1084,'4. CÀI ĐẶT'!$A$2:$H$32,6,FALSE)))</f>
        <v/>
      </c>
      <c r="J1084" s="13">
        <f>IF($A1084="","",EOMONTH($A1084,0))</f>
        <v/>
      </c>
      <c r="K1084" s="67">
        <f>IF($B1084="",0,IF(LEFT($B1084,1)="━",0,$C1084*VLOOKUP($B1084,'4. CÀI ĐẶT'!$A$2:$H$32,7,FALSE)))</f>
        <v/>
      </c>
    </row>
    <row r="1085">
      <c r="A1085" s="8" t="n"/>
      <c r="B1085" s="9" t="n"/>
      <c r="C1085" s="65" t="n"/>
      <c r="D1085" s="9" t="n"/>
      <c r="E1085" s="66">
        <f>IF($B1085="","",IF(LEFT($B1085,1)="━","⚠️ Chọn hạng mục cụ thể",$C1085*VLOOKUP($B1085,'4. CÀI ĐẶT'!$A$2:$H$32,2,FALSE)))</f>
        <v/>
      </c>
      <c r="F1085" s="67">
        <f>IF($B1085="",0,IF(LEFT($B1085,1)="━",0,$C1085*VLOOKUP($B1085,'4. CÀI ĐẶT'!$A$2:$H$32,3,FALSE)))</f>
        <v/>
      </c>
      <c r="G1085" s="67">
        <f>IF($B1085="",0,IF(LEFT($B1085,1)="━",0,$C1085*VLOOKUP($B1085,'4. CÀI ĐẶT'!$A$2:$H$32,4,FALSE)))</f>
        <v/>
      </c>
      <c r="H1085" s="67">
        <f>IF($B1085="",0,IF(LEFT($B1085,1)="━",0,$C1085*VLOOKUP($B1085,'4. CÀI ĐẶT'!$A$2:$H$32,5,FALSE)))</f>
        <v/>
      </c>
      <c r="I1085">
        <f>IF($B1085="","",IF(LEFT($B1085,1)="━","",VLOOKUP($B1085,'4. CÀI ĐẶT'!$A$2:$H$32,6,FALSE)))</f>
        <v/>
      </c>
      <c r="J1085" s="13">
        <f>IF($A1085="","",EOMONTH($A1085,0))</f>
        <v/>
      </c>
      <c r="K1085" s="67">
        <f>IF($B1085="",0,IF(LEFT($B1085,1)="━",0,$C1085*VLOOKUP($B1085,'4. CÀI ĐẶT'!$A$2:$H$32,7,FALSE)))</f>
        <v/>
      </c>
    </row>
    <row r="1086">
      <c r="A1086" s="8" t="n"/>
      <c r="B1086" s="9" t="n"/>
      <c r="C1086" s="65" t="n"/>
      <c r="D1086" s="9" t="n"/>
      <c r="E1086" s="66">
        <f>IF($B1086="","",IF(LEFT($B1086,1)="━","⚠️ Chọn hạng mục cụ thể",$C1086*VLOOKUP($B1086,'4. CÀI ĐẶT'!$A$2:$H$32,2,FALSE)))</f>
        <v/>
      </c>
      <c r="F1086" s="67">
        <f>IF($B1086="",0,IF(LEFT($B1086,1)="━",0,$C1086*VLOOKUP($B1086,'4. CÀI ĐẶT'!$A$2:$H$32,3,FALSE)))</f>
        <v/>
      </c>
      <c r="G1086" s="67">
        <f>IF($B1086="",0,IF(LEFT($B1086,1)="━",0,$C1086*VLOOKUP($B1086,'4. CÀI ĐẶT'!$A$2:$H$32,4,FALSE)))</f>
        <v/>
      </c>
      <c r="H1086" s="67">
        <f>IF($B1086="",0,IF(LEFT($B1086,1)="━",0,$C1086*VLOOKUP($B1086,'4. CÀI ĐẶT'!$A$2:$H$32,5,FALSE)))</f>
        <v/>
      </c>
      <c r="I1086">
        <f>IF($B1086="","",IF(LEFT($B1086,1)="━","",VLOOKUP($B1086,'4. CÀI ĐẶT'!$A$2:$H$32,6,FALSE)))</f>
        <v/>
      </c>
      <c r="J1086" s="13">
        <f>IF($A1086="","",EOMONTH($A1086,0))</f>
        <v/>
      </c>
      <c r="K1086" s="67">
        <f>IF($B1086="",0,IF(LEFT($B1086,1)="━",0,$C1086*VLOOKUP($B1086,'4. CÀI ĐẶT'!$A$2:$H$32,7,FALSE)))</f>
        <v/>
      </c>
    </row>
    <row r="1087">
      <c r="A1087" s="8" t="n"/>
      <c r="B1087" s="9" t="n"/>
      <c r="C1087" s="65" t="n"/>
      <c r="D1087" s="9" t="n"/>
      <c r="E1087" s="66">
        <f>IF($B1087="","",IF(LEFT($B1087,1)="━","⚠️ Chọn hạng mục cụ thể",$C1087*VLOOKUP($B1087,'4. CÀI ĐẶT'!$A$2:$H$32,2,FALSE)))</f>
        <v/>
      </c>
      <c r="F1087" s="67">
        <f>IF($B1087="",0,IF(LEFT($B1087,1)="━",0,$C1087*VLOOKUP($B1087,'4. CÀI ĐẶT'!$A$2:$H$32,3,FALSE)))</f>
        <v/>
      </c>
      <c r="G1087" s="67">
        <f>IF($B1087="",0,IF(LEFT($B1087,1)="━",0,$C1087*VLOOKUP($B1087,'4. CÀI ĐẶT'!$A$2:$H$32,4,FALSE)))</f>
        <v/>
      </c>
      <c r="H1087" s="67">
        <f>IF($B1087="",0,IF(LEFT($B1087,1)="━",0,$C1087*VLOOKUP($B1087,'4. CÀI ĐẶT'!$A$2:$H$32,5,FALSE)))</f>
        <v/>
      </c>
      <c r="I1087">
        <f>IF($B1087="","",IF(LEFT($B1087,1)="━","",VLOOKUP($B1087,'4. CÀI ĐẶT'!$A$2:$H$32,6,FALSE)))</f>
        <v/>
      </c>
      <c r="J1087" s="13">
        <f>IF($A1087="","",EOMONTH($A1087,0))</f>
        <v/>
      </c>
      <c r="K1087" s="67">
        <f>IF($B1087="",0,IF(LEFT($B1087,1)="━",0,$C1087*VLOOKUP($B1087,'4. CÀI ĐẶT'!$A$2:$H$32,7,FALSE)))</f>
        <v/>
      </c>
    </row>
    <row r="1088">
      <c r="A1088" s="8" t="n"/>
      <c r="B1088" s="9" t="n"/>
      <c r="C1088" s="65" t="n"/>
      <c r="D1088" s="9" t="n"/>
      <c r="E1088" s="66">
        <f>IF($B1088="","",IF(LEFT($B1088,1)="━","⚠️ Chọn hạng mục cụ thể",$C1088*VLOOKUP($B1088,'4. CÀI ĐẶT'!$A$2:$H$32,2,FALSE)))</f>
        <v/>
      </c>
      <c r="F1088" s="67">
        <f>IF($B1088="",0,IF(LEFT($B1088,1)="━",0,$C1088*VLOOKUP($B1088,'4. CÀI ĐẶT'!$A$2:$H$32,3,FALSE)))</f>
        <v/>
      </c>
      <c r="G1088" s="67">
        <f>IF($B1088="",0,IF(LEFT($B1088,1)="━",0,$C1088*VLOOKUP($B1088,'4. CÀI ĐẶT'!$A$2:$H$32,4,FALSE)))</f>
        <v/>
      </c>
      <c r="H1088" s="67">
        <f>IF($B1088="",0,IF(LEFT($B1088,1)="━",0,$C1088*VLOOKUP($B1088,'4. CÀI ĐẶT'!$A$2:$H$32,5,FALSE)))</f>
        <v/>
      </c>
      <c r="I1088">
        <f>IF($B1088="","",IF(LEFT($B1088,1)="━","",VLOOKUP($B1088,'4. CÀI ĐẶT'!$A$2:$H$32,6,FALSE)))</f>
        <v/>
      </c>
      <c r="J1088" s="13">
        <f>IF($A1088="","",EOMONTH($A1088,0))</f>
        <v/>
      </c>
      <c r="K1088" s="67">
        <f>IF($B1088="",0,IF(LEFT($B1088,1)="━",0,$C1088*VLOOKUP($B1088,'4. CÀI ĐẶT'!$A$2:$H$32,7,FALSE)))</f>
        <v/>
      </c>
    </row>
    <row r="1089">
      <c r="A1089" s="8" t="n"/>
      <c r="B1089" s="9" t="n"/>
      <c r="C1089" s="65" t="n"/>
      <c r="D1089" s="9" t="n"/>
      <c r="E1089" s="66">
        <f>IF($B1089="","",IF(LEFT($B1089,1)="━","⚠️ Chọn hạng mục cụ thể",$C1089*VLOOKUP($B1089,'4. CÀI ĐẶT'!$A$2:$H$32,2,FALSE)))</f>
        <v/>
      </c>
      <c r="F1089" s="67">
        <f>IF($B1089="",0,IF(LEFT($B1089,1)="━",0,$C1089*VLOOKUP($B1089,'4. CÀI ĐẶT'!$A$2:$H$32,3,FALSE)))</f>
        <v/>
      </c>
      <c r="G1089" s="67">
        <f>IF($B1089="",0,IF(LEFT($B1089,1)="━",0,$C1089*VLOOKUP($B1089,'4. CÀI ĐẶT'!$A$2:$H$32,4,FALSE)))</f>
        <v/>
      </c>
      <c r="H1089" s="67">
        <f>IF($B1089="",0,IF(LEFT($B1089,1)="━",0,$C1089*VLOOKUP($B1089,'4. CÀI ĐẶT'!$A$2:$H$32,5,FALSE)))</f>
        <v/>
      </c>
      <c r="I1089">
        <f>IF($B1089="","",IF(LEFT($B1089,1)="━","",VLOOKUP($B1089,'4. CÀI ĐẶT'!$A$2:$H$32,6,FALSE)))</f>
        <v/>
      </c>
      <c r="J1089" s="13">
        <f>IF($A1089="","",EOMONTH($A1089,0))</f>
        <v/>
      </c>
      <c r="K1089" s="67">
        <f>IF($B1089="",0,IF(LEFT($B1089,1)="━",0,$C1089*VLOOKUP($B1089,'4. CÀI ĐẶT'!$A$2:$H$32,7,FALSE)))</f>
        <v/>
      </c>
    </row>
    <row r="1090">
      <c r="A1090" s="8" t="n"/>
      <c r="B1090" s="9" t="n"/>
      <c r="C1090" s="65" t="n"/>
      <c r="D1090" s="9" t="n"/>
      <c r="E1090" s="66">
        <f>IF($B1090="","",IF(LEFT($B1090,1)="━","⚠️ Chọn hạng mục cụ thể",$C1090*VLOOKUP($B1090,'4. CÀI ĐẶT'!$A$2:$H$32,2,FALSE)))</f>
        <v/>
      </c>
      <c r="F1090" s="67">
        <f>IF($B1090="",0,IF(LEFT($B1090,1)="━",0,$C1090*VLOOKUP($B1090,'4. CÀI ĐẶT'!$A$2:$H$32,3,FALSE)))</f>
        <v/>
      </c>
      <c r="G1090" s="67">
        <f>IF($B1090="",0,IF(LEFT($B1090,1)="━",0,$C1090*VLOOKUP($B1090,'4. CÀI ĐẶT'!$A$2:$H$32,4,FALSE)))</f>
        <v/>
      </c>
      <c r="H1090" s="67">
        <f>IF($B1090="",0,IF(LEFT($B1090,1)="━",0,$C1090*VLOOKUP($B1090,'4. CÀI ĐẶT'!$A$2:$H$32,5,FALSE)))</f>
        <v/>
      </c>
      <c r="I1090">
        <f>IF($B1090="","",IF(LEFT($B1090,1)="━","",VLOOKUP($B1090,'4. CÀI ĐẶT'!$A$2:$H$32,6,FALSE)))</f>
        <v/>
      </c>
      <c r="J1090" s="13">
        <f>IF($A1090="","",EOMONTH($A1090,0))</f>
        <v/>
      </c>
      <c r="K1090" s="67">
        <f>IF($B1090="",0,IF(LEFT($B1090,1)="━",0,$C1090*VLOOKUP($B1090,'4. CÀI ĐẶT'!$A$2:$H$32,7,FALSE)))</f>
        <v/>
      </c>
    </row>
    <row r="1091">
      <c r="A1091" s="8" t="n"/>
      <c r="B1091" s="9" t="n"/>
      <c r="C1091" s="65" t="n"/>
      <c r="D1091" s="9" t="n"/>
      <c r="E1091" s="66">
        <f>IF($B1091="","",IF(LEFT($B1091,1)="━","⚠️ Chọn hạng mục cụ thể",$C1091*VLOOKUP($B1091,'4. CÀI ĐẶT'!$A$2:$H$32,2,FALSE)))</f>
        <v/>
      </c>
      <c r="F1091" s="67">
        <f>IF($B1091="",0,IF(LEFT($B1091,1)="━",0,$C1091*VLOOKUP($B1091,'4. CÀI ĐẶT'!$A$2:$H$32,3,FALSE)))</f>
        <v/>
      </c>
      <c r="G1091" s="67">
        <f>IF($B1091="",0,IF(LEFT($B1091,1)="━",0,$C1091*VLOOKUP($B1091,'4. CÀI ĐẶT'!$A$2:$H$32,4,FALSE)))</f>
        <v/>
      </c>
      <c r="H1091" s="67">
        <f>IF($B1091="",0,IF(LEFT($B1091,1)="━",0,$C1091*VLOOKUP($B1091,'4. CÀI ĐẶT'!$A$2:$H$32,5,FALSE)))</f>
        <v/>
      </c>
      <c r="I1091">
        <f>IF($B1091="","",IF(LEFT($B1091,1)="━","",VLOOKUP($B1091,'4. CÀI ĐẶT'!$A$2:$H$32,6,FALSE)))</f>
        <v/>
      </c>
      <c r="J1091" s="13">
        <f>IF($A1091="","",EOMONTH($A1091,0))</f>
        <v/>
      </c>
      <c r="K1091" s="67">
        <f>IF($B1091="",0,IF(LEFT($B1091,1)="━",0,$C1091*VLOOKUP($B1091,'4. CÀI ĐẶT'!$A$2:$H$32,7,FALSE)))</f>
        <v/>
      </c>
    </row>
    <row r="1092">
      <c r="A1092" s="8" t="n"/>
      <c r="B1092" s="9" t="n"/>
      <c r="C1092" s="65" t="n"/>
      <c r="D1092" s="9" t="n"/>
      <c r="E1092" s="66">
        <f>IF($B1092="","",IF(LEFT($B1092,1)="━","⚠️ Chọn hạng mục cụ thể",$C1092*VLOOKUP($B1092,'4. CÀI ĐẶT'!$A$2:$H$32,2,FALSE)))</f>
        <v/>
      </c>
      <c r="F1092" s="67">
        <f>IF($B1092="",0,IF(LEFT($B1092,1)="━",0,$C1092*VLOOKUP($B1092,'4. CÀI ĐẶT'!$A$2:$H$32,3,FALSE)))</f>
        <v/>
      </c>
      <c r="G1092" s="67">
        <f>IF($B1092="",0,IF(LEFT($B1092,1)="━",0,$C1092*VLOOKUP($B1092,'4. CÀI ĐẶT'!$A$2:$H$32,4,FALSE)))</f>
        <v/>
      </c>
      <c r="H1092" s="67">
        <f>IF($B1092="",0,IF(LEFT($B1092,1)="━",0,$C1092*VLOOKUP($B1092,'4. CÀI ĐẶT'!$A$2:$H$32,5,FALSE)))</f>
        <v/>
      </c>
      <c r="I1092">
        <f>IF($B1092="","",IF(LEFT($B1092,1)="━","",VLOOKUP($B1092,'4. CÀI ĐẶT'!$A$2:$H$32,6,FALSE)))</f>
        <v/>
      </c>
      <c r="J1092" s="13">
        <f>IF($A1092="","",EOMONTH($A1092,0))</f>
        <v/>
      </c>
      <c r="K1092" s="67">
        <f>IF($B1092="",0,IF(LEFT($B1092,1)="━",0,$C1092*VLOOKUP($B1092,'4. CÀI ĐẶT'!$A$2:$H$32,7,FALSE)))</f>
        <v/>
      </c>
    </row>
    <row r="1093">
      <c r="A1093" s="8" t="n"/>
      <c r="B1093" s="9" t="n"/>
      <c r="C1093" s="65" t="n"/>
      <c r="D1093" s="9" t="n"/>
      <c r="E1093" s="66">
        <f>IF($B1093="","",IF(LEFT($B1093,1)="━","⚠️ Chọn hạng mục cụ thể",$C1093*VLOOKUP($B1093,'4. CÀI ĐẶT'!$A$2:$H$32,2,FALSE)))</f>
        <v/>
      </c>
      <c r="F1093" s="67">
        <f>IF($B1093="",0,IF(LEFT($B1093,1)="━",0,$C1093*VLOOKUP($B1093,'4. CÀI ĐẶT'!$A$2:$H$32,3,FALSE)))</f>
        <v/>
      </c>
      <c r="G1093" s="67">
        <f>IF($B1093="",0,IF(LEFT($B1093,1)="━",0,$C1093*VLOOKUP($B1093,'4. CÀI ĐẶT'!$A$2:$H$32,4,FALSE)))</f>
        <v/>
      </c>
      <c r="H1093" s="67">
        <f>IF($B1093="",0,IF(LEFT($B1093,1)="━",0,$C1093*VLOOKUP($B1093,'4. CÀI ĐẶT'!$A$2:$H$32,5,FALSE)))</f>
        <v/>
      </c>
      <c r="I1093">
        <f>IF($B1093="","",IF(LEFT($B1093,1)="━","",VLOOKUP($B1093,'4. CÀI ĐẶT'!$A$2:$H$32,6,FALSE)))</f>
        <v/>
      </c>
      <c r="J1093" s="13">
        <f>IF($A1093="","",EOMONTH($A1093,0))</f>
        <v/>
      </c>
      <c r="K1093" s="67">
        <f>IF($B1093="",0,IF(LEFT($B1093,1)="━",0,$C1093*VLOOKUP($B1093,'4. CÀI ĐẶT'!$A$2:$H$32,7,FALSE)))</f>
        <v/>
      </c>
    </row>
    <row r="1094">
      <c r="A1094" s="8" t="n"/>
      <c r="B1094" s="9" t="n"/>
      <c r="C1094" s="65" t="n"/>
      <c r="D1094" s="9" t="n"/>
      <c r="E1094" s="66">
        <f>IF($B1094="","",IF(LEFT($B1094,1)="━","⚠️ Chọn hạng mục cụ thể",$C1094*VLOOKUP($B1094,'4. CÀI ĐẶT'!$A$2:$H$32,2,FALSE)))</f>
        <v/>
      </c>
      <c r="F1094" s="67">
        <f>IF($B1094="",0,IF(LEFT($B1094,1)="━",0,$C1094*VLOOKUP($B1094,'4. CÀI ĐẶT'!$A$2:$H$32,3,FALSE)))</f>
        <v/>
      </c>
      <c r="G1094" s="67">
        <f>IF($B1094="",0,IF(LEFT($B1094,1)="━",0,$C1094*VLOOKUP($B1094,'4. CÀI ĐẶT'!$A$2:$H$32,4,FALSE)))</f>
        <v/>
      </c>
      <c r="H1094" s="67">
        <f>IF($B1094="",0,IF(LEFT($B1094,1)="━",0,$C1094*VLOOKUP($B1094,'4. CÀI ĐẶT'!$A$2:$H$32,5,FALSE)))</f>
        <v/>
      </c>
      <c r="I1094">
        <f>IF($B1094="","",IF(LEFT($B1094,1)="━","",VLOOKUP($B1094,'4. CÀI ĐẶT'!$A$2:$H$32,6,FALSE)))</f>
        <v/>
      </c>
      <c r="J1094" s="13">
        <f>IF($A1094="","",EOMONTH($A1094,0))</f>
        <v/>
      </c>
      <c r="K1094" s="67">
        <f>IF($B1094="",0,IF(LEFT($B1094,1)="━",0,$C1094*VLOOKUP($B1094,'4. CÀI ĐẶT'!$A$2:$H$32,7,FALSE)))</f>
        <v/>
      </c>
    </row>
    <row r="1095">
      <c r="A1095" s="8" t="n"/>
      <c r="B1095" s="9" t="n"/>
      <c r="C1095" s="65" t="n"/>
      <c r="D1095" s="9" t="n"/>
      <c r="E1095" s="66">
        <f>IF($B1095="","",IF(LEFT($B1095,1)="━","⚠️ Chọn hạng mục cụ thể",$C1095*VLOOKUP($B1095,'4. CÀI ĐẶT'!$A$2:$H$32,2,FALSE)))</f>
        <v/>
      </c>
      <c r="F1095" s="67">
        <f>IF($B1095="",0,IF(LEFT($B1095,1)="━",0,$C1095*VLOOKUP($B1095,'4. CÀI ĐẶT'!$A$2:$H$32,3,FALSE)))</f>
        <v/>
      </c>
      <c r="G1095" s="67">
        <f>IF($B1095="",0,IF(LEFT($B1095,1)="━",0,$C1095*VLOOKUP($B1095,'4. CÀI ĐẶT'!$A$2:$H$32,4,FALSE)))</f>
        <v/>
      </c>
      <c r="H1095" s="67">
        <f>IF($B1095="",0,IF(LEFT($B1095,1)="━",0,$C1095*VLOOKUP($B1095,'4. CÀI ĐẶT'!$A$2:$H$32,5,FALSE)))</f>
        <v/>
      </c>
      <c r="I1095">
        <f>IF($B1095="","",IF(LEFT($B1095,1)="━","",VLOOKUP($B1095,'4. CÀI ĐẶT'!$A$2:$H$32,6,FALSE)))</f>
        <v/>
      </c>
      <c r="J1095" s="13">
        <f>IF($A1095="","",EOMONTH($A1095,0))</f>
        <v/>
      </c>
      <c r="K1095" s="67">
        <f>IF($B1095="",0,IF(LEFT($B1095,1)="━",0,$C1095*VLOOKUP($B1095,'4. CÀI ĐẶT'!$A$2:$H$32,7,FALSE)))</f>
        <v/>
      </c>
    </row>
    <row r="1096">
      <c r="A1096" s="8" t="n"/>
      <c r="B1096" s="9" t="n"/>
      <c r="C1096" s="65" t="n"/>
      <c r="D1096" s="9" t="n"/>
      <c r="E1096" s="66">
        <f>IF($B1096="","",IF(LEFT($B1096,1)="━","⚠️ Chọn hạng mục cụ thể",$C1096*VLOOKUP($B1096,'4. CÀI ĐẶT'!$A$2:$H$32,2,FALSE)))</f>
        <v/>
      </c>
      <c r="F1096" s="67">
        <f>IF($B1096="",0,IF(LEFT($B1096,1)="━",0,$C1096*VLOOKUP($B1096,'4. CÀI ĐẶT'!$A$2:$H$32,3,FALSE)))</f>
        <v/>
      </c>
      <c r="G1096" s="67">
        <f>IF($B1096="",0,IF(LEFT($B1096,1)="━",0,$C1096*VLOOKUP($B1096,'4. CÀI ĐẶT'!$A$2:$H$32,4,FALSE)))</f>
        <v/>
      </c>
      <c r="H1096" s="67">
        <f>IF($B1096="",0,IF(LEFT($B1096,1)="━",0,$C1096*VLOOKUP($B1096,'4. CÀI ĐẶT'!$A$2:$H$32,5,FALSE)))</f>
        <v/>
      </c>
      <c r="I1096">
        <f>IF($B1096="","",IF(LEFT($B1096,1)="━","",VLOOKUP($B1096,'4. CÀI ĐẶT'!$A$2:$H$32,6,FALSE)))</f>
        <v/>
      </c>
      <c r="J1096" s="13">
        <f>IF($A1096="","",EOMONTH($A1096,0))</f>
        <v/>
      </c>
      <c r="K1096" s="67">
        <f>IF($B1096="",0,IF(LEFT($B1096,1)="━",0,$C1096*VLOOKUP($B1096,'4. CÀI ĐẶT'!$A$2:$H$32,7,FALSE)))</f>
        <v/>
      </c>
    </row>
    <row r="1097">
      <c r="A1097" s="8" t="n"/>
      <c r="B1097" s="9" t="n"/>
      <c r="C1097" s="65" t="n"/>
      <c r="D1097" s="9" t="n"/>
      <c r="E1097" s="66">
        <f>IF($B1097="","",IF(LEFT($B1097,1)="━","⚠️ Chọn hạng mục cụ thể",$C1097*VLOOKUP($B1097,'4. CÀI ĐẶT'!$A$2:$H$32,2,FALSE)))</f>
        <v/>
      </c>
      <c r="F1097" s="67">
        <f>IF($B1097="",0,IF(LEFT($B1097,1)="━",0,$C1097*VLOOKUP($B1097,'4. CÀI ĐẶT'!$A$2:$H$32,3,FALSE)))</f>
        <v/>
      </c>
      <c r="G1097" s="67">
        <f>IF($B1097="",0,IF(LEFT($B1097,1)="━",0,$C1097*VLOOKUP($B1097,'4. CÀI ĐẶT'!$A$2:$H$32,4,FALSE)))</f>
        <v/>
      </c>
      <c r="H1097" s="67">
        <f>IF($B1097="",0,IF(LEFT($B1097,1)="━",0,$C1097*VLOOKUP($B1097,'4. CÀI ĐẶT'!$A$2:$H$32,5,FALSE)))</f>
        <v/>
      </c>
      <c r="I1097">
        <f>IF($B1097="","",IF(LEFT($B1097,1)="━","",VLOOKUP($B1097,'4. CÀI ĐẶT'!$A$2:$H$32,6,FALSE)))</f>
        <v/>
      </c>
      <c r="J1097" s="13">
        <f>IF($A1097="","",EOMONTH($A1097,0))</f>
        <v/>
      </c>
      <c r="K1097" s="67">
        <f>IF($B1097="",0,IF(LEFT($B1097,1)="━",0,$C1097*VLOOKUP($B1097,'4. CÀI ĐẶT'!$A$2:$H$32,7,FALSE)))</f>
        <v/>
      </c>
    </row>
    <row r="1098">
      <c r="A1098" s="8" t="n"/>
      <c r="B1098" s="9" t="n"/>
      <c r="C1098" s="65" t="n"/>
      <c r="D1098" s="9" t="n"/>
      <c r="E1098" s="66">
        <f>IF($B1098="","",IF(LEFT($B1098,1)="━","⚠️ Chọn hạng mục cụ thể",$C1098*VLOOKUP($B1098,'4. CÀI ĐẶT'!$A$2:$H$32,2,FALSE)))</f>
        <v/>
      </c>
      <c r="F1098" s="67">
        <f>IF($B1098="",0,IF(LEFT($B1098,1)="━",0,$C1098*VLOOKUP($B1098,'4. CÀI ĐẶT'!$A$2:$H$32,3,FALSE)))</f>
        <v/>
      </c>
      <c r="G1098" s="67">
        <f>IF($B1098="",0,IF(LEFT($B1098,1)="━",0,$C1098*VLOOKUP($B1098,'4. CÀI ĐẶT'!$A$2:$H$32,4,FALSE)))</f>
        <v/>
      </c>
      <c r="H1098" s="67">
        <f>IF($B1098="",0,IF(LEFT($B1098,1)="━",0,$C1098*VLOOKUP($B1098,'4. CÀI ĐẶT'!$A$2:$H$32,5,FALSE)))</f>
        <v/>
      </c>
      <c r="I1098">
        <f>IF($B1098="","",IF(LEFT($B1098,1)="━","",VLOOKUP($B1098,'4. CÀI ĐẶT'!$A$2:$H$32,6,FALSE)))</f>
        <v/>
      </c>
      <c r="J1098" s="13">
        <f>IF($A1098="","",EOMONTH($A1098,0))</f>
        <v/>
      </c>
      <c r="K1098" s="67">
        <f>IF($B1098="",0,IF(LEFT($B1098,1)="━",0,$C1098*VLOOKUP($B1098,'4. CÀI ĐẶT'!$A$2:$H$32,7,FALSE)))</f>
        <v/>
      </c>
    </row>
    <row r="1099">
      <c r="A1099" s="8" t="n"/>
      <c r="B1099" s="9" t="n"/>
      <c r="C1099" s="65" t="n"/>
      <c r="D1099" s="9" t="n"/>
      <c r="E1099" s="66">
        <f>IF($B1099="","",IF(LEFT($B1099,1)="━","⚠️ Chọn hạng mục cụ thể",$C1099*VLOOKUP($B1099,'4. CÀI ĐẶT'!$A$2:$H$32,2,FALSE)))</f>
        <v/>
      </c>
      <c r="F1099" s="67">
        <f>IF($B1099="",0,IF(LEFT($B1099,1)="━",0,$C1099*VLOOKUP($B1099,'4. CÀI ĐẶT'!$A$2:$H$32,3,FALSE)))</f>
        <v/>
      </c>
      <c r="G1099" s="67">
        <f>IF($B1099="",0,IF(LEFT($B1099,1)="━",0,$C1099*VLOOKUP($B1099,'4. CÀI ĐẶT'!$A$2:$H$32,4,FALSE)))</f>
        <v/>
      </c>
      <c r="H1099" s="67">
        <f>IF($B1099="",0,IF(LEFT($B1099,1)="━",0,$C1099*VLOOKUP($B1099,'4. CÀI ĐẶT'!$A$2:$H$32,5,FALSE)))</f>
        <v/>
      </c>
      <c r="I1099">
        <f>IF($B1099="","",IF(LEFT($B1099,1)="━","",VLOOKUP($B1099,'4. CÀI ĐẶT'!$A$2:$H$32,6,FALSE)))</f>
        <v/>
      </c>
      <c r="J1099" s="13">
        <f>IF($A1099="","",EOMONTH($A1099,0))</f>
        <v/>
      </c>
      <c r="K1099" s="67">
        <f>IF($B1099="",0,IF(LEFT($B1099,1)="━",0,$C1099*VLOOKUP($B1099,'4. CÀI ĐẶT'!$A$2:$H$32,7,FALSE)))</f>
        <v/>
      </c>
    </row>
    <row r="1100">
      <c r="A1100" s="8" t="n"/>
      <c r="B1100" s="9" t="n"/>
      <c r="C1100" s="65" t="n"/>
      <c r="D1100" s="9" t="n"/>
      <c r="E1100" s="66">
        <f>IF($B1100="","",IF(LEFT($B1100,1)="━","⚠️ Chọn hạng mục cụ thể",$C1100*VLOOKUP($B1100,'4. CÀI ĐẶT'!$A$2:$H$32,2,FALSE)))</f>
        <v/>
      </c>
      <c r="F1100" s="67">
        <f>IF($B1100="",0,IF(LEFT($B1100,1)="━",0,$C1100*VLOOKUP($B1100,'4. CÀI ĐẶT'!$A$2:$H$32,3,FALSE)))</f>
        <v/>
      </c>
      <c r="G1100" s="67">
        <f>IF($B1100="",0,IF(LEFT($B1100,1)="━",0,$C1100*VLOOKUP($B1100,'4. CÀI ĐẶT'!$A$2:$H$32,4,FALSE)))</f>
        <v/>
      </c>
      <c r="H1100" s="67">
        <f>IF($B1100="",0,IF(LEFT($B1100,1)="━",0,$C1100*VLOOKUP($B1100,'4. CÀI ĐẶT'!$A$2:$H$32,5,FALSE)))</f>
        <v/>
      </c>
      <c r="I1100">
        <f>IF($B1100="","",IF(LEFT($B1100,1)="━","",VLOOKUP($B1100,'4. CÀI ĐẶT'!$A$2:$H$32,6,FALSE)))</f>
        <v/>
      </c>
      <c r="J1100" s="13">
        <f>IF($A1100="","",EOMONTH($A1100,0))</f>
        <v/>
      </c>
      <c r="K1100" s="67">
        <f>IF($B1100="",0,IF(LEFT($B1100,1)="━",0,$C1100*VLOOKUP($B1100,'4. CÀI ĐẶT'!$A$2:$H$32,7,FALSE)))</f>
        <v/>
      </c>
    </row>
    <row r="1101">
      <c r="A1101" s="8" t="n"/>
      <c r="B1101" s="9" t="n"/>
      <c r="C1101" s="65" t="n"/>
      <c r="D1101" s="9" t="n"/>
      <c r="E1101" s="66">
        <f>IF($B1101="","",IF(LEFT($B1101,1)="━","⚠️ Chọn hạng mục cụ thể",$C1101*VLOOKUP($B1101,'4. CÀI ĐẶT'!$A$2:$H$32,2,FALSE)))</f>
        <v/>
      </c>
      <c r="F1101" s="67">
        <f>IF($B1101="",0,IF(LEFT($B1101,1)="━",0,$C1101*VLOOKUP($B1101,'4. CÀI ĐẶT'!$A$2:$H$32,3,FALSE)))</f>
        <v/>
      </c>
      <c r="G1101" s="67">
        <f>IF($B1101="",0,IF(LEFT($B1101,1)="━",0,$C1101*VLOOKUP($B1101,'4. CÀI ĐẶT'!$A$2:$H$32,4,FALSE)))</f>
        <v/>
      </c>
      <c r="H1101" s="67">
        <f>IF($B1101="",0,IF(LEFT($B1101,1)="━",0,$C1101*VLOOKUP($B1101,'4. CÀI ĐẶT'!$A$2:$H$32,5,FALSE)))</f>
        <v/>
      </c>
      <c r="I1101">
        <f>IF($B1101="","",IF(LEFT($B1101,1)="━","",VLOOKUP($B1101,'4. CÀI ĐẶT'!$A$2:$H$32,6,FALSE)))</f>
        <v/>
      </c>
      <c r="J1101" s="13">
        <f>IF($A1101="","",EOMONTH($A1101,0))</f>
        <v/>
      </c>
      <c r="K1101" s="67">
        <f>IF($B1101="",0,IF(LEFT($B1101,1)="━",0,$C1101*VLOOKUP($B1101,'4. CÀI ĐẶT'!$A$2:$H$32,7,FALSE)))</f>
        <v/>
      </c>
    </row>
    <row r="1102">
      <c r="A1102" s="8" t="n"/>
      <c r="B1102" s="9" t="n"/>
      <c r="C1102" s="65" t="n"/>
      <c r="D1102" s="9" t="n"/>
      <c r="E1102" s="66">
        <f>IF($B1102="","",IF(LEFT($B1102,1)="━","⚠️ Chọn hạng mục cụ thể",$C1102*VLOOKUP($B1102,'4. CÀI ĐẶT'!$A$2:$H$32,2,FALSE)))</f>
        <v/>
      </c>
      <c r="F1102" s="67">
        <f>IF($B1102="",0,IF(LEFT($B1102,1)="━",0,$C1102*VLOOKUP($B1102,'4. CÀI ĐẶT'!$A$2:$H$32,3,FALSE)))</f>
        <v/>
      </c>
      <c r="G1102" s="67">
        <f>IF($B1102="",0,IF(LEFT($B1102,1)="━",0,$C1102*VLOOKUP($B1102,'4. CÀI ĐẶT'!$A$2:$H$32,4,FALSE)))</f>
        <v/>
      </c>
      <c r="H1102" s="67">
        <f>IF($B1102="",0,IF(LEFT($B1102,1)="━",0,$C1102*VLOOKUP($B1102,'4. CÀI ĐẶT'!$A$2:$H$32,5,FALSE)))</f>
        <v/>
      </c>
      <c r="I1102">
        <f>IF($B1102="","",IF(LEFT($B1102,1)="━","",VLOOKUP($B1102,'4. CÀI ĐẶT'!$A$2:$H$32,6,FALSE)))</f>
        <v/>
      </c>
      <c r="J1102" s="13">
        <f>IF($A1102="","",EOMONTH($A1102,0))</f>
        <v/>
      </c>
      <c r="K1102" s="67">
        <f>IF($B1102="",0,IF(LEFT($B1102,1)="━",0,$C1102*VLOOKUP($B1102,'4. CÀI ĐẶT'!$A$2:$H$32,7,FALSE)))</f>
        <v/>
      </c>
    </row>
    <row r="1103">
      <c r="A1103" s="8" t="n"/>
      <c r="B1103" s="9" t="n"/>
      <c r="C1103" s="65" t="n"/>
      <c r="D1103" s="9" t="n"/>
      <c r="E1103" s="66">
        <f>IF($B1103="","",IF(LEFT($B1103,1)="━","⚠️ Chọn hạng mục cụ thể",$C1103*VLOOKUP($B1103,'4. CÀI ĐẶT'!$A$2:$H$32,2,FALSE)))</f>
        <v/>
      </c>
      <c r="F1103" s="67">
        <f>IF($B1103="",0,IF(LEFT($B1103,1)="━",0,$C1103*VLOOKUP($B1103,'4. CÀI ĐẶT'!$A$2:$H$32,3,FALSE)))</f>
        <v/>
      </c>
      <c r="G1103" s="67">
        <f>IF($B1103="",0,IF(LEFT($B1103,1)="━",0,$C1103*VLOOKUP($B1103,'4. CÀI ĐẶT'!$A$2:$H$32,4,FALSE)))</f>
        <v/>
      </c>
      <c r="H1103" s="67">
        <f>IF($B1103="",0,IF(LEFT($B1103,1)="━",0,$C1103*VLOOKUP($B1103,'4. CÀI ĐẶT'!$A$2:$H$32,5,FALSE)))</f>
        <v/>
      </c>
      <c r="I1103">
        <f>IF($B1103="","",IF(LEFT($B1103,1)="━","",VLOOKUP($B1103,'4. CÀI ĐẶT'!$A$2:$H$32,6,FALSE)))</f>
        <v/>
      </c>
      <c r="J1103" s="13">
        <f>IF($A1103="","",EOMONTH($A1103,0))</f>
        <v/>
      </c>
      <c r="K1103" s="67">
        <f>IF($B1103="",0,IF(LEFT($B1103,1)="━",0,$C1103*VLOOKUP($B1103,'4. CÀI ĐẶT'!$A$2:$H$32,7,FALSE)))</f>
        <v/>
      </c>
    </row>
    <row r="1104">
      <c r="A1104" s="8" t="n"/>
      <c r="B1104" s="9" t="n"/>
      <c r="C1104" s="65" t="n"/>
      <c r="D1104" s="9" t="n"/>
      <c r="E1104" s="66">
        <f>IF($B1104="","",IF(LEFT($B1104,1)="━","⚠️ Chọn hạng mục cụ thể",$C1104*VLOOKUP($B1104,'4. CÀI ĐẶT'!$A$2:$H$32,2,FALSE)))</f>
        <v/>
      </c>
      <c r="F1104" s="67">
        <f>IF($B1104="",0,IF(LEFT($B1104,1)="━",0,$C1104*VLOOKUP($B1104,'4. CÀI ĐẶT'!$A$2:$H$32,3,FALSE)))</f>
        <v/>
      </c>
      <c r="G1104" s="67">
        <f>IF($B1104="",0,IF(LEFT($B1104,1)="━",0,$C1104*VLOOKUP($B1104,'4. CÀI ĐẶT'!$A$2:$H$32,4,FALSE)))</f>
        <v/>
      </c>
      <c r="H1104" s="67">
        <f>IF($B1104="",0,IF(LEFT($B1104,1)="━",0,$C1104*VLOOKUP($B1104,'4. CÀI ĐẶT'!$A$2:$H$32,5,FALSE)))</f>
        <v/>
      </c>
      <c r="I1104">
        <f>IF($B1104="","",IF(LEFT($B1104,1)="━","",VLOOKUP($B1104,'4. CÀI ĐẶT'!$A$2:$H$32,6,FALSE)))</f>
        <v/>
      </c>
      <c r="J1104" s="13">
        <f>IF($A1104="","",EOMONTH($A1104,0))</f>
        <v/>
      </c>
      <c r="K1104" s="67">
        <f>IF($B1104="",0,IF(LEFT($B1104,1)="━",0,$C1104*VLOOKUP($B1104,'4. CÀI ĐẶT'!$A$2:$H$32,7,FALSE)))</f>
        <v/>
      </c>
    </row>
    <row r="1105">
      <c r="A1105" s="8" t="n"/>
      <c r="B1105" s="9" t="n"/>
      <c r="C1105" s="65" t="n"/>
      <c r="D1105" s="9" t="n"/>
      <c r="E1105" s="66">
        <f>IF($B1105="","",IF(LEFT($B1105,1)="━","⚠️ Chọn hạng mục cụ thể",$C1105*VLOOKUP($B1105,'4. CÀI ĐẶT'!$A$2:$H$32,2,FALSE)))</f>
        <v/>
      </c>
      <c r="F1105" s="67">
        <f>IF($B1105="",0,IF(LEFT($B1105,1)="━",0,$C1105*VLOOKUP($B1105,'4. CÀI ĐẶT'!$A$2:$H$32,3,FALSE)))</f>
        <v/>
      </c>
      <c r="G1105" s="67">
        <f>IF($B1105="",0,IF(LEFT($B1105,1)="━",0,$C1105*VLOOKUP($B1105,'4. CÀI ĐẶT'!$A$2:$H$32,4,FALSE)))</f>
        <v/>
      </c>
      <c r="H1105" s="67">
        <f>IF($B1105="",0,IF(LEFT($B1105,1)="━",0,$C1105*VLOOKUP($B1105,'4. CÀI ĐẶT'!$A$2:$H$32,5,FALSE)))</f>
        <v/>
      </c>
      <c r="I1105">
        <f>IF($B1105="","",IF(LEFT($B1105,1)="━","",VLOOKUP($B1105,'4. CÀI ĐẶT'!$A$2:$H$32,6,FALSE)))</f>
        <v/>
      </c>
      <c r="J1105" s="13">
        <f>IF($A1105="","",EOMONTH($A1105,0))</f>
        <v/>
      </c>
      <c r="K1105" s="67">
        <f>IF($B1105="",0,IF(LEFT($B1105,1)="━",0,$C1105*VLOOKUP($B1105,'4. CÀI ĐẶT'!$A$2:$H$32,7,FALSE)))</f>
        <v/>
      </c>
    </row>
    <row r="1106">
      <c r="A1106" s="8" t="n"/>
      <c r="B1106" s="9" t="n"/>
      <c r="C1106" s="65" t="n"/>
      <c r="D1106" s="9" t="n"/>
      <c r="E1106" s="66">
        <f>IF($B1106="","",IF(LEFT($B1106,1)="━","⚠️ Chọn hạng mục cụ thể",$C1106*VLOOKUP($B1106,'4. CÀI ĐẶT'!$A$2:$H$32,2,FALSE)))</f>
        <v/>
      </c>
      <c r="F1106" s="67">
        <f>IF($B1106="",0,IF(LEFT($B1106,1)="━",0,$C1106*VLOOKUP($B1106,'4. CÀI ĐẶT'!$A$2:$H$32,3,FALSE)))</f>
        <v/>
      </c>
      <c r="G1106" s="67">
        <f>IF($B1106="",0,IF(LEFT($B1106,1)="━",0,$C1106*VLOOKUP($B1106,'4. CÀI ĐẶT'!$A$2:$H$32,4,FALSE)))</f>
        <v/>
      </c>
      <c r="H1106" s="67">
        <f>IF($B1106="",0,IF(LEFT($B1106,1)="━",0,$C1106*VLOOKUP($B1106,'4. CÀI ĐẶT'!$A$2:$H$32,5,FALSE)))</f>
        <v/>
      </c>
      <c r="I1106">
        <f>IF($B1106="","",IF(LEFT($B1106,1)="━","",VLOOKUP($B1106,'4. CÀI ĐẶT'!$A$2:$H$32,6,FALSE)))</f>
        <v/>
      </c>
      <c r="J1106" s="13">
        <f>IF($A1106="","",EOMONTH($A1106,0))</f>
        <v/>
      </c>
      <c r="K1106" s="67">
        <f>IF($B1106="",0,IF(LEFT($B1106,1)="━",0,$C1106*VLOOKUP($B1106,'4. CÀI ĐẶT'!$A$2:$H$32,7,FALSE)))</f>
        <v/>
      </c>
    </row>
    <row r="1107">
      <c r="A1107" s="8" t="n"/>
      <c r="B1107" s="9" t="n"/>
      <c r="C1107" s="65" t="n"/>
      <c r="D1107" s="9" t="n"/>
      <c r="E1107" s="66">
        <f>IF($B1107="","",IF(LEFT($B1107,1)="━","⚠️ Chọn hạng mục cụ thể",$C1107*VLOOKUP($B1107,'4. CÀI ĐẶT'!$A$2:$H$32,2,FALSE)))</f>
        <v/>
      </c>
      <c r="F1107" s="67">
        <f>IF($B1107="",0,IF(LEFT($B1107,1)="━",0,$C1107*VLOOKUP($B1107,'4. CÀI ĐẶT'!$A$2:$H$32,3,FALSE)))</f>
        <v/>
      </c>
      <c r="G1107" s="67">
        <f>IF($B1107="",0,IF(LEFT($B1107,1)="━",0,$C1107*VLOOKUP($B1107,'4. CÀI ĐẶT'!$A$2:$H$32,4,FALSE)))</f>
        <v/>
      </c>
      <c r="H1107" s="67">
        <f>IF($B1107="",0,IF(LEFT($B1107,1)="━",0,$C1107*VLOOKUP($B1107,'4. CÀI ĐẶT'!$A$2:$H$32,5,FALSE)))</f>
        <v/>
      </c>
      <c r="I1107">
        <f>IF($B1107="","",IF(LEFT($B1107,1)="━","",VLOOKUP($B1107,'4. CÀI ĐẶT'!$A$2:$H$32,6,FALSE)))</f>
        <v/>
      </c>
      <c r="J1107" s="13">
        <f>IF($A1107="","",EOMONTH($A1107,0))</f>
        <v/>
      </c>
      <c r="K1107" s="67">
        <f>IF($B1107="",0,IF(LEFT($B1107,1)="━",0,$C1107*VLOOKUP($B1107,'4. CÀI ĐẶT'!$A$2:$H$32,7,FALSE)))</f>
        <v/>
      </c>
    </row>
    <row r="1108">
      <c r="A1108" s="8" t="n"/>
      <c r="B1108" s="9" t="n"/>
      <c r="C1108" s="65" t="n"/>
      <c r="D1108" s="9" t="n"/>
      <c r="E1108" s="66">
        <f>IF($B1108="","",IF(LEFT($B1108,1)="━","⚠️ Chọn hạng mục cụ thể",$C1108*VLOOKUP($B1108,'4. CÀI ĐẶT'!$A$2:$H$32,2,FALSE)))</f>
        <v/>
      </c>
      <c r="F1108" s="67">
        <f>IF($B1108="",0,IF(LEFT($B1108,1)="━",0,$C1108*VLOOKUP($B1108,'4. CÀI ĐẶT'!$A$2:$H$32,3,FALSE)))</f>
        <v/>
      </c>
      <c r="G1108" s="67">
        <f>IF($B1108="",0,IF(LEFT($B1108,1)="━",0,$C1108*VLOOKUP($B1108,'4. CÀI ĐẶT'!$A$2:$H$32,4,FALSE)))</f>
        <v/>
      </c>
      <c r="H1108" s="67">
        <f>IF($B1108="",0,IF(LEFT($B1108,1)="━",0,$C1108*VLOOKUP($B1108,'4. CÀI ĐẶT'!$A$2:$H$32,5,FALSE)))</f>
        <v/>
      </c>
      <c r="I1108">
        <f>IF($B1108="","",IF(LEFT($B1108,1)="━","",VLOOKUP($B1108,'4. CÀI ĐẶT'!$A$2:$H$32,6,FALSE)))</f>
        <v/>
      </c>
      <c r="J1108" s="13">
        <f>IF($A1108="","",EOMONTH($A1108,0))</f>
        <v/>
      </c>
      <c r="K1108" s="67">
        <f>IF($B1108="",0,IF(LEFT($B1108,1)="━",0,$C1108*VLOOKUP($B1108,'4. CÀI ĐẶT'!$A$2:$H$32,7,FALSE)))</f>
        <v/>
      </c>
    </row>
    <row r="1109">
      <c r="A1109" s="8" t="n"/>
      <c r="B1109" s="9" t="n"/>
      <c r="C1109" s="65" t="n"/>
      <c r="D1109" s="9" t="n"/>
      <c r="E1109" s="66">
        <f>IF($B1109="","",IF(LEFT($B1109,1)="━","⚠️ Chọn hạng mục cụ thể",$C1109*VLOOKUP($B1109,'4. CÀI ĐẶT'!$A$2:$H$32,2,FALSE)))</f>
        <v/>
      </c>
      <c r="F1109" s="67">
        <f>IF($B1109="",0,IF(LEFT($B1109,1)="━",0,$C1109*VLOOKUP($B1109,'4. CÀI ĐẶT'!$A$2:$H$32,3,FALSE)))</f>
        <v/>
      </c>
      <c r="G1109" s="67">
        <f>IF($B1109="",0,IF(LEFT($B1109,1)="━",0,$C1109*VLOOKUP($B1109,'4. CÀI ĐẶT'!$A$2:$H$32,4,FALSE)))</f>
        <v/>
      </c>
      <c r="H1109" s="67">
        <f>IF($B1109="",0,IF(LEFT($B1109,1)="━",0,$C1109*VLOOKUP($B1109,'4. CÀI ĐẶT'!$A$2:$H$32,5,FALSE)))</f>
        <v/>
      </c>
      <c r="I1109">
        <f>IF($B1109="","",IF(LEFT($B1109,1)="━","",VLOOKUP($B1109,'4. CÀI ĐẶT'!$A$2:$H$32,6,FALSE)))</f>
        <v/>
      </c>
      <c r="J1109" s="13">
        <f>IF($A1109="","",EOMONTH($A1109,0))</f>
        <v/>
      </c>
      <c r="K1109" s="67">
        <f>IF($B1109="",0,IF(LEFT($B1109,1)="━",0,$C1109*VLOOKUP($B1109,'4. CÀI ĐẶT'!$A$2:$H$32,7,FALSE)))</f>
        <v/>
      </c>
    </row>
    <row r="1110">
      <c r="A1110" s="8" t="n"/>
      <c r="B1110" s="9" t="n"/>
      <c r="C1110" s="65" t="n"/>
      <c r="D1110" s="9" t="n"/>
      <c r="E1110" s="66">
        <f>IF($B1110="","",IF(LEFT($B1110,1)="━","⚠️ Chọn hạng mục cụ thể",$C1110*VLOOKUP($B1110,'4. CÀI ĐẶT'!$A$2:$H$32,2,FALSE)))</f>
        <v/>
      </c>
      <c r="F1110" s="67">
        <f>IF($B1110="",0,IF(LEFT($B1110,1)="━",0,$C1110*VLOOKUP($B1110,'4. CÀI ĐẶT'!$A$2:$H$32,3,FALSE)))</f>
        <v/>
      </c>
      <c r="G1110" s="67">
        <f>IF($B1110="",0,IF(LEFT($B1110,1)="━",0,$C1110*VLOOKUP($B1110,'4. CÀI ĐẶT'!$A$2:$H$32,4,FALSE)))</f>
        <v/>
      </c>
      <c r="H1110" s="67">
        <f>IF($B1110="",0,IF(LEFT($B1110,1)="━",0,$C1110*VLOOKUP($B1110,'4. CÀI ĐẶT'!$A$2:$H$32,5,FALSE)))</f>
        <v/>
      </c>
      <c r="I1110">
        <f>IF($B1110="","",IF(LEFT($B1110,1)="━","",VLOOKUP($B1110,'4. CÀI ĐẶT'!$A$2:$H$32,6,FALSE)))</f>
        <v/>
      </c>
      <c r="J1110" s="13">
        <f>IF($A1110="","",EOMONTH($A1110,0))</f>
        <v/>
      </c>
      <c r="K1110" s="67">
        <f>IF($B1110="",0,IF(LEFT($B1110,1)="━",0,$C1110*VLOOKUP($B1110,'4. CÀI ĐẶT'!$A$2:$H$32,7,FALSE)))</f>
        <v/>
      </c>
    </row>
    <row r="1111">
      <c r="A1111" s="8" t="n"/>
      <c r="B1111" s="9" t="n"/>
      <c r="C1111" s="65" t="n"/>
      <c r="D1111" s="9" t="n"/>
      <c r="E1111" s="66">
        <f>IF($B1111="","",IF(LEFT($B1111,1)="━","⚠️ Chọn hạng mục cụ thể",$C1111*VLOOKUP($B1111,'4. CÀI ĐẶT'!$A$2:$H$32,2,FALSE)))</f>
        <v/>
      </c>
      <c r="F1111" s="67">
        <f>IF($B1111="",0,IF(LEFT($B1111,1)="━",0,$C1111*VLOOKUP($B1111,'4. CÀI ĐẶT'!$A$2:$H$32,3,FALSE)))</f>
        <v/>
      </c>
      <c r="G1111" s="67">
        <f>IF($B1111="",0,IF(LEFT($B1111,1)="━",0,$C1111*VLOOKUP($B1111,'4. CÀI ĐẶT'!$A$2:$H$32,4,FALSE)))</f>
        <v/>
      </c>
      <c r="H1111" s="67">
        <f>IF($B1111="",0,IF(LEFT($B1111,1)="━",0,$C1111*VLOOKUP($B1111,'4. CÀI ĐẶT'!$A$2:$H$32,5,FALSE)))</f>
        <v/>
      </c>
      <c r="I1111">
        <f>IF($B1111="","",IF(LEFT($B1111,1)="━","",VLOOKUP($B1111,'4. CÀI ĐẶT'!$A$2:$H$32,6,FALSE)))</f>
        <v/>
      </c>
      <c r="J1111" s="13">
        <f>IF($A1111="","",EOMONTH($A1111,0))</f>
        <v/>
      </c>
      <c r="K1111" s="67">
        <f>IF($B1111="",0,IF(LEFT($B1111,1)="━",0,$C1111*VLOOKUP($B1111,'4. CÀI ĐẶT'!$A$2:$H$32,7,FALSE)))</f>
        <v/>
      </c>
    </row>
    <row r="1112">
      <c r="A1112" s="8" t="n"/>
      <c r="B1112" s="9" t="n"/>
      <c r="C1112" s="65" t="n"/>
      <c r="D1112" s="9" t="n"/>
      <c r="E1112" s="66">
        <f>IF($B1112="","",IF(LEFT($B1112,1)="━","⚠️ Chọn hạng mục cụ thể",$C1112*VLOOKUP($B1112,'4. CÀI ĐẶT'!$A$2:$H$32,2,FALSE)))</f>
        <v/>
      </c>
      <c r="F1112" s="67">
        <f>IF($B1112="",0,IF(LEFT($B1112,1)="━",0,$C1112*VLOOKUP($B1112,'4. CÀI ĐẶT'!$A$2:$H$32,3,FALSE)))</f>
        <v/>
      </c>
      <c r="G1112" s="67">
        <f>IF($B1112="",0,IF(LEFT($B1112,1)="━",0,$C1112*VLOOKUP($B1112,'4. CÀI ĐẶT'!$A$2:$H$32,4,FALSE)))</f>
        <v/>
      </c>
      <c r="H1112" s="67">
        <f>IF($B1112="",0,IF(LEFT($B1112,1)="━",0,$C1112*VLOOKUP($B1112,'4. CÀI ĐẶT'!$A$2:$H$32,5,FALSE)))</f>
        <v/>
      </c>
      <c r="I1112">
        <f>IF($B1112="","",IF(LEFT($B1112,1)="━","",VLOOKUP($B1112,'4. CÀI ĐẶT'!$A$2:$H$32,6,FALSE)))</f>
        <v/>
      </c>
      <c r="J1112" s="13">
        <f>IF($A1112="","",EOMONTH($A1112,0))</f>
        <v/>
      </c>
      <c r="K1112" s="67">
        <f>IF($B1112="",0,IF(LEFT($B1112,1)="━",0,$C1112*VLOOKUP($B1112,'4. CÀI ĐẶT'!$A$2:$H$32,7,FALSE)))</f>
        <v/>
      </c>
    </row>
    <row r="1113">
      <c r="A1113" s="8" t="n"/>
      <c r="B1113" s="9" t="n"/>
      <c r="C1113" s="65" t="n"/>
      <c r="D1113" s="9" t="n"/>
      <c r="E1113" s="66">
        <f>IF($B1113="","",IF(LEFT($B1113,1)="━","⚠️ Chọn hạng mục cụ thể",$C1113*VLOOKUP($B1113,'4. CÀI ĐẶT'!$A$2:$H$32,2,FALSE)))</f>
        <v/>
      </c>
      <c r="F1113" s="67">
        <f>IF($B1113="",0,IF(LEFT($B1113,1)="━",0,$C1113*VLOOKUP($B1113,'4. CÀI ĐẶT'!$A$2:$H$32,3,FALSE)))</f>
        <v/>
      </c>
      <c r="G1113" s="67">
        <f>IF($B1113="",0,IF(LEFT($B1113,1)="━",0,$C1113*VLOOKUP($B1113,'4. CÀI ĐẶT'!$A$2:$H$32,4,FALSE)))</f>
        <v/>
      </c>
      <c r="H1113" s="67">
        <f>IF($B1113="",0,IF(LEFT($B1113,1)="━",0,$C1113*VLOOKUP($B1113,'4. CÀI ĐẶT'!$A$2:$H$32,5,FALSE)))</f>
        <v/>
      </c>
      <c r="I1113">
        <f>IF($B1113="","",IF(LEFT($B1113,1)="━","",VLOOKUP($B1113,'4. CÀI ĐẶT'!$A$2:$H$32,6,FALSE)))</f>
        <v/>
      </c>
      <c r="J1113" s="13">
        <f>IF($A1113="","",EOMONTH($A1113,0))</f>
        <v/>
      </c>
      <c r="K1113" s="67">
        <f>IF($B1113="",0,IF(LEFT($B1113,1)="━",0,$C1113*VLOOKUP($B1113,'4. CÀI ĐẶT'!$A$2:$H$32,7,FALSE)))</f>
        <v/>
      </c>
    </row>
    <row r="1114">
      <c r="A1114" s="8" t="n"/>
      <c r="B1114" s="9" t="n"/>
      <c r="C1114" s="65" t="n"/>
      <c r="D1114" s="9" t="n"/>
      <c r="E1114" s="66">
        <f>IF($B1114="","",IF(LEFT($B1114,1)="━","⚠️ Chọn hạng mục cụ thể",$C1114*VLOOKUP($B1114,'4. CÀI ĐẶT'!$A$2:$H$32,2,FALSE)))</f>
        <v/>
      </c>
      <c r="F1114" s="67">
        <f>IF($B1114="",0,IF(LEFT($B1114,1)="━",0,$C1114*VLOOKUP($B1114,'4. CÀI ĐẶT'!$A$2:$H$32,3,FALSE)))</f>
        <v/>
      </c>
      <c r="G1114" s="67">
        <f>IF($B1114="",0,IF(LEFT($B1114,1)="━",0,$C1114*VLOOKUP($B1114,'4. CÀI ĐẶT'!$A$2:$H$32,4,FALSE)))</f>
        <v/>
      </c>
      <c r="H1114" s="67">
        <f>IF($B1114="",0,IF(LEFT($B1114,1)="━",0,$C1114*VLOOKUP($B1114,'4. CÀI ĐẶT'!$A$2:$H$32,5,FALSE)))</f>
        <v/>
      </c>
      <c r="I1114">
        <f>IF($B1114="","",IF(LEFT($B1114,1)="━","",VLOOKUP($B1114,'4. CÀI ĐẶT'!$A$2:$H$32,6,FALSE)))</f>
        <v/>
      </c>
      <c r="J1114" s="13">
        <f>IF($A1114="","",EOMONTH($A1114,0))</f>
        <v/>
      </c>
      <c r="K1114" s="67">
        <f>IF($B1114="",0,IF(LEFT($B1114,1)="━",0,$C1114*VLOOKUP($B1114,'4. CÀI ĐẶT'!$A$2:$H$32,7,FALSE)))</f>
        <v/>
      </c>
    </row>
    <row r="1115">
      <c r="A1115" s="8" t="n"/>
      <c r="B1115" s="9" t="n"/>
      <c r="C1115" s="65" t="n"/>
      <c r="D1115" s="9" t="n"/>
      <c r="E1115" s="66">
        <f>IF($B1115="","",IF(LEFT($B1115,1)="━","⚠️ Chọn hạng mục cụ thể",$C1115*VLOOKUP($B1115,'4. CÀI ĐẶT'!$A$2:$H$32,2,FALSE)))</f>
        <v/>
      </c>
      <c r="F1115" s="67">
        <f>IF($B1115="",0,IF(LEFT($B1115,1)="━",0,$C1115*VLOOKUP($B1115,'4. CÀI ĐẶT'!$A$2:$H$32,3,FALSE)))</f>
        <v/>
      </c>
      <c r="G1115" s="67">
        <f>IF($B1115="",0,IF(LEFT($B1115,1)="━",0,$C1115*VLOOKUP($B1115,'4. CÀI ĐẶT'!$A$2:$H$32,4,FALSE)))</f>
        <v/>
      </c>
      <c r="H1115" s="67">
        <f>IF($B1115="",0,IF(LEFT($B1115,1)="━",0,$C1115*VLOOKUP($B1115,'4. CÀI ĐẶT'!$A$2:$H$32,5,FALSE)))</f>
        <v/>
      </c>
      <c r="I1115">
        <f>IF($B1115="","",IF(LEFT($B1115,1)="━","",VLOOKUP($B1115,'4. CÀI ĐẶT'!$A$2:$H$32,6,FALSE)))</f>
        <v/>
      </c>
      <c r="J1115" s="13">
        <f>IF($A1115="","",EOMONTH($A1115,0))</f>
        <v/>
      </c>
      <c r="K1115" s="67">
        <f>IF($B1115="",0,IF(LEFT($B1115,1)="━",0,$C1115*VLOOKUP($B1115,'4. CÀI ĐẶT'!$A$2:$H$32,7,FALSE)))</f>
        <v/>
      </c>
    </row>
    <row r="1116">
      <c r="A1116" s="8" t="n"/>
      <c r="B1116" s="9" t="n"/>
      <c r="C1116" s="65" t="n"/>
      <c r="D1116" s="9" t="n"/>
      <c r="E1116" s="66">
        <f>IF($B1116="","",IF(LEFT($B1116,1)="━","⚠️ Chọn hạng mục cụ thể",$C1116*VLOOKUP($B1116,'4. CÀI ĐẶT'!$A$2:$H$32,2,FALSE)))</f>
        <v/>
      </c>
      <c r="F1116" s="67">
        <f>IF($B1116="",0,IF(LEFT($B1116,1)="━",0,$C1116*VLOOKUP($B1116,'4. CÀI ĐẶT'!$A$2:$H$32,3,FALSE)))</f>
        <v/>
      </c>
      <c r="G1116" s="67">
        <f>IF($B1116="",0,IF(LEFT($B1116,1)="━",0,$C1116*VLOOKUP($B1116,'4. CÀI ĐẶT'!$A$2:$H$32,4,FALSE)))</f>
        <v/>
      </c>
      <c r="H1116" s="67">
        <f>IF($B1116="",0,IF(LEFT($B1116,1)="━",0,$C1116*VLOOKUP($B1116,'4. CÀI ĐẶT'!$A$2:$H$32,5,FALSE)))</f>
        <v/>
      </c>
      <c r="I1116">
        <f>IF($B1116="","",IF(LEFT($B1116,1)="━","",VLOOKUP($B1116,'4. CÀI ĐẶT'!$A$2:$H$32,6,FALSE)))</f>
        <v/>
      </c>
      <c r="J1116" s="13">
        <f>IF($A1116="","",EOMONTH($A1116,0))</f>
        <v/>
      </c>
      <c r="K1116" s="67">
        <f>IF($B1116="",0,IF(LEFT($B1116,1)="━",0,$C1116*VLOOKUP($B1116,'4. CÀI ĐẶT'!$A$2:$H$32,7,FALSE)))</f>
        <v/>
      </c>
    </row>
    <row r="1117">
      <c r="A1117" s="8" t="n"/>
      <c r="B1117" s="9" t="n"/>
      <c r="C1117" s="65" t="n"/>
      <c r="D1117" s="9" t="n"/>
      <c r="E1117" s="66">
        <f>IF($B1117="","",IF(LEFT($B1117,1)="━","⚠️ Chọn hạng mục cụ thể",$C1117*VLOOKUP($B1117,'4. CÀI ĐẶT'!$A$2:$H$32,2,FALSE)))</f>
        <v/>
      </c>
      <c r="F1117" s="67">
        <f>IF($B1117="",0,IF(LEFT($B1117,1)="━",0,$C1117*VLOOKUP($B1117,'4. CÀI ĐẶT'!$A$2:$H$32,3,FALSE)))</f>
        <v/>
      </c>
      <c r="G1117" s="67">
        <f>IF($B1117="",0,IF(LEFT($B1117,1)="━",0,$C1117*VLOOKUP($B1117,'4. CÀI ĐẶT'!$A$2:$H$32,4,FALSE)))</f>
        <v/>
      </c>
      <c r="H1117" s="67">
        <f>IF($B1117="",0,IF(LEFT($B1117,1)="━",0,$C1117*VLOOKUP($B1117,'4. CÀI ĐẶT'!$A$2:$H$32,5,FALSE)))</f>
        <v/>
      </c>
      <c r="I1117">
        <f>IF($B1117="","",IF(LEFT($B1117,1)="━","",VLOOKUP($B1117,'4. CÀI ĐẶT'!$A$2:$H$32,6,FALSE)))</f>
        <v/>
      </c>
      <c r="J1117" s="13">
        <f>IF($A1117="","",EOMONTH($A1117,0))</f>
        <v/>
      </c>
      <c r="K1117" s="67">
        <f>IF($B1117="",0,IF(LEFT($B1117,1)="━",0,$C1117*VLOOKUP($B1117,'4. CÀI ĐẶT'!$A$2:$H$32,7,FALSE)))</f>
        <v/>
      </c>
    </row>
    <row r="1118">
      <c r="A1118" s="8" t="n"/>
      <c r="B1118" s="9" t="n"/>
      <c r="C1118" s="65" t="n"/>
      <c r="D1118" s="9" t="n"/>
      <c r="E1118" s="66">
        <f>IF($B1118="","",IF(LEFT($B1118,1)="━","⚠️ Chọn hạng mục cụ thể",$C1118*VLOOKUP($B1118,'4. CÀI ĐẶT'!$A$2:$H$32,2,FALSE)))</f>
        <v/>
      </c>
      <c r="F1118" s="67">
        <f>IF($B1118="",0,IF(LEFT($B1118,1)="━",0,$C1118*VLOOKUP($B1118,'4. CÀI ĐẶT'!$A$2:$H$32,3,FALSE)))</f>
        <v/>
      </c>
      <c r="G1118" s="67">
        <f>IF($B1118="",0,IF(LEFT($B1118,1)="━",0,$C1118*VLOOKUP($B1118,'4. CÀI ĐẶT'!$A$2:$H$32,4,FALSE)))</f>
        <v/>
      </c>
      <c r="H1118" s="67">
        <f>IF($B1118="",0,IF(LEFT($B1118,1)="━",0,$C1118*VLOOKUP($B1118,'4. CÀI ĐẶT'!$A$2:$H$32,5,FALSE)))</f>
        <v/>
      </c>
      <c r="I1118">
        <f>IF($B1118="","",IF(LEFT($B1118,1)="━","",VLOOKUP($B1118,'4. CÀI ĐẶT'!$A$2:$H$32,6,FALSE)))</f>
        <v/>
      </c>
      <c r="J1118" s="13">
        <f>IF($A1118="","",EOMONTH($A1118,0))</f>
        <v/>
      </c>
      <c r="K1118" s="67">
        <f>IF($B1118="",0,IF(LEFT($B1118,1)="━",0,$C1118*VLOOKUP($B1118,'4. CÀI ĐẶT'!$A$2:$H$32,7,FALSE)))</f>
        <v/>
      </c>
    </row>
    <row r="1119">
      <c r="A1119" s="8" t="n"/>
      <c r="B1119" s="9" t="n"/>
      <c r="C1119" s="65" t="n"/>
      <c r="D1119" s="9" t="n"/>
      <c r="E1119" s="66">
        <f>IF($B1119="","",IF(LEFT($B1119,1)="━","⚠️ Chọn hạng mục cụ thể",$C1119*VLOOKUP($B1119,'4. CÀI ĐẶT'!$A$2:$H$32,2,FALSE)))</f>
        <v/>
      </c>
      <c r="F1119" s="67">
        <f>IF($B1119="",0,IF(LEFT($B1119,1)="━",0,$C1119*VLOOKUP($B1119,'4. CÀI ĐẶT'!$A$2:$H$32,3,FALSE)))</f>
        <v/>
      </c>
      <c r="G1119" s="67">
        <f>IF($B1119="",0,IF(LEFT($B1119,1)="━",0,$C1119*VLOOKUP($B1119,'4. CÀI ĐẶT'!$A$2:$H$32,4,FALSE)))</f>
        <v/>
      </c>
      <c r="H1119" s="67">
        <f>IF($B1119="",0,IF(LEFT($B1119,1)="━",0,$C1119*VLOOKUP($B1119,'4. CÀI ĐẶT'!$A$2:$H$32,5,FALSE)))</f>
        <v/>
      </c>
      <c r="I1119">
        <f>IF($B1119="","",IF(LEFT($B1119,1)="━","",VLOOKUP($B1119,'4. CÀI ĐẶT'!$A$2:$H$32,6,FALSE)))</f>
        <v/>
      </c>
      <c r="J1119" s="13">
        <f>IF($A1119="","",EOMONTH($A1119,0))</f>
        <v/>
      </c>
      <c r="K1119" s="67">
        <f>IF($B1119="",0,IF(LEFT($B1119,1)="━",0,$C1119*VLOOKUP($B1119,'4. CÀI ĐẶT'!$A$2:$H$32,7,FALSE)))</f>
        <v/>
      </c>
    </row>
    <row r="1120">
      <c r="A1120" s="8" t="n"/>
      <c r="B1120" s="9" t="n"/>
      <c r="C1120" s="65" t="n"/>
      <c r="D1120" s="9" t="n"/>
      <c r="E1120" s="66">
        <f>IF($B1120="","",IF(LEFT($B1120,1)="━","⚠️ Chọn hạng mục cụ thể",$C1120*VLOOKUP($B1120,'4. CÀI ĐẶT'!$A$2:$H$32,2,FALSE)))</f>
        <v/>
      </c>
      <c r="F1120" s="67">
        <f>IF($B1120="",0,IF(LEFT($B1120,1)="━",0,$C1120*VLOOKUP($B1120,'4. CÀI ĐẶT'!$A$2:$H$32,3,FALSE)))</f>
        <v/>
      </c>
      <c r="G1120" s="67">
        <f>IF($B1120="",0,IF(LEFT($B1120,1)="━",0,$C1120*VLOOKUP($B1120,'4. CÀI ĐẶT'!$A$2:$H$32,4,FALSE)))</f>
        <v/>
      </c>
      <c r="H1120" s="67">
        <f>IF($B1120="",0,IF(LEFT($B1120,1)="━",0,$C1120*VLOOKUP($B1120,'4. CÀI ĐẶT'!$A$2:$H$32,5,FALSE)))</f>
        <v/>
      </c>
      <c r="I1120">
        <f>IF($B1120="","",IF(LEFT($B1120,1)="━","",VLOOKUP($B1120,'4. CÀI ĐẶT'!$A$2:$H$32,6,FALSE)))</f>
        <v/>
      </c>
      <c r="J1120" s="13">
        <f>IF($A1120="","",EOMONTH($A1120,0))</f>
        <v/>
      </c>
      <c r="K1120" s="67">
        <f>IF($B1120="",0,IF(LEFT($B1120,1)="━",0,$C1120*VLOOKUP($B1120,'4. CÀI ĐẶT'!$A$2:$H$32,7,FALSE)))</f>
        <v/>
      </c>
    </row>
    <row r="1121">
      <c r="A1121" s="8" t="n"/>
      <c r="B1121" s="9" t="n"/>
      <c r="C1121" s="65" t="n"/>
      <c r="D1121" s="9" t="n"/>
      <c r="E1121" s="66">
        <f>IF($B1121="","",IF(LEFT($B1121,1)="━","⚠️ Chọn hạng mục cụ thể",$C1121*VLOOKUP($B1121,'4. CÀI ĐẶT'!$A$2:$H$32,2,FALSE)))</f>
        <v/>
      </c>
      <c r="F1121" s="67">
        <f>IF($B1121="",0,IF(LEFT($B1121,1)="━",0,$C1121*VLOOKUP($B1121,'4. CÀI ĐẶT'!$A$2:$H$32,3,FALSE)))</f>
        <v/>
      </c>
      <c r="G1121" s="67">
        <f>IF($B1121="",0,IF(LEFT($B1121,1)="━",0,$C1121*VLOOKUP($B1121,'4. CÀI ĐẶT'!$A$2:$H$32,4,FALSE)))</f>
        <v/>
      </c>
      <c r="H1121" s="67">
        <f>IF($B1121="",0,IF(LEFT($B1121,1)="━",0,$C1121*VLOOKUP($B1121,'4. CÀI ĐẶT'!$A$2:$H$32,5,FALSE)))</f>
        <v/>
      </c>
      <c r="I1121">
        <f>IF($B1121="","",IF(LEFT($B1121,1)="━","",VLOOKUP($B1121,'4. CÀI ĐẶT'!$A$2:$H$32,6,FALSE)))</f>
        <v/>
      </c>
      <c r="J1121" s="13">
        <f>IF($A1121="","",EOMONTH($A1121,0))</f>
        <v/>
      </c>
      <c r="K1121" s="67">
        <f>IF($B1121="",0,IF(LEFT($B1121,1)="━",0,$C1121*VLOOKUP($B1121,'4. CÀI ĐẶT'!$A$2:$H$32,7,FALSE)))</f>
        <v/>
      </c>
    </row>
    <row r="1122">
      <c r="A1122" s="8" t="n"/>
      <c r="B1122" s="9" t="n"/>
      <c r="C1122" s="65" t="n"/>
      <c r="D1122" s="9" t="n"/>
      <c r="E1122" s="66">
        <f>IF($B1122="","",IF(LEFT($B1122,1)="━","⚠️ Chọn hạng mục cụ thể",$C1122*VLOOKUP($B1122,'4. CÀI ĐẶT'!$A$2:$H$32,2,FALSE)))</f>
        <v/>
      </c>
      <c r="F1122" s="67">
        <f>IF($B1122="",0,IF(LEFT($B1122,1)="━",0,$C1122*VLOOKUP($B1122,'4. CÀI ĐẶT'!$A$2:$H$32,3,FALSE)))</f>
        <v/>
      </c>
      <c r="G1122" s="67">
        <f>IF($B1122="",0,IF(LEFT($B1122,1)="━",0,$C1122*VLOOKUP($B1122,'4. CÀI ĐẶT'!$A$2:$H$32,4,FALSE)))</f>
        <v/>
      </c>
      <c r="H1122" s="67">
        <f>IF($B1122="",0,IF(LEFT($B1122,1)="━",0,$C1122*VLOOKUP($B1122,'4. CÀI ĐẶT'!$A$2:$H$32,5,FALSE)))</f>
        <v/>
      </c>
      <c r="I1122">
        <f>IF($B1122="","",IF(LEFT($B1122,1)="━","",VLOOKUP($B1122,'4. CÀI ĐẶT'!$A$2:$H$32,6,FALSE)))</f>
        <v/>
      </c>
      <c r="J1122" s="13">
        <f>IF($A1122="","",EOMONTH($A1122,0))</f>
        <v/>
      </c>
      <c r="K1122" s="67">
        <f>IF($B1122="",0,IF(LEFT($B1122,1)="━",0,$C1122*VLOOKUP($B1122,'4. CÀI ĐẶT'!$A$2:$H$32,7,FALSE)))</f>
        <v/>
      </c>
    </row>
    <row r="1123">
      <c r="A1123" s="8" t="n"/>
      <c r="B1123" s="9" t="n"/>
      <c r="C1123" s="65" t="n"/>
      <c r="D1123" s="9" t="n"/>
      <c r="E1123" s="66">
        <f>IF($B1123="","",IF(LEFT($B1123,1)="━","⚠️ Chọn hạng mục cụ thể",$C1123*VLOOKUP($B1123,'4. CÀI ĐẶT'!$A$2:$H$32,2,FALSE)))</f>
        <v/>
      </c>
      <c r="F1123" s="67">
        <f>IF($B1123="",0,IF(LEFT($B1123,1)="━",0,$C1123*VLOOKUP($B1123,'4. CÀI ĐẶT'!$A$2:$H$32,3,FALSE)))</f>
        <v/>
      </c>
      <c r="G1123" s="67">
        <f>IF($B1123="",0,IF(LEFT($B1123,1)="━",0,$C1123*VLOOKUP($B1123,'4. CÀI ĐẶT'!$A$2:$H$32,4,FALSE)))</f>
        <v/>
      </c>
      <c r="H1123" s="67">
        <f>IF($B1123="",0,IF(LEFT($B1123,1)="━",0,$C1123*VLOOKUP($B1123,'4. CÀI ĐẶT'!$A$2:$H$32,5,FALSE)))</f>
        <v/>
      </c>
      <c r="I1123">
        <f>IF($B1123="","",IF(LEFT($B1123,1)="━","",VLOOKUP($B1123,'4. CÀI ĐẶT'!$A$2:$H$32,6,FALSE)))</f>
        <v/>
      </c>
      <c r="J1123" s="13">
        <f>IF($A1123="","",EOMONTH($A1123,0))</f>
        <v/>
      </c>
      <c r="K1123" s="67">
        <f>IF($B1123="",0,IF(LEFT($B1123,1)="━",0,$C1123*VLOOKUP($B1123,'4. CÀI ĐẶT'!$A$2:$H$32,7,FALSE)))</f>
        <v/>
      </c>
    </row>
    <row r="1124">
      <c r="A1124" s="8" t="n"/>
      <c r="B1124" s="9" t="n"/>
      <c r="C1124" s="65" t="n"/>
      <c r="D1124" s="9" t="n"/>
      <c r="E1124" s="66">
        <f>IF($B1124="","",IF(LEFT($B1124,1)="━","⚠️ Chọn hạng mục cụ thể",$C1124*VLOOKUP($B1124,'4. CÀI ĐẶT'!$A$2:$H$32,2,FALSE)))</f>
        <v/>
      </c>
      <c r="F1124" s="67">
        <f>IF($B1124="",0,IF(LEFT($B1124,1)="━",0,$C1124*VLOOKUP($B1124,'4. CÀI ĐẶT'!$A$2:$H$32,3,FALSE)))</f>
        <v/>
      </c>
      <c r="G1124" s="67">
        <f>IF($B1124="",0,IF(LEFT($B1124,1)="━",0,$C1124*VLOOKUP($B1124,'4. CÀI ĐẶT'!$A$2:$H$32,4,FALSE)))</f>
        <v/>
      </c>
      <c r="H1124" s="67">
        <f>IF($B1124="",0,IF(LEFT($B1124,1)="━",0,$C1124*VLOOKUP($B1124,'4. CÀI ĐẶT'!$A$2:$H$32,5,FALSE)))</f>
        <v/>
      </c>
      <c r="I1124">
        <f>IF($B1124="","",IF(LEFT($B1124,1)="━","",VLOOKUP($B1124,'4. CÀI ĐẶT'!$A$2:$H$32,6,FALSE)))</f>
        <v/>
      </c>
      <c r="J1124" s="13">
        <f>IF($A1124="","",EOMONTH($A1124,0))</f>
        <v/>
      </c>
      <c r="K1124" s="67">
        <f>IF($B1124="",0,IF(LEFT($B1124,1)="━",0,$C1124*VLOOKUP($B1124,'4. CÀI ĐẶT'!$A$2:$H$32,7,FALSE)))</f>
        <v/>
      </c>
    </row>
    <row r="1125">
      <c r="A1125" s="8" t="n"/>
      <c r="B1125" s="9" t="n"/>
      <c r="C1125" s="65" t="n"/>
      <c r="D1125" s="9" t="n"/>
      <c r="E1125" s="66">
        <f>IF($B1125="","",IF(LEFT($B1125,1)="━","⚠️ Chọn hạng mục cụ thể",$C1125*VLOOKUP($B1125,'4. CÀI ĐẶT'!$A$2:$H$32,2,FALSE)))</f>
        <v/>
      </c>
      <c r="F1125" s="67">
        <f>IF($B1125="",0,IF(LEFT($B1125,1)="━",0,$C1125*VLOOKUP($B1125,'4. CÀI ĐẶT'!$A$2:$H$32,3,FALSE)))</f>
        <v/>
      </c>
      <c r="G1125" s="67">
        <f>IF($B1125="",0,IF(LEFT($B1125,1)="━",0,$C1125*VLOOKUP($B1125,'4. CÀI ĐẶT'!$A$2:$H$32,4,FALSE)))</f>
        <v/>
      </c>
      <c r="H1125" s="67">
        <f>IF($B1125="",0,IF(LEFT($B1125,1)="━",0,$C1125*VLOOKUP($B1125,'4. CÀI ĐẶT'!$A$2:$H$32,5,FALSE)))</f>
        <v/>
      </c>
      <c r="I1125">
        <f>IF($B1125="","",IF(LEFT($B1125,1)="━","",VLOOKUP($B1125,'4. CÀI ĐẶT'!$A$2:$H$32,6,FALSE)))</f>
        <v/>
      </c>
      <c r="J1125" s="13">
        <f>IF($A1125="","",EOMONTH($A1125,0))</f>
        <v/>
      </c>
      <c r="K1125" s="67">
        <f>IF($B1125="",0,IF(LEFT($B1125,1)="━",0,$C1125*VLOOKUP($B1125,'4. CÀI ĐẶT'!$A$2:$H$32,7,FALSE)))</f>
        <v/>
      </c>
    </row>
    <row r="1126">
      <c r="A1126" s="8" t="n"/>
      <c r="B1126" s="9" t="n"/>
      <c r="C1126" s="65" t="n"/>
      <c r="D1126" s="9" t="n"/>
      <c r="E1126" s="66">
        <f>IF($B1126="","",IF(LEFT($B1126,1)="━","⚠️ Chọn hạng mục cụ thể",$C1126*VLOOKUP($B1126,'4. CÀI ĐẶT'!$A$2:$H$32,2,FALSE)))</f>
        <v/>
      </c>
      <c r="F1126" s="67">
        <f>IF($B1126="",0,IF(LEFT($B1126,1)="━",0,$C1126*VLOOKUP($B1126,'4. CÀI ĐẶT'!$A$2:$H$32,3,FALSE)))</f>
        <v/>
      </c>
      <c r="G1126" s="67">
        <f>IF($B1126="",0,IF(LEFT($B1126,1)="━",0,$C1126*VLOOKUP($B1126,'4. CÀI ĐẶT'!$A$2:$H$32,4,FALSE)))</f>
        <v/>
      </c>
      <c r="H1126" s="67">
        <f>IF($B1126="",0,IF(LEFT($B1126,1)="━",0,$C1126*VLOOKUP($B1126,'4. CÀI ĐẶT'!$A$2:$H$32,5,FALSE)))</f>
        <v/>
      </c>
      <c r="I1126">
        <f>IF($B1126="","",IF(LEFT($B1126,1)="━","",VLOOKUP($B1126,'4. CÀI ĐẶT'!$A$2:$H$32,6,FALSE)))</f>
        <v/>
      </c>
      <c r="J1126" s="13">
        <f>IF($A1126="","",EOMONTH($A1126,0))</f>
        <v/>
      </c>
      <c r="K1126" s="67">
        <f>IF($B1126="",0,IF(LEFT($B1126,1)="━",0,$C1126*VLOOKUP($B1126,'4. CÀI ĐẶT'!$A$2:$H$32,7,FALSE)))</f>
        <v/>
      </c>
    </row>
    <row r="1127">
      <c r="A1127" s="8" t="n"/>
      <c r="B1127" s="9" t="n"/>
      <c r="C1127" s="65" t="n"/>
      <c r="D1127" s="9" t="n"/>
      <c r="E1127" s="66">
        <f>IF($B1127="","",IF(LEFT($B1127,1)="━","⚠️ Chọn hạng mục cụ thể",$C1127*VLOOKUP($B1127,'4. CÀI ĐẶT'!$A$2:$H$32,2,FALSE)))</f>
        <v/>
      </c>
      <c r="F1127" s="67">
        <f>IF($B1127="",0,IF(LEFT($B1127,1)="━",0,$C1127*VLOOKUP($B1127,'4. CÀI ĐẶT'!$A$2:$H$32,3,FALSE)))</f>
        <v/>
      </c>
      <c r="G1127" s="67">
        <f>IF($B1127="",0,IF(LEFT($B1127,1)="━",0,$C1127*VLOOKUP($B1127,'4. CÀI ĐẶT'!$A$2:$H$32,4,FALSE)))</f>
        <v/>
      </c>
      <c r="H1127" s="67">
        <f>IF($B1127="",0,IF(LEFT($B1127,1)="━",0,$C1127*VLOOKUP($B1127,'4. CÀI ĐẶT'!$A$2:$H$32,5,FALSE)))</f>
        <v/>
      </c>
      <c r="I1127">
        <f>IF($B1127="","",IF(LEFT($B1127,1)="━","",VLOOKUP($B1127,'4. CÀI ĐẶT'!$A$2:$H$32,6,FALSE)))</f>
        <v/>
      </c>
      <c r="J1127" s="13">
        <f>IF($A1127="","",EOMONTH($A1127,0))</f>
        <v/>
      </c>
      <c r="K1127" s="67">
        <f>IF($B1127="",0,IF(LEFT($B1127,1)="━",0,$C1127*VLOOKUP($B1127,'4. CÀI ĐẶT'!$A$2:$H$32,7,FALSE)))</f>
        <v/>
      </c>
    </row>
    <row r="1128">
      <c r="A1128" s="8" t="n"/>
      <c r="B1128" s="9" t="n"/>
      <c r="C1128" s="65" t="n"/>
      <c r="D1128" s="9" t="n"/>
      <c r="E1128" s="66">
        <f>IF($B1128="","",IF(LEFT($B1128,1)="━","⚠️ Chọn hạng mục cụ thể",$C1128*VLOOKUP($B1128,'4. CÀI ĐẶT'!$A$2:$H$32,2,FALSE)))</f>
        <v/>
      </c>
      <c r="F1128" s="67">
        <f>IF($B1128="",0,IF(LEFT($B1128,1)="━",0,$C1128*VLOOKUP($B1128,'4. CÀI ĐẶT'!$A$2:$H$32,3,FALSE)))</f>
        <v/>
      </c>
      <c r="G1128" s="67">
        <f>IF($B1128="",0,IF(LEFT($B1128,1)="━",0,$C1128*VLOOKUP($B1128,'4. CÀI ĐẶT'!$A$2:$H$32,4,FALSE)))</f>
        <v/>
      </c>
      <c r="H1128" s="67">
        <f>IF($B1128="",0,IF(LEFT($B1128,1)="━",0,$C1128*VLOOKUP($B1128,'4. CÀI ĐẶT'!$A$2:$H$32,5,FALSE)))</f>
        <v/>
      </c>
      <c r="I1128">
        <f>IF($B1128="","",IF(LEFT($B1128,1)="━","",VLOOKUP($B1128,'4. CÀI ĐẶT'!$A$2:$H$32,6,FALSE)))</f>
        <v/>
      </c>
      <c r="J1128" s="13">
        <f>IF($A1128="","",EOMONTH($A1128,0))</f>
        <v/>
      </c>
      <c r="K1128" s="67">
        <f>IF($B1128="",0,IF(LEFT($B1128,1)="━",0,$C1128*VLOOKUP($B1128,'4. CÀI ĐẶT'!$A$2:$H$32,7,FALSE)))</f>
        <v/>
      </c>
    </row>
    <row r="1129">
      <c r="A1129" s="8" t="n"/>
      <c r="B1129" s="9" t="n"/>
      <c r="C1129" s="65" t="n"/>
      <c r="D1129" s="9" t="n"/>
      <c r="E1129" s="66">
        <f>IF($B1129="","",IF(LEFT($B1129,1)="━","⚠️ Chọn hạng mục cụ thể",$C1129*VLOOKUP($B1129,'4. CÀI ĐẶT'!$A$2:$H$32,2,FALSE)))</f>
        <v/>
      </c>
      <c r="F1129" s="67">
        <f>IF($B1129="",0,IF(LEFT($B1129,1)="━",0,$C1129*VLOOKUP($B1129,'4. CÀI ĐẶT'!$A$2:$H$32,3,FALSE)))</f>
        <v/>
      </c>
      <c r="G1129" s="67">
        <f>IF($B1129="",0,IF(LEFT($B1129,1)="━",0,$C1129*VLOOKUP($B1129,'4. CÀI ĐẶT'!$A$2:$H$32,4,FALSE)))</f>
        <v/>
      </c>
      <c r="H1129" s="67">
        <f>IF($B1129="",0,IF(LEFT($B1129,1)="━",0,$C1129*VLOOKUP($B1129,'4. CÀI ĐẶT'!$A$2:$H$32,5,FALSE)))</f>
        <v/>
      </c>
      <c r="I1129">
        <f>IF($B1129="","",IF(LEFT($B1129,1)="━","",VLOOKUP($B1129,'4. CÀI ĐẶT'!$A$2:$H$32,6,FALSE)))</f>
        <v/>
      </c>
      <c r="J1129" s="13">
        <f>IF($A1129="","",EOMONTH($A1129,0))</f>
        <v/>
      </c>
      <c r="K1129" s="67">
        <f>IF($B1129="",0,IF(LEFT($B1129,1)="━",0,$C1129*VLOOKUP($B1129,'4. CÀI ĐẶT'!$A$2:$H$32,7,FALSE)))</f>
        <v/>
      </c>
    </row>
    <row r="1130">
      <c r="A1130" s="8" t="n"/>
      <c r="B1130" s="9" t="n"/>
      <c r="C1130" s="65" t="n"/>
      <c r="D1130" s="9" t="n"/>
      <c r="E1130" s="66">
        <f>IF($B1130="","",IF(LEFT($B1130,1)="━","⚠️ Chọn hạng mục cụ thể",$C1130*VLOOKUP($B1130,'4. CÀI ĐẶT'!$A$2:$H$32,2,FALSE)))</f>
        <v/>
      </c>
      <c r="F1130" s="67">
        <f>IF($B1130="",0,IF(LEFT($B1130,1)="━",0,$C1130*VLOOKUP($B1130,'4. CÀI ĐẶT'!$A$2:$H$32,3,FALSE)))</f>
        <v/>
      </c>
      <c r="G1130" s="67">
        <f>IF($B1130="",0,IF(LEFT($B1130,1)="━",0,$C1130*VLOOKUP($B1130,'4. CÀI ĐẶT'!$A$2:$H$32,4,FALSE)))</f>
        <v/>
      </c>
      <c r="H1130" s="67">
        <f>IF($B1130="",0,IF(LEFT($B1130,1)="━",0,$C1130*VLOOKUP($B1130,'4. CÀI ĐẶT'!$A$2:$H$32,5,FALSE)))</f>
        <v/>
      </c>
      <c r="I1130">
        <f>IF($B1130="","",IF(LEFT($B1130,1)="━","",VLOOKUP($B1130,'4. CÀI ĐẶT'!$A$2:$H$32,6,FALSE)))</f>
        <v/>
      </c>
      <c r="J1130" s="13">
        <f>IF($A1130="","",EOMONTH($A1130,0))</f>
        <v/>
      </c>
      <c r="K1130" s="67">
        <f>IF($B1130="",0,IF(LEFT($B1130,1)="━",0,$C1130*VLOOKUP($B1130,'4. CÀI ĐẶT'!$A$2:$H$32,7,FALSE)))</f>
        <v/>
      </c>
    </row>
    <row r="1131">
      <c r="A1131" s="8" t="n"/>
      <c r="B1131" s="9" t="n"/>
      <c r="C1131" s="65" t="n"/>
      <c r="D1131" s="9" t="n"/>
      <c r="E1131" s="66">
        <f>IF($B1131="","",IF(LEFT($B1131,1)="━","⚠️ Chọn hạng mục cụ thể",$C1131*VLOOKUP($B1131,'4. CÀI ĐẶT'!$A$2:$H$32,2,FALSE)))</f>
        <v/>
      </c>
      <c r="F1131" s="67">
        <f>IF($B1131="",0,IF(LEFT($B1131,1)="━",0,$C1131*VLOOKUP($B1131,'4. CÀI ĐẶT'!$A$2:$H$32,3,FALSE)))</f>
        <v/>
      </c>
      <c r="G1131" s="67">
        <f>IF($B1131="",0,IF(LEFT($B1131,1)="━",0,$C1131*VLOOKUP($B1131,'4. CÀI ĐẶT'!$A$2:$H$32,4,FALSE)))</f>
        <v/>
      </c>
      <c r="H1131" s="67">
        <f>IF($B1131="",0,IF(LEFT($B1131,1)="━",0,$C1131*VLOOKUP($B1131,'4. CÀI ĐẶT'!$A$2:$H$32,5,FALSE)))</f>
        <v/>
      </c>
      <c r="I1131">
        <f>IF($B1131="","",IF(LEFT($B1131,1)="━","",VLOOKUP($B1131,'4. CÀI ĐẶT'!$A$2:$H$32,6,FALSE)))</f>
        <v/>
      </c>
      <c r="J1131" s="13">
        <f>IF($A1131="","",EOMONTH($A1131,0))</f>
        <v/>
      </c>
      <c r="K1131" s="67">
        <f>IF($B1131="",0,IF(LEFT($B1131,1)="━",0,$C1131*VLOOKUP($B1131,'4. CÀI ĐẶT'!$A$2:$H$32,7,FALSE)))</f>
        <v/>
      </c>
    </row>
    <row r="1132">
      <c r="A1132" s="8" t="n"/>
      <c r="B1132" s="9" t="n"/>
      <c r="C1132" s="65" t="n"/>
      <c r="D1132" s="9" t="n"/>
      <c r="E1132" s="66">
        <f>IF($B1132="","",IF(LEFT($B1132,1)="━","⚠️ Chọn hạng mục cụ thể",$C1132*VLOOKUP($B1132,'4. CÀI ĐẶT'!$A$2:$H$32,2,FALSE)))</f>
        <v/>
      </c>
      <c r="F1132" s="67">
        <f>IF($B1132="",0,IF(LEFT($B1132,1)="━",0,$C1132*VLOOKUP($B1132,'4. CÀI ĐẶT'!$A$2:$H$32,3,FALSE)))</f>
        <v/>
      </c>
      <c r="G1132" s="67">
        <f>IF($B1132="",0,IF(LEFT($B1132,1)="━",0,$C1132*VLOOKUP($B1132,'4. CÀI ĐẶT'!$A$2:$H$32,4,FALSE)))</f>
        <v/>
      </c>
      <c r="H1132" s="67">
        <f>IF($B1132="",0,IF(LEFT($B1132,1)="━",0,$C1132*VLOOKUP($B1132,'4. CÀI ĐẶT'!$A$2:$H$32,5,FALSE)))</f>
        <v/>
      </c>
      <c r="I1132">
        <f>IF($B1132="","",IF(LEFT($B1132,1)="━","",VLOOKUP($B1132,'4. CÀI ĐẶT'!$A$2:$H$32,6,FALSE)))</f>
        <v/>
      </c>
      <c r="J1132" s="13">
        <f>IF($A1132="","",EOMONTH($A1132,0))</f>
        <v/>
      </c>
      <c r="K1132" s="67">
        <f>IF($B1132="",0,IF(LEFT($B1132,1)="━",0,$C1132*VLOOKUP($B1132,'4. CÀI ĐẶT'!$A$2:$H$32,7,FALSE)))</f>
        <v/>
      </c>
    </row>
    <row r="1133">
      <c r="A1133" s="8" t="n"/>
      <c r="B1133" s="9" t="n"/>
      <c r="C1133" s="65" t="n"/>
      <c r="D1133" s="9" t="n"/>
      <c r="E1133" s="66">
        <f>IF($B1133="","",IF(LEFT($B1133,1)="━","⚠️ Chọn hạng mục cụ thể",$C1133*VLOOKUP($B1133,'4. CÀI ĐẶT'!$A$2:$H$32,2,FALSE)))</f>
        <v/>
      </c>
      <c r="F1133" s="67">
        <f>IF($B1133="",0,IF(LEFT($B1133,1)="━",0,$C1133*VLOOKUP($B1133,'4. CÀI ĐẶT'!$A$2:$H$32,3,FALSE)))</f>
        <v/>
      </c>
      <c r="G1133" s="67">
        <f>IF($B1133="",0,IF(LEFT($B1133,1)="━",0,$C1133*VLOOKUP($B1133,'4. CÀI ĐẶT'!$A$2:$H$32,4,FALSE)))</f>
        <v/>
      </c>
      <c r="H1133" s="67">
        <f>IF($B1133="",0,IF(LEFT($B1133,1)="━",0,$C1133*VLOOKUP($B1133,'4. CÀI ĐẶT'!$A$2:$H$32,5,FALSE)))</f>
        <v/>
      </c>
      <c r="I1133">
        <f>IF($B1133="","",IF(LEFT($B1133,1)="━","",VLOOKUP($B1133,'4. CÀI ĐẶT'!$A$2:$H$32,6,FALSE)))</f>
        <v/>
      </c>
      <c r="J1133" s="13">
        <f>IF($A1133="","",EOMONTH($A1133,0))</f>
        <v/>
      </c>
      <c r="K1133" s="67">
        <f>IF($B1133="",0,IF(LEFT($B1133,1)="━",0,$C1133*VLOOKUP($B1133,'4. CÀI ĐẶT'!$A$2:$H$32,7,FALSE)))</f>
        <v/>
      </c>
    </row>
    <row r="1134">
      <c r="A1134" s="8" t="n"/>
      <c r="B1134" s="9" t="n"/>
      <c r="C1134" s="65" t="n"/>
      <c r="D1134" s="9" t="n"/>
      <c r="E1134" s="66">
        <f>IF($B1134="","",IF(LEFT($B1134,1)="━","⚠️ Chọn hạng mục cụ thể",$C1134*VLOOKUP($B1134,'4. CÀI ĐẶT'!$A$2:$H$32,2,FALSE)))</f>
        <v/>
      </c>
      <c r="F1134" s="67">
        <f>IF($B1134="",0,IF(LEFT($B1134,1)="━",0,$C1134*VLOOKUP($B1134,'4. CÀI ĐẶT'!$A$2:$H$32,3,FALSE)))</f>
        <v/>
      </c>
      <c r="G1134" s="67">
        <f>IF($B1134="",0,IF(LEFT($B1134,1)="━",0,$C1134*VLOOKUP($B1134,'4. CÀI ĐẶT'!$A$2:$H$32,4,FALSE)))</f>
        <v/>
      </c>
      <c r="H1134" s="67">
        <f>IF($B1134="",0,IF(LEFT($B1134,1)="━",0,$C1134*VLOOKUP($B1134,'4. CÀI ĐẶT'!$A$2:$H$32,5,FALSE)))</f>
        <v/>
      </c>
      <c r="I1134">
        <f>IF($B1134="","",IF(LEFT($B1134,1)="━","",VLOOKUP($B1134,'4. CÀI ĐẶT'!$A$2:$H$32,6,FALSE)))</f>
        <v/>
      </c>
      <c r="J1134" s="13">
        <f>IF($A1134="","",EOMONTH($A1134,0))</f>
        <v/>
      </c>
      <c r="K1134" s="67">
        <f>IF($B1134="",0,IF(LEFT($B1134,1)="━",0,$C1134*VLOOKUP($B1134,'4. CÀI ĐẶT'!$A$2:$H$32,7,FALSE)))</f>
        <v/>
      </c>
    </row>
    <row r="1135">
      <c r="A1135" s="8" t="n"/>
      <c r="B1135" s="9" t="n"/>
      <c r="C1135" s="65" t="n"/>
      <c r="D1135" s="9" t="n"/>
      <c r="E1135" s="66">
        <f>IF($B1135="","",IF(LEFT($B1135,1)="━","⚠️ Chọn hạng mục cụ thể",$C1135*VLOOKUP($B1135,'4. CÀI ĐẶT'!$A$2:$H$32,2,FALSE)))</f>
        <v/>
      </c>
      <c r="F1135" s="67">
        <f>IF($B1135="",0,IF(LEFT($B1135,1)="━",0,$C1135*VLOOKUP($B1135,'4. CÀI ĐẶT'!$A$2:$H$32,3,FALSE)))</f>
        <v/>
      </c>
      <c r="G1135" s="67">
        <f>IF($B1135="",0,IF(LEFT($B1135,1)="━",0,$C1135*VLOOKUP($B1135,'4. CÀI ĐẶT'!$A$2:$H$32,4,FALSE)))</f>
        <v/>
      </c>
      <c r="H1135" s="67">
        <f>IF($B1135="",0,IF(LEFT($B1135,1)="━",0,$C1135*VLOOKUP($B1135,'4. CÀI ĐẶT'!$A$2:$H$32,5,FALSE)))</f>
        <v/>
      </c>
      <c r="I1135">
        <f>IF($B1135="","",IF(LEFT($B1135,1)="━","",VLOOKUP($B1135,'4. CÀI ĐẶT'!$A$2:$H$32,6,FALSE)))</f>
        <v/>
      </c>
      <c r="J1135" s="13">
        <f>IF($A1135="","",EOMONTH($A1135,0))</f>
        <v/>
      </c>
      <c r="K1135" s="67">
        <f>IF($B1135="",0,IF(LEFT($B1135,1)="━",0,$C1135*VLOOKUP($B1135,'4. CÀI ĐẶT'!$A$2:$H$32,7,FALSE)))</f>
        <v/>
      </c>
    </row>
    <row r="1136">
      <c r="A1136" s="8" t="n"/>
      <c r="B1136" s="9" t="n"/>
      <c r="C1136" s="65" t="n"/>
      <c r="D1136" s="9" t="n"/>
      <c r="E1136" s="66">
        <f>IF($B1136="","",IF(LEFT($B1136,1)="━","⚠️ Chọn hạng mục cụ thể",$C1136*VLOOKUP($B1136,'4. CÀI ĐẶT'!$A$2:$H$32,2,FALSE)))</f>
        <v/>
      </c>
      <c r="F1136" s="67">
        <f>IF($B1136="",0,IF(LEFT($B1136,1)="━",0,$C1136*VLOOKUP($B1136,'4. CÀI ĐẶT'!$A$2:$H$32,3,FALSE)))</f>
        <v/>
      </c>
      <c r="G1136" s="67">
        <f>IF($B1136="",0,IF(LEFT($B1136,1)="━",0,$C1136*VLOOKUP($B1136,'4. CÀI ĐẶT'!$A$2:$H$32,4,FALSE)))</f>
        <v/>
      </c>
      <c r="H1136" s="67">
        <f>IF($B1136="",0,IF(LEFT($B1136,1)="━",0,$C1136*VLOOKUP($B1136,'4. CÀI ĐẶT'!$A$2:$H$32,5,FALSE)))</f>
        <v/>
      </c>
      <c r="I1136">
        <f>IF($B1136="","",IF(LEFT($B1136,1)="━","",VLOOKUP($B1136,'4. CÀI ĐẶT'!$A$2:$H$32,6,FALSE)))</f>
        <v/>
      </c>
      <c r="J1136" s="13">
        <f>IF($A1136="","",EOMONTH($A1136,0))</f>
        <v/>
      </c>
      <c r="K1136" s="67">
        <f>IF($B1136="",0,IF(LEFT($B1136,1)="━",0,$C1136*VLOOKUP($B1136,'4. CÀI ĐẶT'!$A$2:$H$32,7,FALSE)))</f>
        <v/>
      </c>
    </row>
    <row r="1137">
      <c r="A1137" s="8" t="n"/>
      <c r="B1137" s="9" t="n"/>
      <c r="C1137" s="65" t="n"/>
      <c r="D1137" s="9" t="n"/>
      <c r="E1137" s="66">
        <f>IF($B1137="","",IF(LEFT($B1137,1)="━","⚠️ Chọn hạng mục cụ thể",$C1137*VLOOKUP($B1137,'4. CÀI ĐẶT'!$A$2:$H$32,2,FALSE)))</f>
        <v/>
      </c>
      <c r="F1137" s="67">
        <f>IF($B1137="",0,IF(LEFT($B1137,1)="━",0,$C1137*VLOOKUP($B1137,'4. CÀI ĐẶT'!$A$2:$H$32,3,FALSE)))</f>
        <v/>
      </c>
      <c r="G1137" s="67">
        <f>IF($B1137="",0,IF(LEFT($B1137,1)="━",0,$C1137*VLOOKUP($B1137,'4. CÀI ĐẶT'!$A$2:$H$32,4,FALSE)))</f>
        <v/>
      </c>
      <c r="H1137" s="67">
        <f>IF($B1137="",0,IF(LEFT($B1137,1)="━",0,$C1137*VLOOKUP($B1137,'4. CÀI ĐẶT'!$A$2:$H$32,5,FALSE)))</f>
        <v/>
      </c>
      <c r="I1137">
        <f>IF($B1137="","",IF(LEFT($B1137,1)="━","",VLOOKUP($B1137,'4. CÀI ĐẶT'!$A$2:$H$32,6,FALSE)))</f>
        <v/>
      </c>
      <c r="J1137" s="13">
        <f>IF($A1137="","",EOMONTH($A1137,0))</f>
        <v/>
      </c>
      <c r="K1137" s="67">
        <f>IF($B1137="",0,IF(LEFT($B1137,1)="━",0,$C1137*VLOOKUP($B1137,'4. CÀI ĐẶT'!$A$2:$H$32,7,FALSE)))</f>
        <v/>
      </c>
    </row>
    <row r="1138">
      <c r="A1138" s="8" t="n"/>
      <c r="B1138" s="9" t="n"/>
      <c r="C1138" s="65" t="n"/>
      <c r="D1138" s="9" t="n"/>
      <c r="E1138" s="66">
        <f>IF($B1138="","",IF(LEFT($B1138,1)="━","⚠️ Chọn hạng mục cụ thể",$C1138*VLOOKUP($B1138,'4. CÀI ĐẶT'!$A$2:$H$32,2,FALSE)))</f>
        <v/>
      </c>
      <c r="F1138" s="67">
        <f>IF($B1138="",0,IF(LEFT($B1138,1)="━",0,$C1138*VLOOKUP($B1138,'4. CÀI ĐẶT'!$A$2:$H$32,3,FALSE)))</f>
        <v/>
      </c>
      <c r="G1138" s="67">
        <f>IF($B1138="",0,IF(LEFT($B1138,1)="━",0,$C1138*VLOOKUP($B1138,'4. CÀI ĐẶT'!$A$2:$H$32,4,FALSE)))</f>
        <v/>
      </c>
      <c r="H1138" s="67">
        <f>IF($B1138="",0,IF(LEFT($B1138,1)="━",0,$C1138*VLOOKUP($B1138,'4. CÀI ĐẶT'!$A$2:$H$32,5,FALSE)))</f>
        <v/>
      </c>
      <c r="I1138">
        <f>IF($B1138="","",IF(LEFT($B1138,1)="━","",VLOOKUP($B1138,'4. CÀI ĐẶT'!$A$2:$H$32,6,FALSE)))</f>
        <v/>
      </c>
      <c r="J1138" s="13">
        <f>IF($A1138="","",EOMONTH($A1138,0))</f>
        <v/>
      </c>
      <c r="K1138" s="67">
        <f>IF($B1138="",0,IF(LEFT($B1138,1)="━",0,$C1138*VLOOKUP($B1138,'4. CÀI ĐẶT'!$A$2:$H$32,7,FALSE)))</f>
        <v/>
      </c>
    </row>
    <row r="1139">
      <c r="A1139" s="8" t="n"/>
      <c r="B1139" s="9" t="n"/>
      <c r="C1139" s="65" t="n"/>
      <c r="D1139" s="9" t="n"/>
      <c r="E1139" s="66">
        <f>IF($B1139="","",IF(LEFT($B1139,1)="━","⚠️ Chọn hạng mục cụ thể",$C1139*VLOOKUP($B1139,'4. CÀI ĐẶT'!$A$2:$H$32,2,FALSE)))</f>
        <v/>
      </c>
      <c r="F1139" s="67">
        <f>IF($B1139="",0,IF(LEFT($B1139,1)="━",0,$C1139*VLOOKUP($B1139,'4. CÀI ĐẶT'!$A$2:$H$32,3,FALSE)))</f>
        <v/>
      </c>
      <c r="G1139" s="67">
        <f>IF($B1139="",0,IF(LEFT($B1139,1)="━",0,$C1139*VLOOKUP($B1139,'4. CÀI ĐẶT'!$A$2:$H$32,4,FALSE)))</f>
        <v/>
      </c>
      <c r="H1139" s="67">
        <f>IF($B1139="",0,IF(LEFT($B1139,1)="━",0,$C1139*VLOOKUP($B1139,'4. CÀI ĐẶT'!$A$2:$H$32,5,FALSE)))</f>
        <v/>
      </c>
      <c r="I1139">
        <f>IF($B1139="","",IF(LEFT($B1139,1)="━","",VLOOKUP($B1139,'4. CÀI ĐẶT'!$A$2:$H$32,6,FALSE)))</f>
        <v/>
      </c>
      <c r="J1139" s="13">
        <f>IF($A1139="","",EOMONTH($A1139,0))</f>
        <v/>
      </c>
      <c r="K1139" s="67">
        <f>IF($B1139="",0,IF(LEFT($B1139,1)="━",0,$C1139*VLOOKUP($B1139,'4. CÀI ĐẶT'!$A$2:$H$32,7,FALSE)))</f>
        <v/>
      </c>
    </row>
    <row r="1140">
      <c r="A1140" s="8" t="n"/>
      <c r="B1140" s="9" t="n"/>
      <c r="C1140" s="65" t="n"/>
      <c r="D1140" s="9" t="n"/>
      <c r="E1140" s="66">
        <f>IF($B1140="","",IF(LEFT($B1140,1)="━","⚠️ Chọn hạng mục cụ thể",$C1140*VLOOKUP($B1140,'4. CÀI ĐẶT'!$A$2:$H$32,2,FALSE)))</f>
        <v/>
      </c>
      <c r="F1140" s="67">
        <f>IF($B1140="",0,IF(LEFT($B1140,1)="━",0,$C1140*VLOOKUP($B1140,'4. CÀI ĐẶT'!$A$2:$H$32,3,FALSE)))</f>
        <v/>
      </c>
      <c r="G1140" s="67">
        <f>IF($B1140="",0,IF(LEFT($B1140,1)="━",0,$C1140*VLOOKUP($B1140,'4. CÀI ĐẶT'!$A$2:$H$32,4,FALSE)))</f>
        <v/>
      </c>
      <c r="H1140" s="67">
        <f>IF($B1140="",0,IF(LEFT($B1140,1)="━",0,$C1140*VLOOKUP($B1140,'4. CÀI ĐẶT'!$A$2:$H$32,5,FALSE)))</f>
        <v/>
      </c>
      <c r="I1140">
        <f>IF($B1140="","",IF(LEFT($B1140,1)="━","",VLOOKUP($B1140,'4. CÀI ĐẶT'!$A$2:$H$32,6,FALSE)))</f>
        <v/>
      </c>
      <c r="J1140" s="13">
        <f>IF($A1140="","",EOMONTH($A1140,0))</f>
        <v/>
      </c>
      <c r="K1140" s="67">
        <f>IF($B1140="",0,IF(LEFT($B1140,1)="━",0,$C1140*VLOOKUP($B1140,'4. CÀI ĐẶT'!$A$2:$H$32,7,FALSE)))</f>
        <v/>
      </c>
    </row>
    <row r="1141">
      <c r="A1141" s="8" t="n"/>
      <c r="B1141" s="9" t="n"/>
      <c r="C1141" s="65" t="n"/>
      <c r="D1141" s="9" t="n"/>
      <c r="E1141" s="66">
        <f>IF($B1141="","",IF(LEFT($B1141,1)="━","⚠️ Chọn hạng mục cụ thể",$C1141*VLOOKUP($B1141,'4. CÀI ĐẶT'!$A$2:$H$32,2,FALSE)))</f>
        <v/>
      </c>
      <c r="F1141" s="67">
        <f>IF($B1141="",0,IF(LEFT($B1141,1)="━",0,$C1141*VLOOKUP($B1141,'4. CÀI ĐẶT'!$A$2:$H$32,3,FALSE)))</f>
        <v/>
      </c>
      <c r="G1141" s="67">
        <f>IF($B1141="",0,IF(LEFT($B1141,1)="━",0,$C1141*VLOOKUP($B1141,'4. CÀI ĐẶT'!$A$2:$H$32,4,FALSE)))</f>
        <v/>
      </c>
      <c r="H1141" s="67">
        <f>IF($B1141="",0,IF(LEFT($B1141,1)="━",0,$C1141*VLOOKUP($B1141,'4. CÀI ĐẶT'!$A$2:$H$32,5,FALSE)))</f>
        <v/>
      </c>
      <c r="I1141">
        <f>IF($B1141="","",IF(LEFT($B1141,1)="━","",VLOOKUP($B1141,'4. CÀI ĐẶT'!$A$2:$H$32,6,FALSE)))</f>
        <v/>
      </c>
      <c r="J1141" s="13">
        <f>IF($A1141="","",EOMONTH($A1141,0))</f>
        <v/>
      </c>
      <c r="K1141" s="67">
        <f>IF($B1141="",0,IF(LEFT($B1141,1)="━",0,$C1141*VLOOKUP($B1141,'4. CÀI ĐẶT'!$A$2:$H$32,7,FALSE)))</f>
        <v/>
      </c>
    </row>
    <row r="1142">
      <c r="A1142" s="8" t="n"/>
      <c r="B1142" s="9" t="n"/>
      <c r="C1142" s="65" t="n"/>
      <c r="D1142" s="9" t="n"/>
      <c r="E1142" s="66">
        <f>IF($B1142="","",IF(LEFT($B1142,1)="━","⚠️ Chọn hạng mục cụ thể",$C1142*VLOOKUP($B1142,'4. CÀI ĐẶT'!$A$2:$H$32,2,FALSE)))</f>
        <v/>
      </c>
      <c r="F1142" s="67">
        <f>IF($B1142="",0,IF(LEFT($B1142,1)="━",0,$C1142*VLOOKUP($B1142,'4. CÀI ĐẶT'!$A$2:$H$32,3,FALSE)))</f>
        <v/>
      </c>
      <c r="G1142" s="67">
        <f>IF($B1142="",0,IF(LEFT($B1142,1)="━",0,$C1142*VLOOKUP($B1142,'4. CÀI ĐẶT'!$A$2:$H$32,4,FALSE)))</f>
        <v/>
      </c>
      <c r="H1142" s="67">
        <f>IF($B1142="",0,IF(LEFT($B1142,1)="━",0,$C1142*VLOOKUP($B1142,'4. CÀI ĐẶT'!$A$2:$H$32,5,FALSE)))</f>
        <v/>
      </c>
      <c r="I1142">
        <f>IF($B1142="","",IF(LEFT($B1142,1)="━","",VLOOKUP($B1142,'4. CÀI ĐẶT'!$A$2:$H$32,6,FALSE)))</f>
        <v/>
      </c>
      <c r="J1142" s="13">
        <f>IF($A1142="","",EOMONTH($A1142,0))</f>
        <v/>
      </c>
      <c r="K1142" s="67">
        <f>IF($B1142="",0,IF(LEFT($B1142,1)="━",0,$C1142*VLOOKUP($B1142,'4. CÀI ĐẶT'!$A$2:$H$32,7,FALSE)))</f>
        <v/>
      </c>
    </row>
    <row r="1143">
      <c r="A1143" s="8" t="n"/>
      <c r="B1143" s="9" t="n"/>
      <c r="C1143" s="65" t="n"/>
      <c r="D1143" s="9" t="n"/>
      <c r="E1143" s="66">
        <f>IF($B1143="","",IF(LEFT($B1143,1)="━","⚠️ Chọn hạng mục cụ thể",$C1143*VLOOKUP($B1143,'4. CÀI ĐẶT'!$A$2:$H$32,2,FALSE)))</f>
        <v/>
      </c>
      <c r="F1143" s="67">
        <f>IF($B1143="",0,IF(LEFT($B1143,1)="━",0,$C1143*VLOOKUP($B1143,'4. CÀI ĐẶT'!$A$2:$H$32,3,FALSE)))</f>
        <v/>
      </c>
      <c r="G1143" s="67">
        <f>IF($B1143="",0,IF(LEFT($B1143,1)="━",0,$C1143*VLOOKUP($B1143,'4. CÀI ĐẶT'!$A$2:$H$32,4,FALSE)))</f>
        <v/>
      </c>
      <c r="H1143" s="67">
        <f>IF($B1143="",0,IF(LEFT($B1143,1)="━",0,$C1143*VLOOKUP($B1143,'4. CÀI ĐẶT'!$A$2:$H$32,5,FALSE)))</f>
        <v/>
      </c>
      <c r="I1143">
        <f>IF($B1143="","",IF(LEFT($B1143,1)="━","",VLOOKUP($B1143,'4. CÀI ĐẶT'!$A$2:$H$32,6,FALSE)))</f>
        <v/>
      </c>
      <c r="J1143" s="13">
        <f>IF($A1143="","",EOMONTH($A1143,0))</f>
        <v/>
      </c>
      <c r="K1143" s="67">
        <f>IF($B1143="",0,IF(LEFT($B1143,1)="━",0,$C1143*VLOOKUP($B1143,'4. CÀI ĐẶT'!$A$2:$H$32,7,FALSE)))</f>
        <v/>
      </c>
    </row>
    <row r="1144">
      <c r="A1144" s="8" t="n"/>
      <c r="B1144" s="9" t="n"/>
      <c r="C1144" s="65" t="n"/>
      <c r="D1144" s="9" t="n"/>
      <c r="E1144" s="66">
        <f>IF($B1144="","",IF(LEFT($B1144,1)="━","⚠️ Chọn hạng mục cụ thể",$C1144*VLOOKUP($B1144,'4. CÀI ĐẶT'!$A$2:$H$32,2,FALSE)))</f>
        <v/>
      </c>
      <c r="F1144" s="67">
        <f>IF($B1144="",0,IF(LEFT($B1144,1)="━",0,$C1144*VLOOKUP($B1144,'4. CÀI ĐẶT'!$A$2:$H$32,3,FALSE)))</f>
        <v/>
      </c>
      <c r="G1144" s="67">
        <f>IF($B1144="",0,IF(LEFT($B1144,1)="━",0,$C1144*VLOOKUP($B1144,'4. CÀI ĐẶT'!$A$2:$H$32,4,FALSE)))</f>
        <v/>
      </c>
      <c r="H1144" s="67">
        <f>IF($B1144="",0,IF(LEFT($B1144,1)="━",0,$C1144*VLOOKUP($B1144,'4. CÀI ĐẶT'!$A$2:$H$32,5,FALSE)))</f>
        <v/>
      </c>
      <c r="I1144">
        <f>IF($B1144="","",IF(LEFT($B1144,1)="━","",VLOOKUP($B1144,'4. CÀI ĐẶT'!$A$2:$H$32,6,FALSE)))</f>
        <v/>
      </c>
      <c r="J1144" s="13">
        <f>IF($A1144="","",EOMONTH($A1144,0))</f>
        <v/>
      </c>
      <c r="K1144" s="67">
        <f>IF($B1144="",0,IF(LEFT($B1144,1)="━",0,$C1144*VLOOKUP($B1144,'4. CÀI ĐẶT'!$A$2:$H$32,7,FALSE)))</f>
        <v/>
      </c>
    </row>
    <row r="1145">
      <c r="A1145" s="8" t="n"/>
      <c r="B1145" s="9" t="n"/>
      <c r="C1145" s="65" t="n"/>
      <c r="D1145" s="9" t="n"/>
      <c r="E1145" s="66">
        <f>IF($B1145="","",IF(LEFT($B1145,1)="━","⚠️ Chọn hạng mục cụ thể",$C1145*VLOOKUP($B1145,'4. CÀI ĐẶT'!$A$2:$H$32,2,FALSE)))</f>
        <v/>
      </c>
      <c r="F1145" s="67">
        <f>IF($B1145="",0,IF(LEFT($B1145,1)="━",0,$C1145*VLOOKUP($B1145,'4. CÀI ĐẶT'!$A$2:$H$32,3,FALSE)))</f>
        <v/>
      </c>
      <c r="G1145" s="67">
        <f>IF($B1145="",0,IF(LEFT($B1145,1)="━",0,$C1145*VLOOKUP($B1145,'4. CÀI ĐẶT'!$A$2:$H$32,4,FALSE)))</f>
        <v/>
      </c>
      <c r="H1145" s="67">
        <f>IF($B1145="",0,IF(LEFT($B1145,1)="━",0,$C1145*VLOOKUP($B1145,'4. CÀI ĐẶT'!$A$2:$H$32,5,FALSE)))</f>
        <v/>
      </c>
      <c r="I1145">
        <f>IF($B1145="","",IF(LEFT($B1145,1)="━","",VLOOKUP($B1145,'4. CÀI ĐẶT'!$A$2:$H$32,6,FALSE)))</f>
        <v/>
      </c>
      <c r="J1145" s="13">
        <f>IF($A1145="","",EOMONTH($A1145,0))</f>
        <v/>
      </c>
      <c r="K1145" s="67">
        <f>IF($B1145="",0,IF(LEFT($B1145,1)="━",0,$C1145*VLOOKUP($B1145,'4. CÀI ĐẶT'!$A$2:$H$32,7,FALSE)))</f>
        <v/>
      </c>
    </row>
    <row r="1146">
      <c r="A1146" s="8" t="n"/>
      <c r="B1146" s="9" t="n"/>
      <c r="C1146" s="65" t="n"/>
      <c r="D1146" s="9" t="n"/>
      <c r="E1146" s="66">
        <f>IF($B1146="","",IF(LEFT($B1146,1)="━","⚠️ Chọn hạng mục cụ thể",$C1146*VLOOKUP($B1146,'4. CÀI ĐẶT'!$A$2:$H$32,2,FALSE)))</f>
        <v/>
      </c>
      <c r="F1146" s="67">
        <f>IF($B1146="",0,IF(LEFT($B1146,1)="━",0,$C1146*VLOOKUP($B1146,'4. CÀI ĐẶT'!$A$2:$H$32,3,FALSE)))</f>
        <v/>
      </c>
      <c r="G1146" s="67">
        <f>IF($B1146="",0,IF(LEFT($B1146,1)="━",0,$C1146*VLOOKUP($B1146,'4. CÀI ĐẶT'!$A$2:$H$32,4,FALSE)))</f>
        <v/>
      </c>
      <c r="H1146" s="67">
        <f>IF($B1146="",0,IF(LEFT($B1146,1)="━",0,$C1146*VLOOKUP($B1146,'4. CÀI ĐẶT'!$A$2:$H$32,5,FALSE)))</f>
        <v/>
      </c>
      <c r="I1146">
        <f>IF($B1146="","",IF(LEFT($B1146,1)="━","",VLOOKUP($B1146,'4. CÀI ĐẶT'!$A$2:$H$32,6,FALSE)))</f>
        <v/>
      </c>
      <c r="J1146" s="13">
        <f>IF($A1146="","",EOMONTH($A1146,0))</f>
        <v/>
      </c>
      <c r="K1146" s="67">
        <f>IF($B1146="",0,IF(LEFT($B1146,1)="━",0,$C1146*VLOOKUP($B1146,'4. CÀI ĐẶT'!$A$2:$H$32,7,FALSE)))</f>
        <v/>
      </c>
    </row>
    <row r="1147">
      <c r="A1147" s="8" t="n"/>
      <c r="B1147" s="9" t="n"/>
      <c r="C1147" s="65" t="n"/>
      <c r="D1147" s="9" t="n"/>
      <c r="E1147" s="66">
        <f>IF($B1147="","",IF(LEFT($B1147,1)="━","⚠️ Chọn hạng mục cụ thể",$C1147*VLOOKUP($B1147,'4. CÀI ĐẶT'!$A$2:$H$32,2,FALSE)))</f>
        <v/>
      </c>
      <c r="F1147" s="67">
        <f>IF($B1147="",0,IF(LEFT($B1147,1)="━",0,$C1147*VLOOKUP($B1147,'4. CÀI ĐẶT'!$A$2:$H$32,3,FALSE)))</f>
        <v/>
      </c>
      <c r="G1147" s="67">
        <f>IF($B1147="",0,IF(LEFT($B1147,1)="━",0,$C1147*VLOOKUP($B1147,'4. CÀI ĐẶT'!$A$2:$H$32,4,FALSE)))</f>
        <v/>
      </c>
      <c r="H1147" s="67">
        <f>IF($B1147="",0,IF(LEFT($B1147,1)="━",0,$C1147*VLOOKUP($B1147,'4. CÀI ĐẶT'!$A$2:$H$32,5,FALSE)))</f>
        <v/>
      </c>
      <c r="I1147">
        <f>IF($B1147="","",IF(LEFT($B1147,1)="━","",VLOOKUP($B1147,'4. CÀI ĐẶT'!$A$2:$H$32,6,FALSE)))</f>
        <v/>
      </c>
      <c r="J1147" s="13">
        <f>IF($A1147="","",EOMONTH($A1147,0))</f>
        <v/>
      </c>
      <c r="K1147" s="67">
        <f>IF($B1147="",0,IF(LEFT($B1147,1)="━",0,$C1147*VLOOKUP($B1147,'4. CÀI ĐẶT'!$A$2:$H$32,7,FALSE)))</f>
        <v/>
      </c>
    </row>
    <row r="1148">
      <c r="A1148" s="8" t="n"/>
      <c r="B1148" s="9" t="n"/>
      <c r="C1148" s="65" t="n"/>
      <c r="D1148" s="9" t="n"/>
      <c r="E1148" s="66">
        <f>IF($B1148="","",IF(LEFT($B1148,1)="━","⚠️ Chọn hạng mục cụ thể",$C1148*VLOOKUP($B1148,'4. CÀI ĐẶT'!$A$2:$H$32,2,FALSE)))</f>
        <v/>
      </c>
      <c r="F1148" s="67">
        <f>IF($B1148="",0,IF(LEFT($B1148,1)="━",0,$C1148*VLOOKUP($B1148,'4. CÀI ĐẶT'!$A$2:$H$32,3,FALSE)))</f>
        <v/>
      </c>
      <c r="G1148" s="67">
        <f>IF($B1148="",0,IF(LEFT($B1148,1)="━",0,$C1148*VLOOKUP($B1148,'4. CÀI ĐẶT'!$A$2:$H$32,4,FALSE)))</f>
        <v/>
      </c>
      <c r="H1148" s="67">
        <f>IF($B1148="",0,IF(LEFT($B1148,1)="━",0,$C1148*VLOOKUP($B1148,'4. CÀI ĐẶT'!$A$2:$H$32,5,FALSE)))</f>
        <v/>
      </c>
      <c r="I1148">
        <f>IF($B1148="","",IF(LEFT($B1148,1)="━","",VLOOKUP($B1148,'4. CÀI ĐẶT'!$A$2:$H$32,6,FALSE)))</f>
        <v/>
      </c>
      <c r="J1148" s="13">
        <f>IF($A1148="","",EOMONTH($A1148,0))</f>
        <v/>
      </c>
      <c r="K1148" s="67">
        <f>IF($B1148="",0,IF(LEFT($B1148,1)="━",0,$C1148*VLOOKUP($B1148,'4. CÀI ĐẶT'!$A$2:$H$32,7,FALSE)))</f>
        <v/>
      </c>
    </row>
    <row r="1149">
      <c r="A1149" s="8" t="n"/>
      <c r="B1149" s="9" t="n"/>
      <c r="C1149" s="65" t="n"/>
      <c r="D1149" s="9" t="n"/>
      <c r="E1149" s="66">
        <f>IF($B1149="","",IF(LEFT($B1149,1)="━","⚠️ Chọn hạng mục cụ thể",$C1149*VLOOKUP($B1149,'4. CÀI ĐẶT'!$A$2:$H$32,2,FALSE)))</f>
        <v/>
      </c>
      <c r="F1149" s="67">
        <f>IF($B1149="",0,IF(LEFT($B1149,1)="━",0,$C1149*VLOOKUP($B1149,'4. CÀI ĐẶT'!$A$2:$H$32,3,FALSE)))</f>
        <v/>
      </c>
      <c r="G1149" s="67">
        <f>IF($B1149="",0,IF(LEFT($B1149,1)="━",0,$C1149*VLOOKUP($B1149,'4. CÀI ĐẶT'!$A$2:$H$32,4,FALSE)))</f>
        <v/>
      </c>
      <c r="H1149" s="67">
        <f>IF($B1149="",0,IF(LEFT($B1149,1)="━",0,$C1149*VLOOKUP($B1149,'4. CÀI ĐẶT'!$A$2:$H$32,5,FALSE)))</f>
        <v/>
      </c>
      <c r="I1149">
        <f>IF($B1149="","",IF(LEFT($B1149,1)="━","",VLOOKUP($B1149,'4. CÀI ĐẶT'!$A$2:$H$32,6,FALSE)))</f>
        <v/>
      </c>
      <c r="J1149" s="13">
        <f>IF($A1149="","",EOMONTH($A1149,0))</f>
        <v/>
      </c>
      <c r="K1149" s="67">
        <f>IF($B1149="",0,IF(LEFT($B1149,1)="━",0,$C1149*VLOOKUP($B1149,'4. CÀI ĐẶT'!$A$2:$H$32,7,FALSE)))</f>
        <v/>
      </c>
    </row>
    <row r="1150">
      <c r="A1150" s="8" t="n"/>
      <c r="B1150" s="9" t="n"/>
      <c r="C1150" s="65" t="n"/>
      <c r="D1150" s="9" t="n"/>
      <c r="E1150" s="66">
        <f>IF($B1150="","",IF(LEFT($B1150,1)="━","⚠️ Chọn hạng mục cụ thể",$C1150*VLOOKUP($B1150,'4. CÀI ĐẶT'!$A$2:$H$32,2,FALSE)))</f>
        <v/>
      </c>
      <c r="F1150" s="67">
        <f>IF($B1150="",0,IF(LEFT($B1150,1)="━",0,$C1150*VLOOKUP($B1150,'4. CÀI ĐẶT'!$A$2:$H$32,3,FALSE)))</f>
        <v/>
      </c>
      <c r="G1150" s="67">
        <f>IF($B1150="",0,IF(LEFT($B1150,1)="━",0,$C1150*VLOOKUP($B1150,'4. CÀI ĐẶT'!$A$2:$H$32,4,FALSE)))</f>
        <v/>
      </c>
      <c r="H1150" s="67">
        <f>IF($B1150="",0,IF(LEFT($B1150,1)="━",0,$C1150*VLOOKUP($B1150,'4. CÀI ĐẶT'!$A$2:$H$32,5,FALSE)))</f>
        <v/>
      </c>
      <c r="I1150">
        <f>IF($B1150="","",IF(LEFT($B1150,1)="━","",VLOOKUP($B1150,'4. CÀI ĐẶT'!$A$2:$H$32,6,FALSE)))</f>
        <v/>
      </c>
      <c r="J1150" s="13">
        <f>IF($A1150="","",EOMONTH($A1150,0))</f>
        <v/>
      </c>
      <c r="K1150" s="67">
        <f>IF($B1150="",0,IF(LEFT($B1150,1)="━",0,$C1150*VLOOKUP($B1150,'4. CÀI ĐẶT'!$A$2:$H$32,7,FALSE)))</f>
        <v/>
      </c>
    </row>
    <row r="1151">
      <c r="A1151" s="8" t="n"/>
      <c r="B1151" s="9" t="n"/>
      <c r="C1151" s="65" t="n"/>
      <c r="D1151" s="9" t="n"/>
      <c r="E1151" s="66">
        <f>IF($B1151="","",IF(LEFT($B1151,1)="━","⚠️ Chọn hạng mục cụ thể",$C1151*VLOOKUP($B1151,'4. CÀI ĐẶT'!$A$2:$H$32,2,FALSE)))</f>
        <v/>
      </c>
      <c r="F1151" s="67">
        <f>IF($B1151="",0,IF(LEFT($B1151,1)="━",0,$C1151*VLOOKUP($B1151,'4. CÀI ĐẶT'!$A$2:$H$32,3,FALSE)))</f>
        <v/>
      </c>
      <c r="G1151" s="67">
        <f>IF($B1151="",0,IF(LEFT($B1151,1)="━",0,$C1151*VLOOKUP($B1151,'4. CÀI ĐẶT'!$A$2:$H$32,4,FALSE)))</f>
        <v/>
      </c>
      <c r="H1151" s="67">
        <f>IF($B1151="",0,IF(LEFT($B1151,1)="━",0,$C1151*VLOOKUP($B1151,'4. CÀI ĐẶT'!$A$2:$H$32,5,FALSE)))</f>
        <v/>
      </c>
      <c r="I1151">
        <f>IF($B1151="","",IF(LEFT($B1151,1)="━","",VLOOKUP($B1151,'4. CÀI ĐẶT'!$A$2:$H$32,6,FALSE)))</f>
        <v/>
      </c>
      <c r="J1151" s="13">
        <f>IF($A1151="","",EOMONTH($A1151,0))</f>
        <v/>
      </c>
      <c r="K1151" s="67">
        <f>IF($B1151="",0,IF(LEFT($B1151,1)="━",0,$C1151*VLOOKUP($B1151,'4. CÀI ĐẶT'!$A$2:$H$32,7,FALSE)))</f>
        <v/>
      </c>
    </row>
    <row r="1152">
      <c r="A1152" s="8" t="n"/>
      <c r="B1152" s="9" t="n"/>
      <c r="C1152" s="65" t="n"/>
      <c r="D1152" s="9" t="n"/>
      <c r="E1152" s="66">
        <f>IF($B1152="","",IF(LEFT($B1152,1)="━","⚠️ Chọn hạng mục cụ thể",$C1152*VLOOKUP($B1152,'4. CÀI ĐẶT'!$A$2:$H$32,2,FALSE)))</f>
        <v/>
      </c>
      <c r="F1152" s="67">
        <f>IF($B1152="",0,IF(LEFT($B1152,1)="━",0,$C1152*VLOOKUP($B1152,'4. CÀI ĐẶT'!$A$2:$H$32,3,FALSE)))</f>
        <v/>
      </c>
      <c r="G1152" s="67">
        <f>IF($B1152="",0,IF(LEFT($B1152,1)="━",0,$C1152*VLOOKUP($B1152,'4. CÀI ĐẶT'!$A$2:$H$32,4,FALSE)))</f>
        <v/>
      </c>
      <c r="H1152" s="67">
        <f>IF($B1152="",0,IF(LEFT($B1152,1)="━",0,$C1152*VLOOKUP($B1152,'4. CÀI ĐẶT'!$A$2:$H$32,5,FALSE)))</f>
        <v/>
      </c>
      <c r="I1152">
        <f>IF($B1152="","",IF(LEFT($B1152,1)="━","",VLOOKUP($B1152,'4. CÀI ĐẶT'!$A$2:$H$32,6,FALSE)))</f>
        <v/>
      </c>
      <c r="J1152" s="13">
        <f>IF($A1152="","",EOMONTH($A1152,0))</f>
        <v/>
      </c>
      <c r="K1152" s="67">
        <f>IF($B1152="",0,IF(LEFT($B1152,1)="━",0,$C1152*VLOOKUP($B1152,'4. CÀI ĐẶT'!$A$2:$H$32,7,FALSE)))</f>
        <v/>
      </c>
    </row>
    <row r="1153">
      <c r="A1153" s="8" t="n"/>
      <c r="B1153" s="9" t="n"/>
      <c r="C1153" s="65" t="n"/>
      <c r="D1153" s="9" t="n"/>
      <c r="E1153" s="66">
        <f>IF($B1153="","",IF(LEFT($B1153,1)="━","⚠️ Chọn hạng mục cụ thể",$C1153*VLOOKUP($B1153,'4. CÀI ĐẶT'!$A$2:$H$32,2,FALSE)))</f>
        <v/>
      </c>
      <c r="F1153" s="67">
        <f>IF($B1153="",0,IF(LEFT($B1153,1)="━",0,$C1153*VLOOKUP($B1153,'4. CÀI ĐẶT'!$A$2:$H$32,3,FALSE)))</f>
        <v/>
      </c>
      <c r="G1153" s="67">
        <f>IF($B1153="",0,IF(LEFT($B1153,1)="━",0,$C1153*VLOOKUP($B1153,'4. CÀI ĐẶT'!$A$2:$H$32,4,FALSE)))</f>
        <v/>
      </c>
      <c r="H1153" s="67">
        <f>IF($B1153="",0,IF(LEFT($B1153,1)="━",0,$C1153*VLOOKUP($B1153,'4. CÀI ĐẶT'!$A$2:$H$32,5,FALSE)))</f>
        <v/>
      </c>
      <c r="I1153">
        <f>IF($B1153="","",IF(LEFT($B1153,1)="━","",VLOOKUP($B1153,'4. CÀI ĐẶT'!$A$2:$H$32,6,FALSE)))</f>
        <v/>
      </c>
      <c r="J1153" s="13">
        <f>IF($A1153="","",EOMONTH($A1153,0))</f>
        <v/>
      </c>
      <c r="K1153" s="67">
        <f>IF($B1153="",0,IF(LEFT($B1153,1)="━",0,$C1153*VLOOKUP($B1153,'4. CÀI ĐẶT'!$A$2:$H$32,7,FALSE)))</f>
        <v/>
      </c>
    </row>
    <row r="1154">
      <c r="A1154" s="8" t="n"/>
      <c r="B1154" s="9" t="n"/>
      <c r="C1154" s="65" t="n"/>
      <c r="D1154" s="9" t="n"/>
      <c r="E1154" s="66">
        <f>IF($B1154="","",IF(LEFT($B1154,1)="━","⚠️ Chọn hạng mục cụ thể",$C1154*VLOOKUP($B1154,'4. CÀI ĐẶT'!$A$2:$H$32,2,FALSE)))</f>
        <v/>
      </c>
      <c r="F1154" s="67">
        <f>IF($B1154="",0,IF(LEFT($B1154,1)="━",0,$C1154*VLOOKUP($B1154,'4. CÀI ĐẶT'!$A$2:$H$32,3,FALSE)))</f>
        <v/>
      </c>
      <c r="G1154" s="67">
        <f>IF($B1154="",0,IF(LEFT($B1154,1)="━",0,$C1154*VLOOKUP($B1154,'4. CÀI ĐẶT'!$A$2:$H$32,4,FALSE)))</f>
        <v/>
      </c>
      <c r="H1154" s="67">
        <f>IF($B1154="",0,IF(LEFT($B1154,1)="━",0,$C1154*VLOOKUP($B1154,'4. CÀI ĐẶT'!$A$2:$H$32,5,FALSE)))</f>
        <v/>
      </c>
      <c r="I1154">
        <f>IF($B1154="","",IF(LEFT($B1154,1)="━","",VLOOKUP($B1154,'4. CÀI ĐẶT'!$A$2:$H$32,6,FALSE)))</f>
        <v/>
      </c>
      <c r="J1154" s="13">
        <f>IF($A1154="","",EOMONTH($A1154,0))</f>
        <v/>
      </c>
      <c r="K1154" s="67">
        <f>IF($B1154="",0,IF(LEFT($B1154,1)="━",0,$C1154*VLOOKUP($B1154,'4. CÀI ĐẶT'!$A$2:$H$32,7,FALSE)))</f>
        <v/>
      </c>
    </row>
    <row r="1155">
      <c r="A1155" s="8" t="n"/>
      <c r="B1155" s="9" t="n"/>
      <c r="C1155" s="65" t="n"/>
      <c r="D1155" s="9" t="n"/>
      <c r="E1155" s="66">
        <f>IF($B1155="","",IF(LEFT($B1155,1)="━","⚠️ Chọn hạng mục cụ thể",$C1155*VLOOKUP($B1155,'4. CÀI ĐẶT'!$A$2:$H$32,2,FALSE)))</f>
        <v/>
      </c>
      <c r="F1155" s="67">
        <f>IF($B1155="",0,IF(LEFT($B1155,1)="━",0,$C1155*VLOOKUP($B1155,'4. CÀI ĐẶT'!$A$2:$H$32,3,FALSE)))</f>
        <v/>
      </c>
      <c r="G1155" s="67">
        <f>IF($B1155="",0,IF(LEFT($B1155,1)="━",0,$C1155*VLOOKUP($B1155,'4. CÀI ĐẶT'!$A$2:$H$32,4,FALSE)))</f>
        <v/>
      </c>
      <c r="H1155" s="67">
        <f>IF($B1155="",0,IF(LEFT($B1155,1)="━",0,$C1155*VLOOKUP($B1155,'4. CÀI ĐẶT'!$A$2:$H$32,5,FALSE)))</f>
        <v/>
      </c>
      <c r="I1155">
        <f>IF($B1155="","",IF(LEFT($B1155,1)="━","",VLOOKUP($B1155,'4. CÀI ĐẶT'!$A$2:$H$32,6,FALSE)))</f>
        <v/>
      </c>
      <c r="J1155" s="13">
        <f>IF($A1155="","",EOMONTH($A1155,0))</f>
        <v/>
      </c>
      <c r="K1155" s="67">
        <f>IF($B1155="",0,IF(LEFT($B1155,1)="━",0,$C1155*VLOOKUP($B1155,'4. CÀI ĐẶT'!$A$2:$H$32,7,FALSE)))</f>
        <v/>
      </c>
    </row>
    <row r="1156">
      <c r="A1156" s="8" t="n"/>
      <c r="B1156" s="9" t="n"/>
      <c r="C1156" s="65" t="n"/>
      <c r="D1156" s="9" t="n"/>
      <c r="E1156" s="66">
        <f>IF($B1156="","",IF(LEFT($B1156,1)="━","⚠️ Chọn hạng mục cụ thể",$C1156*VLOOKUP($B1156,'4. CÀI ĐẶT'!$A$2:$H$32,2,FALSE)))</f>
        <v/>
      </c>
      <c r="F1156" s="67">
        <f>IF($B1156="",0,IF(LEFT($B1156,1)="━",0,$C1156*VLOOKUP($B1156,'4. CÀI ĐẶT'!$A$2:$H$32,3,FALSE)))</f>
        <v/>
      </c>
      <c r="G1156" s="67">
        <f>IF($B1156="",0,IF(LEFT($B1156,1)="━",0,$C1156*VLOOKUP($B1156,'4. CÀI ĐẶT'!$A$2:$H$32,4,FALSE)))</f>
        <v/>
      </c>
      <c r="H1156" s="67">
        <f>IF($B1156="",0,IF(LEFT($B1156,1)="━",0,$C1156*VLOOKUP($B1156,'4. CÀI ĐẶT'!$A$2:$H$32,5,FALSE)))</f>
        <v/>
      </c>
      <c r="I1156">
        <f>IF($B1156="","",IF(LEFT($B1156,1)="━","",VLOOKUP($B1156,'4. CÀI ĐẶT'!$A$2:$H$32,6,FALSE)))</f>
        <v/>
      </c>
      <c r="J1156" s="13">
        <f>IF($A1156="","",EOMONTH($A1156,0))</f>
        <v/>
      </c>
      <c r="K1156" s="67">
        <f>IF($B1156="",0,IF(LEFT($B1156,1)="━",0,$C1156*VLOOKUP($B1156,'4. CÀI ĐẶT'!$A$2:$H$32,7,FALSE)))</f>
        <v/>
      </c>
    </row>
    <row r="1157">
      <c r="A1157" s="8" t="n"/>
      <c r="B1157" s="9" t="n"/>
      <c r="C1157" s="65" t="n"/>
      <c r="D1157" s="9" t="n"/>
      <c r="E1157" s="66">
        <f>IF($B1157="","",IF(LEFT($B1157,1)="━","⚠️ Chọn hạng mục cụ thể",$C1157*VLOOKUP($B1157,'4. CÀI ĐẶT'!$A$2:$H$32,2,FALSE)))</f>
        <v/>
      </c>
      <c r="F1157" s="67">
        <f>IF($B1157="",0,IF(LEFT($B1157,1)="━",0,$C1157*VLOOKUP($B1157,'4. CÀI ĐẶT'!$A$2:$H$32,3,FALSE)))</f>
        <v/>
      </c>
      <c r="G1157" s="67">
        <f>IF($B1157="",0,IF(LEFT($B1157,1)="━",0,$C1157*VLOOKUP($B1157,'4. CÀI ĐẶT'!$A$2:$H$32,4,FALSE)))</f>
        <v/>
      </c>
      <c r="H1157" s="67">
        <f>IF($B1157="",0,IF(LEFT($B1157,1)="━",0,$C1157*VLOOKUP($B1157,'4. CÀI ĐẶT'!$A$2:$H$32,5,FALSE)))</f>
        <v/>
      </c>
      <c r="I1157">
        <f>IF($B1157="","",IF(LEFT($B1157,1)="━","",VLOOKUP($B1157,'4. CÀI ĐẶT'!$A$2:$H$32,6,FALSE)))</f>
        <v/>
      </c>
      <c r="J1157" s="13">
        <f>IF($A1157="","",EOMONTH($A1157,0))</f>
        <v/>
      </c>
      <c r="K1157" s="67">
        <f>IF($B1157="",0,IF(LEFT($B1157,1)="━",0,$C1157*VLOOKUP($B1157,'4. CÀI ĐẶT'!$A$2:$H$32,7,FALSE)))</f>
        <v/>
      </c>
    </row>
    <row r="1158">
      <c r="A1158" s="8" t="n"/>
      <c r="B1158" s="9" t="n"/>
      <c r="C1158" s="65" t="n"/>
      <c r="D1158" s="9" t="n"/>
      <c r="E1158" s="66">
        <f>IF($B1158="","",IF(LEFT($B1158,1)="━","⚠️ Chọn hạng mục cụ thể",$C1158*VLOOKUP($B1158,'4. CÀI ĐẶT'!$A$2:$H$32,2,FALSE)))</f>
        <v/>
      </c>
      <c r="F1158" s="67">
        <f>IF($B1158="",0,IF(LEFT($B1158,1)="━",0,$C1158*VLOOKUP($B1158,'4. CÀI ĐẶT'!$A$2:$H$32,3,FALSE)))</f>
        <v/>
      </c>
      <c r="G1158" s="67">
        <f>IF($B1158="",0,IF(LEFT($B1158,1)="━",0,$C1158*VLOOKUP($B1158,'4. CÀI ĐẶT'!$A$2:$H$32,4,FALSE)))</f>
        <v/>
      </c>
      <c r="H1158" s="67">
        <f>IF($B1158="",0,IF(LEFT($B1158,1)="━",0,$C1158*VLOOKUP($B1158,'4. CÀI ĐẶT'!$A$2:$H$32,5,FALSE)))</f>
        <v/>
      </c>
      <c r="I1158">
        <f>IF($B1158="","",IF(LEFT($B1158,1)="━","",VLOOKUP($B1158,'4. CÀI ĐẶT'!$A$2:$H$32,6,FALSE)))</f>
        <v/>
      </c>
      <c r="J1158" s="13">
        <f>IF($A1158="","",EOMONTH($A1158,0))</f>
        <v/>
      </c>
      <c r="K1158" s="67">
        <f>IF($B1158="",0,IF(LEFT($B1158,1)="━",0,$C1158*VLOOKUP($B1158,'4. CÀI ĐẶT'!$A$2:$H$32,7,FALSE)))</f>
        <v/>
      </c>
    </row>
    <row r="1159">
      <c r="A1159" s="8" t="n"/>
      <c r="B1159" s="9" t="n"/>
      <c r="C1159" s="65" t="n"/>
      <c r="D1159" s="9" t="n"/>
      <c r="E1159" s="66">
        <f>IF($B1159="","",IF(LEFT($B1159,1)="━","⚠️ Chọn hạng mục cụ thể",$C1159*VLOOKUP($B1159,'4. CÀI ĐẶT'!$A$2:$H$32,2,FALSE)))</f>
        <v/>
      </c>
      <c r="F1159" s="67">
        <f>IF($B1159="",0,IF(LEFT($B1159,1)="━",0,$C1159*VLOOKUP($B1159,'4. CÀI ĐẶT'!$A$2:$H$32,3,FALSE)))</f>
        <v/>
      </c>
      <c r="G1159" s="67">
        <f>IF($B1159="",0,IF(LEFT($B1159,1)="━",0,$C1159*VLOOKUP($B1159,'4. CÀI ĐẶT'!$A$2:$H$32,4,FALSE)))</f>
        <v/>
      </c>
      <c r="H1159" s="67">
        <f>IF($B1159="",0,IF(LEFT($B1159,1)="━",0,$C1159*VLOOKUP($B1159,'4. CÀI ĐẶT'!$A$2:$H$32,5,FALSE)))</f>
        <v/>
      </c>
      <c r="I1159">
        <f>IF($B1159="","",IF(LEFT($B1159,1)="━","",VLOOKUP($B1159,'4. CÀI ĐẶT'!$A$2:$H$32,6,FALSE)))</f>
        <v/>
      </c>
      <c r="J1159" s="13">
        <f>IF($A1159="","",EOMONTH($A1159,0))</f>
        <v/>
      </c>
      <c r="K1159" s="67">
        <f>IF($B1159="",0,IF(LEFT($B1159,1)="━",0,$C1159*VLOOKUP($B1159,'4. CÀI ĐẶT'!$A$2:$H$32,7,FALSE)))</f>
        <v/>
      </c>
    </row>
    <row r="1160">
      <c r="A1160" s="8" t="n"/>
      <c r="B1160" s="9" t="n"/>
      <c r="C1160" s="65" t="n"/>
      <c r="D1160" s="9" t="n"/>
      <c r="E1160" s="66">
        <f>IF($B1160="","",IF(LEFT($B1160,1)="━","⚠️ Chọn hạng mục cụ thể",$C1160*VLOOKUP($B1160,'4. CÀI ĐẶT'!$A$2:$H$32,2,FALSE)))</f>
        <v/>
      </c>
      <c r="F1160" s="67">
        <f>IF($B1160="",0,IF(LEFT($B1160,1)="━",0,$C1160*VLOOKUP($B1160,'4. CÀI ĐẶT'!$A$2:$H$32,3,FALSE)))</f>
        <v/>
      </c>
      <c r="G1160" s="67">
        <f>IF($B1160="",0,IF(LEFT($B1160,1)="━",0,$C1160*VLOOKUP($B1160,'4. CÀI ĐẶT'!$A$2:$H$32,4,FALSE)))</f>
        <v/>
      </c>
      <c r="H1160" s="67">
        <f>IF($B1160="",0,IF(LEFT($B1160,1)="━",0,$C1160*VLOOKUP($B1160,'4. CÀI ĐẶT'!$A$2:$H$32,5,FALSE)))</f>
        <v/>
      </c>
      <c r="I1160">
        <f>IF($B1160="","",IF(LEFT($B1160,1)="━","",VLOOKUP($B1160,'4. CÀI ĐẶT'!$A$2:$H$32,6,FALSE)))</f>
        <v/>
      </c>
      <c r="J1160" s="13">
        <f>IF($A1160="","",EOMONTH($A1160,0))</f>
        <v/>
      </c>
      <c r="K1160" s="67">
        <f>IF($B1160="",0,IF(LEFT($B1160,1)="━",0,$C1160*VLOOKUP($B1160,'4. CÀI ĐẶT'!$A$2:$H$32,7,FALSE)))</f>
        <v/>
      </c>
    </row>
    <row r="1161">
      <c r="A1161" s="8" t="n"/>
      <c r="B1161" s="9" t="n"/>
      <c r="C1161" s="65" t="n"/>
      <c r="D1161" s="9" t="n"/>
      <c r="E1161" s="66">
        <f>IF($B1161="","",IF(LEFT($B1161,1)="━","⚠️ Chọn hạng mục cụ thể",$C1161*VLOOKUP($B1161,'4. CÀI ĐẶT'!$A$2:$H$32,2,FALSE)))</f>
        <v/>
      </c>
      <c r="F1161" s="67">
        <f>IF($B1161="",0,IF(LEFT($B1161,1)="━",0,$C1161*VLOOKUP($B1161,'4. CÀI ĐẶT'!$A$2:$H$32,3,FALSE)))</f>
        <v/>
      </c>
      <c r="G1161" s="67">
        <f>IF($B1161="",0,IF(LEFT($B1161,1)="━",0,$C1161*VLOOKUP($B1161,'4. CÀI ĐẶT'!$A$2:$H$32,4,FALSE)))</f>
        <v/>
      </c>
      <c r="H1161" s="67">
        <f>IF($B1161="",0,IF(LEFT($B1161,1)="━",0,$C1161*VLOOKUP($B1161,'4. CÀI ĐẶT'!$A$2:$H$32,5,FALSE)))</f>
        <v/>
      </c>
      <c r="I1161">
        <f>IF($B1161="","",IF(LEFT($B1161,1)="━","",VLOOKUP($B1161,'4. CÀI ĐẶT'!$A$2:$H$32,6,FALSE)))</f>
        <v/>
      </c>
      <c r="J1161" s="13">
        <f>IF($A1161="","",EOMONTH($A1161,0))</f>
        <v/>
      </c>
      <c r="K1161" s="67">
        <f>IF($B1161="",0,IF(LEFT($B1161,1)="━",0,$C1161*VLOOKUP($B1161,'4. CÀI ĐẶT'!$A$2:$H$32,7,FALSE)))</f>
        <v/>
      </c>
    </row>
    <row r="1162">
      <c r="A1162" s="8" t="n"/>
      <c r="B1162" s="9" t="n"/>
      <c r="C1162" s="65" t="n"/>
      <c r="D1162" s="9" t="n"/>
      <c r="E1162" s="66">
        <f>IF($B1162="","",IF(LEFT($B1162,1)="━","⚠️ Chọn hạng mục cụ thể",$C1162*VLOOKUP($B1162,'4. CÀI ĐẶT'!$A$2:$H$32,2,FALSE)))</f>
        <v/>
      </c>
      <c r="F1162" s="67">
        <f>IF($B1162="",0,IF(LEFT($B1162,1)="━",0,$C1162*VLOOKUP($B1162,'4. CÀI ĐẶT'!$A$2:$H$32,3,FALSE)))</f>
        <v/>
      </c>
      <c r="G1162" s="67">
        <f>IF($B1162="",0,IF(LEFT($B1162,1)="━",0,$C1162*VLOOKUP($B1162,'4. CÀI ĐẶT'!$A$2:$H$32,4,FALSE)))</f>
        <v/>
      </c>
      <c r="H1162" s="67">
        <f>IF($B1162="",0,IF(LEFT($B1162,1)="━",0,$C1162*VLOOKUP($B1162,'4. CÀI ĐẶT'!$A$2:$H$32,5,FALSE)))</f>
        <v/>
      </c>
      <c r="I1162">
        <f>IF($B1162="","",IF(LEFT($B1162,1)="━","",VLOOKUP($B1162,'4. CÀI ĐẶT'!$A$2:$H$32,6,FALSE)))</f>
        <v/>
      </c>
      <c r="J1162" s="13">
        <f>IF($A1162="","",EOMONTH($A1162,0))</f>
        <v/>
      </c>
      <c r="K1162" s="67">
        <f>IF($B1162="",0,IF(LEFT($B1162,1)="━",0,$C1162*VLOOKUP($B1162,'4. CÀI ĐẶT'!$A$2:$H$32,7,FALSE)))</f>
        <v/>
      </c>
    </row>
    <row r="1163">
      <c r="A1163" s="8" t="n"/>
      <c r="B1163" s="9" t="n"/>
      <c r="C1163" s="65" t="n"/>
      <c r="D1163" s="9" t="n"/>
      <c r="E1163" s="66">
        <f>IF($B1163="","",IF(LEFT($B1163,1)="━","⚠️ Chọn hạng mục cụ thể",$C1163*VLOOKUP($B1163,'4. CÀI ĐẶT'!$A$2:$H$32,2,FALSE)))</f>
        <v/>
      </c>
      <c r="F1163" s="67">
        <f>IF($B1163="",0,IF(LEFT($B1163,1)="━",0,$C1163*VLOOKUP($B1163,'4. CÀI ĐẶT'!$A$2:$H$32,3,FALSE)))</f>
        <v/>
      </c>
      <c r="G1163" s="67">
        <f>IF($B1163="",0,IF(LEFT($B1163,1)="━",0,$C1163*VLOOKUP($B1163,'4. CÀI ĐẶT'!$A$2:$H$32,4,FALSE)))</f>
        <v/>
      </c>
      <c r="H1163" s="67">
        <f>IF($B1163="",0,IF(LEFT($B1163,1)="━",0,$C1163*VLOOKUP($B1163,'4. CÀI ĐẶT'!$A$2:$H$32,5,FALSE)))</f>
        <v/>
      </c>
      <c r="I1163">
        <f>IF($B1163="","",IF(LEFT($B1163,1)="━","",VLOOKUP($B1163,'4. CÀI ĐẶT'!$A$2:$H$32,6,FALSE)))</f>
        <v/>
      </c>
      <c r="J1163" s="13">
        <f>IF($A1163="","",EOMONTH($A1163,0))</f>
        <v/>
      </c>
      <c r="K1163" s="67">
        <f>IF($B1163="",0,IF(LEFT($B1163,1)="━",0,$C1163*VLOOKUP($B1163,'4. CÀI ĐẶT'!$A$2:$H$32,7,FALSE)))</f>
        <v/>
      </c>
    </row>
    <row r="1164">
      <c r="A1164" s="8" t="n"/>
      <c r="B1164" s="9" t="n"/>
      <c r="C1164" s="65" t="n"/>
      <c r="D1164" s="9" t="n"/>
      <c r="E1164" s="66">
        <f>IF($B1164="","",IF(LEFT($B1164,1)="━","⚠️ Chọn hạng mục cụ thể",$C1164*VLOOKUP($B1164,'4. CÀI ĐẶT'!$A$2:$H$32,2,FALSE)))</f>
        <v/>
      </c>
      <c r="F1164" s="67">
        <f>IF($B1164="",0,IF(LEFT($B1164,1)="━",0,$C1164*VLOOKUP($B1164,'4. CÀI ĐẶT'!$A$2:$H$32,3,FALSE)))</f>
        <v/>
      </c>
      <c r="G1164" s="67">
        <f>IF($B1164="",0,IF(LEFT($B1164,1)="━",0,$C1164*VLOOKUP($B1164,'4. CÀI ĐẶT'!$A$2:$H$32,4,FALSE)))</f>
        <v/>
      </c>
      <c r="H1164" s="67">
        <f>IF($B1164="",0,IF(LEFT($B1164,1)="━",0,$C1164*VLOOKUP($B1164,'4. CÀI ĐẶT'!$A$2:$H$32,5,FALSE)))</f>
        <v/>
      </c>
      <c r="I1164">
        <f>IF($B1164="","",IF(LEFT($B1164,1)="━","",VLOOKUP($B1164,'4. CÀI ĐẶT'!$A$2:$H$32,6,FALSE)))</f>
        <v/>
      </c>
      <c r="J1164" s="13">
        <f>IF($A1164="","",EOMONTH($A1164,0))</f>
        <v/>
      </c>
      <c r="K1164" s="67">
        <f>IF($B1164="",0,IF(LEFT($B1164,1)="━",0,$C1164*VLOOKUP($B1164,'4. CÀI ĐẶT'!$A$2:$H$32,7,FALSE)))</f>
        <v/>
      </c>
    </row>
    <row r="1165">
      <c r="A1165" s="8" t="n"/>
      <c r="B1165" s="9" t="n"/>
      <c r="C1165" s="65" t="n"/>
      <c r="D1165" s="9" t="n"/>
      <c r="E1165" s="66">
        <f>IF($B1165="","",IF(LEFT($B1165,1)="━","⚠️ Chọn hạng mục cụ thể",$C1165*VLOOKUP($B1165,'4. CÀI ĐẶT'!$A$2:$H$32,2,FALSE)))</f>
        <v/>
      </c>
      <c r="F1165" s="67">
        <f>IF($B1165="",0,IF(LEFT($B1165,1)="━",0,$C1165*VLOOKUP($B1165,'4. CÀI ĐẶT'!$A$2:$H$32,3,FALSE)))</f>
        <v/>
      </c>
      <c r="G1165" s="67">
        <f>IF($B1165="",0,IF(LEFT($B1165,1)="━",0,$C1165*VLOOKUP($B1165,'4. CÀI ĐẶT'!$A$2:$H$32,4,FALSE)))</f>
        <v/>
      </c>
      <c r="H1165" s="67">
        <f>IF($B1165="",0,IF(LEFT($B1165,1)="━",0,$C1165*VLOOKUP($B1165,'4. CÀI ĐẶT'!$A$2:$H$32,5,FALSE)))</f>
        <v/>
      </c>
      <c r="I1165">
        <f>IF($B1165="","",IF(LEFT($B1165,1)="━","",VLOOKUP($B1165,'4. CÀI ĐẶT'!$A$2:$H$32,6,FALSE)))</f>
        <v/>
      </c>
      <c r="J1165" s="13">
        <f>IF($A1165="","",EOMONTH($A1165,0))</f>
        <v/>
      </c>
      <c r="K1165" s="67">
        <f>IF($B1165="",0,IF(LEFT($B1165,1)="━",0,$C1165*VLOOKUP($B1165,'4. CÀI ĐẶT'!$A$2:$H$32,7,FALSE)))</f>
        <v/>
      </c>
    </row>
    <row r="1166">
      <c r="A1166" s="8" t="n"/>
      <c r="B1166" s="9" t="n"/>
      <c r="C1166" s="65" t="n"/>
      <c r="D1166" s="9" t="n"/>
      <c r="E1166" s="66">
        <f>IF($B1166="","",IF(LEFT($B1166,1)="━","⚠️ Chọn hạng mục cụ thể",$C1166*VLOOKUP($B1166,'4. CÀI ĐẶT'!$A$2:$H$32,2,FALSE)))</f>
        <v/>
      </c>
      <c r="F1166" s="67">
        <f>IF($B1166="",0,IF(LEFT($B1166,1)="━",0,$C1166*VLOOKUP($B1166,'4. CÀI ĐẶT'!$A$2:$H$32,3,FALSE)))</f>
        <v/>
      </c>
      <c r="G1166" s="67">
        <f>IF($B1166="",0,IF(LEFT($B1166,1)="━",0,$C1166*VLOOKUP($B1166,'4. CÀI ĐẶT'!$A$2:$H$32,4,FALSE)))</f>
        <v/>
      </c>
      <c r="H1166" s="67">
        <f>IF($B1166="",0,IF(LEFT($B1166,1)="━",0,$C1166*VLOOKUP($B1166,'4. CÀI ĐẶT'!$A$2:$H$32,5,FALSE)))</f>
        <v/>
      </c>
      <c r="I1166">
        <f>IF($B1166="","",IF(LEFT($B1166,1)="━","",VLOOKUP($B1166,'4. CÀI ĐẶT'!$A$2:$H$32,6,FALSE)))</f>
        <v/>
      </c>
      <c r="J1166" s="13">
        <f>IF($A1166="","",EOMONTH($A1166,0))</f>
        <v/>
      </c>
      <c r="K1166" s="67">
        <f>IF($B1166="",0,IF(LEFT($B1166,1)="━",0,$C1166*VLOOKUP($B1166,'4. CÀI ĐẶT'!$A$2:$H$32,7,FALSE)))</f>
        <v/>
      </c>
    </row>
    <row r="1167">
      <c r="A1167" s="8" t="n"/>
      <c r="B1167" s="9" t="n"/>
      <c r="C1167" s="65" t="n"/>
      <c r="D1167" s="9" t="n"/>
      <c r="E1167" s="66">
        <f>IF($B1167="","",IF(LEFT($B1167,1)="━","⚠️ Chọn hạng mục cụ thể",$C1167*VLOOKUP($B1167,'4. CÀI ĐẶT'!$A$2:$H$32,2,FALSE)))</f>
        <v/>
      </c>
      <c r="F1167" s="67">
        <f>IF($B1167="",0,IF(LEFT($B1167,1)="━",0,$C1167*VLOOKUP($B1167,'4. CÀI ĐẶT'!$A$2:$H$32,3,FALSE)))</f>
        <v/>
      </c>
      <c r="G1167" s="67">
        <f>IF($B1167="",0,IF(LEFT($B1167,1)="━",0,$C1167*VLOOKUP($B1167,'4. CÀI ĐẶT'!$A$2:$H$32,4,FALSE)))</f>
        <v/>
      </c>
      <c r="H1167" s="67">
        <f>IF($B1167="",0,IF(LEFT($B1167,1)="━",0,$C1167*VLOOKUP($B1167,'4. CÀI ĐẶT'!$A$2:$H$32,5,FALSE)))</f>
        <v/>
      </c>
      <c r="I1167">
        <f>IF($B1167="","",IF(LEFT($B1167,1)="━","",VLOOKUP($B1167,'4. CÀI ĐẶT'!$A$2:$H$32,6,FALSE)))</f>
        <v/>
      </c>
      <c r="J1167" s="13">
        <f>IF($A1167="","",EOMONTH($A1167,0))</f>
        <v/>
      </c>
      <c r="K1167" s="67">
        <f>IF($B1167="",0,IF(LEFT($B1167,1)="━",0,$C1167*VLOOKUP($B1167,'4. CÀI ĐẶT'!$A$2:$H$32,7,FALSE)))</f>
        <v/>
      </c>
    </row>
    <row r="1168">
      <c r="A1168" s="8" t="n"/>
      <c r="B1168" s="9" t="n"/>
      <c r="C1168" s="65" t="n"/>
      <c r="D1168" s="9" t="n"/>
      <c r="E1168" s="66">
        <f>IF($B1168="","",IF(LEFT($B1168,1)="━","⚠️ Chọn hạng mục cụ thể",$C1168*VLOOKUP($B1168,'4. CÀI ĐẶT'!$A$2:$H$32,2,FALSE)))</f>
        <v/>
      </c>
      <c r="F1168" s="67">
        <f>IF($B1168="",0,IF(LEFT($B1168,1)="━",0,$C1168*VLOOKUP($B1168,'4. CÀI ĐẶT'!$A$2:$H$32,3,FALSE)))</f>
        <v/>
      </c>
      <c r="G1168" s="67">
        <f>IF($B1168="",0,IF(LEFT($B1168,1)="━",0,$C1168*VLOOKUP($B1168,'4. CÀI ĐẶT'!$A$2:$H$32,4,FALSE)))</f>
        <v/>
      </c>
      <c r="H1168" s="67">
        <f>IF($B1168="",0,IF(LEFT($B1168,1)="━",0,$C1168*VLOOKUP($B1168,'4. CÀI ĐẶT'!$A$2:$H$32,5,FALSE)))</f>
        <v/>
      </c>
      <c r="I1168">
        <f>IF($B1168="","",IF(LEFT($B1168,1)="━","",VLOOKUP($B1168,'4. CÀI ĐẶT'!$A$2:$H$32,6,FALSE)))</f>
        <v/>
      </c>
      <c r="J1168" s="13">
        <f>IF($A1168="","",EOMONTH($A1168,0))</f>
        <v/>
      </c>
      <c r="K1168" s="67">
        <f>IF($B1168="",0,IF(LEFT($B1168,1)="━",0,$C1168*VLOOKUP($B1168,'4. CÀI ĐẶT'!$A$2:$H$32,7,FALSE)))</f>
        <v/>
      </c>
    </row>
    <row r="1169">
      <c r="A1169" s="8" t="n"/>
      <c r="B1169" s="9" t="n"/>
      <c r="C1169" s="65" t="n"/>
      <c r="D1169" s="9" t="n"/>
      <c r="E1169" s="66">
        <f>IF($B1169="","",IF(LEFT($B1169,1)="━","⚠️ Chọn hạng mục cụ thể",$C1169*VLOOKUP($B1169,'4. CÀI ĐẶT'!$A$2:$H$32,2,FALSE)))</f>
        <v/>
      </c>
      <c r="F1169" s="67">
        <f>IF($B1169="",0,IF(LEFT($B1169,1)="━",0,$C1169*VLOOKUP($B1169,'4. CÀI ĐẶT'!$A$2:$H$32,3,FALSE)))</f>
        <v/>
      </c>
      <c r="G1169" s="67">
        <f>IF($B1169="",0,IF(LEFT($B1169,1)="━",0,$C1169*VLOOKUP($B1169,'4. CÀI ĐẶT'!$A$2:$H$32,4,FALSE)))</f>
        <v/>
      </c>
      <c r="H1169" s="67">
        <f>IF($B1169="",0,IF(LEFT($B1169,1)="━",0,$C1169*VLOOKUP($B1169,'4. CÀI ĐẶT'!$A$2:$H$32,5,FALSE)))</f>
        <v/>
      </c>
      <c r="I1169">
        <f>IF($B1169="","",IF(LEFT($B1169,1)="━","",VLOOKUP($B1169,'4. CÀI ĐẶT'!$A$2:$H$32,6,FALSE)))</f>
        <v/>
      </c>
      <c r="J1169" s="13">
        <f>IF($A1169="","",EOMONTH($A1169,0))</f>
        <v/>
      </c>
      <c r="K1169" s="67">
        <f>IF($B1169="",0,IF(LEFT($B1169,1)="━",0,$C1169*VLOOKUP($B1169,'4. CÀI ĐẶT'!$A$2:$H$32,7,FALSE)))</f>
        <v/>
      </c>
    </row>
    <row r="1170">
      <c r="A1170" s="8" t="n"/>
      <c r="B1170" s="9" t="n"/>
      <c r="C1170" s="65" t="n"/>
      <c r="D1170" s="9" t="n"/>
      <c r="E1170" s="66">
        <f>IF($B1170="","",IF(LEFT($B1170,1)="━","⚠️ Chọn hạng mục cụ thể",$C1170*VLOOKUP($B1170,'4. CÀI ĐẶT'!$A$2:$H$32,2,FALSE)))</f>
        <v/>
      </c>
      <c r="F1170" s="67">
        <f>IF($B1170="",0,IF(LEFT($B1170,1)="━",0,$C1170*VLOOKUP($B1170,'4. CÀI ĐẶT'!$A$2:$H$32,3,FALSE)))</f>
        <v/>
      </c>
      <c r="G1170" s="67">
        <f>IF($B1170="",0,IF(LEFT($B1170,1)="━",0,$C1170*VLOOKUP($B1170,'4. CÀI ĐẶT'!$A$2:$H$32,4,FALSE)))</f>
        <v/>
      </c>
      <c r="H1170" s="67">
        <f>IF($B1170="",0,IF(LEFT($B1170,1)="━",0,$C1170*VLOOKUP($B1170,'4. CÀI ĐẶT'!$A$2:$H$32,5,FALSE)))</f>
        <v/>
      </c>
      <c r="I1170">
        <f>IF($B1170="","",IF(LEFT($B1170,1)="━","",VLOOKUP($B1170,'4. CÀI ĐẶT'!$A$2:$H$32,6,FALSE)))</f>
        <v/>
      </c>
      <c r="J1170" s="13">
        <f>IF($A1170="","",EOMONTH($A1170,0))</f>
        <v/>
      </c>
      <c r="K1170" s="67">
        <f>IF($B1170="",0,IF(LEFT($B1170,1)="━",0,$C1170*VLOOKUP($B1170,'4. CÀI ĐẶT'!$A$2:$H$32,7,FALSE)))</f>
        <v/>
      </c>
    </row>
    <row r="1171">
      <c r="A1171" s="8" t="n"/>
      <c r="B1171" s="9" t="n"/>
      <c r="C1171" s="65" t="n"/>
      <c r="D1171" s="9" t="n"/>
      <c r="E1171" s="66">
        <f>IF($B1171="","",IF(LEFT($B1171,1)="━","⚠️ Chọn hạng mục cụ thể",$C1171*VLOOKUP($B1171,'4. CÀI ĐẶT'!$A$2:$H$32,2,FALSE)))</f>
        <v/>
      </c>
      <c r="F1171" s="67">
        <f>IF($B1171="",0,IF(LEFT($B1171,1)="━",0,$C1171*VLOOKUP($B1171,'4. CÀI ĐẶT'!$A$2:$H$32,3,FALSE)))</f>
        <v/>
      </c>
      <c r="G1171" s="67">
        <f>IF($B1171="",0,IF(LEFT($B1171,1)="━",0,$C1171*VLOOKUP($B1171,'4. CÀI ĐẶT'!$A$2:$H$32,4,FALSE)))</f>
        <v/>
      </c>
      <c r="H1171" s="67">
        <f>IF($B1171="",0,IF(LEFT($B1171,1)="━",0,$C1171*VLOOKUP($B1171,'4. CÀI ĐẶT'!$A$2:$H$32,5,FALSE)))</f>
        <v/>
      </c>
      <c r="I1171">
        <f>IF($B1171="","",IF(LEFT($B1171,1)="━","",VLOOKUP($B1171,'4. CÀI ĐẶT'!$A$2:$H$32,6,FALSE)))</f>
        <v/>
      </c>
      <c r="J1171" s="13">
        <f>IF($A1171="","",EOMONTH($A1171,0))</f>
        <v/>
      </c>
      <c r="K1171" s="67">
        <f>IF($B1171="",0,IF(LEFT($B1171,1)="━",0,$C1171*VLOOKUP($B1171,'4. CÀI ĐẶT'!$A$2:$H$32,7,FALSE)))</f>
        <v/>
      </c>
    </row>
    <row r="1172">
      <c r="A1172" s="8" t="n"/>
      <c r="B1172" s="9" t="n"/>
      <c r="C1172" s="65" t="n"/>
      <c r="D1172" s="9" t="n"/>
      <c r="E1172" s="66">
        <f>IF($B1172="","",IF(LEFT($B1172,1)="━","⚠️ Chọn hạng mục cụ thể",$C1172*VLOOKUP($B1172,'4. CÀI ĐẶT'!$A$2:$H$32,2,FALSE)))</f>
        <v/>
      </c>
      <c r="F1172" s="67">
        <f>IF($B1172="",0,IF(LEFT($B1172,1)="━",0,$C1172*VLOOKUP($B1172,'4. CÀI ĐẶT'!$A$2:$H$32,3,FALSE)))</f>
        <v/>
      </c>
      <c r="G1172" s="67">
        <f>IF($B1172="",0,IF(LEFT($B1172,1)="━",0,$C1172*VLOOKUP($B1172,'4. CÀI ĐẶT'!$A$2:$H$32,4,FALSE)))</f>
        <v/>
      </c>
      <c r="H1172" s="67">
        <f>IF($B1172="",0,IF(LEFT($B1172,1)="━",0,$C1172*VLOOKUP($B1172,'4. CÀI ĐẶT'!$A$2:$H$32,5,FALSE)))</f>
        <v/>
      </c>
      <c r="I1172">
        <f>IF($B1172="","",IF(LEFT($B1172,1)="━","",VLOOKUP($B1172,'4. CÀI ĐẶT'!$A$2:$H$32,6,FALSE)))</f>
        <v/>
      </c>
      <c r="J1172" s="13">
        <f>IF($A1172="","",EOMONTH($A1172,0))</f>
        <v/>
      </c>
      <c r="K1172" s="67">
        <f>IF($B1172="",0,IF(LEFT($B1172,1)="━",0,$C1172*VLOOKUP($B1172,'4. CÀI ĐẶT'!$A$2:$H$32,7,FALSE)))</f>
        <v/>
      </c>
    </row>
    <row r="1173">
      <c r="A1173" s="8" t="n"/>
      <c r="B1173" s="9" t="n"/>
      <c r="C1173" s="65" t="n"/>
      <c r="D1173" s="9" t="n"/>
      <c r="E1173" s="66">
        <f>IF($B1173="","",IF(LEFT($B1173,1)="━","⚠️ Chọn hạng mục cụ thể",$C1173*VLOOKUP($B1173,'4. CÀI ĐẶT'!$A$2:$H$32,2,FALSE)))</f>
        <v/>
      </c>
      <c r="F1173" s="67">
        <f>IF($B1173="",0,IF(LEFT($B1173,1)="━",0,$C1173*VLOOKUP($B1173,'4. CÀI ĐẶT'!$A$2:$H$32,3,FALSE)))</f>
        <v/>
      </c>
      <c r="G1173" s="67">
        <f>IF($B1173="",0,IF(LEFT($B1173,1)="━",0,$C1173*VLOOKUP($B1173,'4. CÀI ĐẶT'!$A$2:$H$32,4,FALSE)))</f>
        <v/>
      </c>
      <c r="H1173" s="67">
        <f>IF($B1173="",0,IF(LEFT($B1173,1)="━",0,$C1173*VLOOKUP($B1173,'4. CÀI ĐẶT'!$A$2:$H$32,5,FALSE)))</f>
        <v/>
      </c>
      <c r="I1173">
        <f>IF($B1173="","",IF(LEFT($B1173,1)="━","",VLOOKUP($B1173,'4. CÀI ĐẶT'!$A$2:$H$32,6,FALSE)))</f>
        <v/>
      </c>
      <c r="J1173" s="13">
        <f>IF($A1173="","",EOMONTH($A1173,0))</f>
        <v/>
      </c>
      <c r="K1173" s="67">
        <f>IF($B1173="",0,IF(LEFT($B1173,1)="━",0,$C1173*VLOOKUP($B1173,'4. CÀI ĐẶT'!$A$2:$H$32,7,FALSE)))</f>
        <v/>
      </c>
    </row>
    <row r="1174">
      <c r="A1174" s="8" t="n"/>
      <c r="B1174" s="9" t="n"/>
      <c r="C1174" s="65" t="n"/>
      <c r="D1174" s="9" t="n"/>
      <c r="E1174" s="66">
        <f>IF($B1174="","",IF(LEFT($B1174,1)="━","⚠️ Chọn hạng mục cụ thể",$C1174*VLOOKUP($B1174,'4. CÀI ĐẶT'!$A$2:$H$32,2,FALSE)))</f>
        <v/>
      </c>
      <c r="F1174" s="67">
        <f>IF($B1174="",0,IF(LEFT($B1174,1)="━",0,$C1174*VLOOKUP($B1174,'4. CÀI ĐẶT'!$A$2:$H$32,3,FALSE)))</f>
        <v/>
      </c>
      <c r="G1174" s="67">
        <f>IF($B1174="",0,IF(LEFT($B1174,1)="━",0,$C1174*VLOOKUP($B1174,'4. CÀI ĐẶT'!$A$2:$H$32,4,FALSE)))</f>
        <v/>
      </c>
      <c r="H1174" s="67">
        <f>IF($B1174="",0,IF(LEFT($B1174,1)="━",0,$C1174*VLOOKUP($B1174,'4. CÀI ĐẶT'!$A$2:$H$32,5,FALSE)))</f>
        <v/>
      </c>
      <c r="I1174">
        <f>IF($B1174="","",IF(LEFT($B1174,1)="━","",VLOOKUP($B1174,'4. CÀI ĐẶT'!$A$2:$H$32,6,FALSE)))</f>
        <v/>
      </c>
      <c r="J1174" s="13">
        <f>IF($A1174="","",EOMONTH($A1174,0))</f>
        <v/>
      </c>
      <c r="K1174" s="67">
        <f>IF($B1174="",0,IF(LEFT($B1174,1)="━",0,$C1174*VLOOKUP($B1174,'4. CÀI ĐẶT'!$A$2:$H$32,7,FALSE)))</f>
        <v/>
      </c>
    </row>
    <row r="1175">
      <c r="A1175" s="8" t="n"/>
      <c r="B1175" s="9" t="n"/>
      <c r="C1175" s="65" t="n"/>
      <c r="D1175" s="9" t="n"/>
      <c r="E1175" s="66">
        <f>IF($B1175="","",IF(LEFT($B1175,1)="━","⚠️ Chọn hạng mục cụ thể",$C1175*VLOOKUP($B1175,'4. CÀI ĐẶT'!$A$2:$H$32,2,FALSE)))</f>
        <v/>
      </c>
      <c r="F1175" s="67">
        <f>IF($B1175="",0,IF(LEFT($B1175,1)="━",0,$C1175*VLOOKUP($B1175,'4. CÀI ĐẶT'!$A$2:$H$32,3,FALSE)))</f>
        <v/>
      </c>
      <c r="G1175" s="67">
        <f>IF($B1175="",0,IF(LEFT($B1175,1)="━",0,$C1175*VLOOKUP($B1175,'4. CÀI ĐẶT'!$A$2:$H$32,4,FALSE)))</f>
        <v/>
      </c>
      <c r="H1175" s="67">
        <f>IF($B1175="",0,IF(LEFT($B1175,1)="━",0,$C1175*VLOOKUP($B1175,'4. CÀI ĐẶT'!$A$2:$H$32,5,FALSE)))</f>
        <v/>
      </c>
      <c r="I1175">
        <f>IF($B1175="","",IF(LEFT($B1175,1)="━","",VLOOKUP($B1175,'4. CÀI ĐẶT'!$A$2:$H$32,6,FALSE)))</f>
        <v/>
      </c>
      <c r="J1175" s="13">
        <f>IF($A1175="","",EOMONTH($A1175,0))</f>
        <v/>
      </c>
      <c r="K1175" s="67">
        <f>IF($B1175="",0,IF(LEFT($B1175,1)="━",0,$C1175*VLOOKUP($B1175,'4. CÀI ĐẶT'!$A$2:$H$32,7,FALSE)))</f>
        <v/>
      </c>
    </row>
    <row r="1176">
      <c r="A1176" s="8" t="n"/>
      <c r="B1176" s="9" t="n"/>
      <c r="C1176" s="65" t="n"/>
      <c r="D1176" s="9" t="n"/>
      <c r="E1176" s="66">
        <f>IF($B1176="","",IF(LEFT($B1176,1)="━","⚠️ Chọn hạng mục cụ thể",$C1176*VLOOKUP($B1176,'4. CÀI ĐẶT'!$A$2:$H$32,2,FALSE)))</f>
        <v/>
      </c>
      <c r="F1176" s="67">
        <f>IF($B1176="",0,IF(LEFT($B1176,1)="━",0,$C1176*VLOOKUP($B1176,'4. CÀI ĐẶT'!$A$2:$H$32,3,FALSE)))</f>
        <v/>
      </c>
      <c r="G1176" s="67">
        <f>IF($B1176="",0,IF(LEFT($B1176,1)="━",0,$C1176*VLOOKUP($B1176,'4. CÀI ĐẶT'!$A$2:$H$32,4,FALSE)))</f>
        <v/>
      </c>
      <c r="H1176" s="67">
        <f>IF($B1176="",0,IF(LEFT($B1176,1)="━",0,$C1176*VLOOKUP($B1176,'4. CÀI ĐẶT'!$A$2:$H$32,5,FALSE)))</f>
        <v/>
      </c>
      <c r="I1176">
        <f>IF($B1176="","",IF(LEFT($B1176,1)="━","",VLOOKUP($B1176,'4. CÀI ĐẶT'!$A$2:$H$32,6,FALSE)))</f>
        <v/>
      </c>
      <c r="J1176" s="13">
        <f>IF($A1176="","",EOMONTH($A1176,0))</f>
        <v/>
      </c>
      <c r="K1176" s="67">
        <f>IF($B1176="",0,IF(LEFT($B1176,1)="━",0,$C1176*VLOOKUP($B1176,'4. CÀI ĐẶT'!$A$2:$H$32,7,FALSE)))</f>
        <v/>
      </c>
    </row>
    <row r="1177">
      <c r="A1177" s="8" t="n"/>
      <c r="B1177" s="9" t="n"/>
      <c r="C1177" s="65" t="n"/>
      <c r="D1177" s="9" t="n"/>
      <c r="E1177" s="66">
        <f>IF($B1177="","",IF(LEFT($B1177,1)="━","⚠️ Chọn hạng mục cụ thể",$C1177*VLOOKUP($B1177,'4. CÀI ĐẶT'!$A$2:$H$32,2,FALSE)))</f>
        <v/>
      </c>
      <c r="F1177" s="67">
        <f>IF($B1177="",0,IF(LEFT($B1177,1)="━",0,$C1177*VLOOKUP($B1177,'4. CÀI ĐẶT'!$A$2:$H$32,3,FALSE)))</f>
        <v/>
      </c>
      <c r="G1177" s="67">
        <f>IF($B1177="",0,IF(LEFT($B1177,1)="━",0,$C1177*VLOOKUP($B1177,'4. CÀI ĐẶT'!$A$2:$H$32,4,FALSE)))</f>
        <v/>
      </c>
      <c r="H1177" s="67">
        <f>IF($B1177="",0,IF(LEFT($B1177,1)="━",0,$C1177*VLOOKUP($B1177,'4. CÀI ĐẶT'!$A$2:$H$32,5,FALSE)))</f>
        <v/>
      </c>
      <c r="I1177">
        <f>IF($B1177="","",IF(LEFT($B1177,1)="━","",VLOOKUP($B1177,'4. CÀI ĐẶT'!$A$2:$H$32,6,FALSE)))</f>
        <v/>
      </c>
      <c r="J1177" s="13">
        <f>IF($A1177="","",EOMONTH($A1177,0))</f>
        <v/>
      </c>
      <c r="K1177" s="67">
        <f>IF($B1177="",0,IF(LEFT($B1177,1)="━",0,$C1177*VLOOKUP($B1177,'4. CÀI ĐẶT'!$A$2:$H$32,7,FALSE)))</f>
        <v/>
      </c>
    </row>
    <row r="1178">
      <c r="A1178" s="8" t="n"/>
      <c r="B1178" s="9" t="n"/>
      <c r="C1178" s="65" t="n"/>
      <c r="D1178" s="9" t="n"/>
      <c r="E1178" s="66">
        <f>IF($B1178="","",IF(LEFT($B1178,1)="━","⚠️ Chọn hạng mục cụ thể",$C1178*VLOOKUP($B1178,'4. CÀI ĐẶT'!$A$2:$H$32,2,FALSE)))</f>
        <v/>
      </c>
      <c r="F1178" s="67">
        <f>IF($B1178="",0,IF(LEFT($B1178,1)="━",0,$C1178*VLOOKUP($B1178,'4. CÀI ĐẶT'!$A$2:$H$32,3,FALSE)))</f>
        <v/>
      </c>
      <c r="G1178" s="67">
        <f>IF($B1178="",0,IF(LEFT($B1178,1)="━",0,$C1178*VLOOKUP($B1178,'4. CÀI ĐẶT'!$A$2:$H$32,4,FALSE)))</f>
        <v/>
      </c>
      <c r="H1178" s="67">
        <f>IF($B1178="",0,IF(LEFT($B1178,1)="━",0,$C1178*VLOOKUP($B1178,'4. CÀI ĐẶT'!$A$2:$H$32,5,FALSE)))</f>
        <v/>
      </c>
      <c r="I1178">
        <f>IF($B1178="","",IF(LEFT($B1178,1)="━","",VLOOKUP($B1178,'4. CÀI ĐẶT'!$A$2:$H$32,6,FALSE)))</f>
        <v/>
      </c>
      <c r="J1178" s="13">
        <f>IF($A1178="","",EOMONTH($A1178,0))</f>
        <v/>
      </c>
      <c r="K1178" s="67">
        <f>IF($B1178="",0,IF(LEFT($B1178,1)="━",0,$C1178*VLOOKUP($B1178,'4. CÀI ĐẶT'!$A$2:$H$32,7,FALSE)))</f>
        <v/>
      </c>
    </row>
    <row r="1179">
      <c r="A1179" s="8" t="n"/>
      <c r="B1179" s="9" t="n"/>
      <c r="C1179" s="65" t="n"/>
      <c r="D1179" s="9" t="n"/>
      <c r="E1179" s="66">
        <f>IF($B1179="","",IF(LEFT($B1179,1)="━","⚠️ Chọn hạng mục cụ thể",$C1179*VLOOKUP($B1179,'4. CÀI ĐẶT'!$A$2:$H$32,2,FALSE)))</f>
        <v/>
      </c>
      <c r="F1179" s="67">
        <f>IF($B1179="",0,IF(LEFT($B1179,1)="━",0,$C1179*VLOOKUP($B1179,'4. CÀI ĐẶT'!$A$2:$H$32,3,FALSE)))</f>
        <v/>
      </c>
      <c r="G1179" s="67">
        <f>IF($B1179="",0,IF(LEFT($B1179,1)="━",0,$C1179*VLOOKUP($B1179,'4. CÀI ĐẶT'!$A$2:$H$32,4,FALSE)))</f>
        <v/>
      </c>
      <c r="H1179" s="67">
        <f>IF($B1179="",0,IF(LEFT($B1179,1)="━",0,$C1179*VLOOKUP($B1179,'4. CÀI ĐẶT'!$A$2:$H$32,5,FALSE)))</f>
        <v/>
      </c>
      <c r="I1179">
        <f>IF($B1179="","",IF(LEFT($B1179,1)="━","",VLOOKUP($B1179,'4. CÀI ĐẶT'!$A$2:$H$32,6,FALSE)))</f>
        <v/>
      </c>
      <c r="J1179" s="13">
        <f>IF($A1179="","",EOMONTH($A1179,0))</f>
        <v/>
      </c>
      <c r="K1179" s="67">
        <f>IF($B1179="",0,IF(LEFT($B1179,1)="━",0,$C1179*VLOOKUP($B1179,'4. CÀI ĐẶT'!$A$2:$H$32,7,FALSE)))</f>
        <v/>
      </c>
    </row>
    <row r="1180">
      <c r="A1180" s="8" t="n"/>
      <c r="B1180" s="9" t="n"/>
      <c r="C1180" s="65" t="n"/>
      <c r="D1180" s="9" t="n"/>
      <c r="E1180" s="66">
        <f>IF($B1180="","",IF(LEFT($B1180,1)="━","⚠️ Chọn hạng mục cụ thể",$C1180*VLOOKUP($B1180,'4. CÀI ĐẶT'!$A$2:$H$32,2,FALSE)))</f>
        <v/>
      </c>
      <c r="F1180" s="67">
        <f>IF($B1180="",0,IF(LEFT($B1180,1)="━",0,$C1180*VLOOKUP($B1180,'4. CÀI ĐẶT'!$A$2:$H$32,3,FALSE)))</f>
        <v/>
      </c>
      <c r="G1180" s="67">
        <f>IF($B1180="",0,IF(LEFT($B1180,1)="━",0,$C1180*VLOOKUP($B1180,'4. CÀI ĐẶT'!$A$2:$H$32,4,FALSE)))</f>
        <v/>
      </c>
      <c r="H1180" s="67">
        <f>IF($B1180="",0,IF(LEFT($B1180,1)="━",0,$C1180*VLOOKUP($B1180,'4. CÀI ĐẶT'!$A$2:$H$32,5,FALSE)))</f>
        <v/>
      </c>
      <c r="I1180">
        <f>IF($B1180="","",IF(LEFT($B1180,1)="━","",VLOOKUP($B1180,'4. CÀI ĐẶT'!$A$2:$H$32,6,FALSE)))</f>
        <v/>
      </c>
      <c r="J1180" s="13">
        <f>IF($A1180="","",EOMONTH($A1180,0))</f>
        <v/>
      </c>
      <c r="K1180" s="67">
        <f>IF($B1180="",0,IF(LEFT($B1180,1)="━",0,$C1180*VLOOKUP($B1180,'4. CÀI ĐẶT'!$A$2:$H$32,7,FALSE)))</f>
        <v/>
      </c>
    </row>
    <row r="1181">
      <c r="A1181" s="8" t="n"/>
      <c r="B1181" s="9" t="n"/>
      <c r="C1181" s="65" t="n"/>
      <c r="D1181" s="9" t="n"/>
      <c r="E1181" s="66">
        <f>IF($B1181="","",IF(LEFT($B1181,1)="━","⚠️ Chọn hạng mục cụ thể",$C1181*VLOOKUP($B1181,'4. CÀI ĐẶT'!$A$2:$H$32,2,FALSE)))</f>
        <v/>
      </c>
      <c r="F1181" s="67">
        <f>IF($B1181="",0,IF(LEFT($B1181,1)="━",0,$C1181*VLOOKUP($B1181,'4. CÀI ĐẶT'!$A$2:$H$32,3,FALSE)))</f>
        <v/>
      </c>
      <c r="G1181" s="67">
        <f>IF($B1181="",0,IF(LEFT($B1181,1)="━",0,$C1181*VLOOKUP($B1181,'4. CÀI ĐẶT'!$A$2:$H$32,4,FALSE)))</f>
        <v/>
      </c>
      <c r="H1181" s="67">
        <f>IF($B1181="",0,IF(LEFT($B1181,1)="━",0,$C1181*VLOOKUP($B1181,'4. CÀI ĐẶT'!$A$2:$H$32,5,FALSE)))</f>
        <v/>
      </c>
      <c r="I1181">
        <f>IF($B1181="","",IF(LEFT($B1181,1)="━","",VLOOKUP($B1181,'4. CÀI ĐẶT'!$A$2:$H$32,6,FALSE)))</f>
        <v/>
      </c>
      <c r="J1181" s="13">
        <f>IF($A1181="","",EOMONTH($A1181,0))</f>
        <v/>
      </c>
      <c r="K1181" s="67">
        <f>IF($B1181="",0,IF(LEFT($B1181,1)="━",0,$C1181*VLOOKUP($B1181,'4. CÀI ĐẶT'!$A$2:$H$32,7,FALSE)))</f>
        <v/>
      </c>
    </row>
    <row r="1182">
      <c r="A1182" s="8" t="n"/>
      <c r="B1182" s="9" t="n"/>
      <c r="C1182" s="65" t="n"/>
      <c r="D1182" s="9" t="n"/>
      <c r="E1182" s="66">
        <f>IF($B1182="","",IF(LEFT($B1182,1)="━","⚠️ Chọn hạng mục cụ thể",$C1182*VLOOKUP($B1182,'4. CÀI ĐẶT'!$A$2:$H$32,2,FALSE)))</f>
        <v/>
      </c>
      <c r="F1182" s="67">
        <f>IF($B1182="",0,IF(LEFT($B1182,1)="━",0,$C1182*VLOOKUP($B1182,'4. CÀI ĐẶT'!$A$2:$H$32,3,FALSE)))</f>
        <v/>
      </c>
      <c r="G1182" s="67">
        <f>IF($B1182="",0,IF(LEFT($B1182,1)="━",0,$C1182*VLOOKUP($B1182,'4. CÀI ĐẶT'!$A$2:$H$32,4,FALSE)))</f>
        <v/>
      </c>
      <c r="H1182" s="67">
        <f>IF($B1182="",0,IF(LEFT($B1182,1)="━",0,$C1182*VLOOKUP($B1182,'4. CÀI ĐẶT'!$A$2:$H$32,5,FALSE)))</f>
        <v/>
      </c>
      <c r="I1182">
        <f>IF($B1182="","",IF(LEFT($B1182,1)="━","",VLOOKUP($B1182,'4. CÀI ĐẶT'!$A$2:$H$32,6,FALSE)))</f>
        <v/>
      </c>
      <c r="J1182" s="13">
        <f>IF($A1182="","",EOMONTH($A1182,0))</f>
        <v/>
      </c>
      <c r="K1182" s="67">
        <f>IF($B1182="",0,IF(LEFT($B1182,1)="━",0,$C1182*VLOOKUP($B1182,'4. CÀI ĐẶT'!$A$2:$H$32,7,FALSE)))</f>
        <v/>
      </c>
    </row>
    <row r="1183">
      <c r="A1183" s="8" t="n"/>
      <c r="B1183" s="9" t="n"/>
      <c r="C1183" s="65" t="n"/>
      <c r="D1183" s="9" t="n"/>
      <c r="E1183" s="66">
        <f>IF($B1183="","",IF(LEFT($B1183,1)="━","⚠️ Chọn hạng mục cụ thể",$C1183*VLOOKUP($B1183,'4. CÀI ĐẶT'!$A$2:$H$32,2,FALSE)))</f>
        <v/>
      </c>
      <c r="F1183" s="67">
        <f>IF($B1183="",0,IF(LEFT($B1183,1)="━",0,$C1183*VLOOKUP($B1183,'4. CÀI ĐẶT'!$A$2:$H$32,3,FALSE)))</f>
        <v/>
      </c>
      <c r="G1183" s="67">
        <f>IF($B1183="",0,IF(LEFT($B1183,1)="━",0,$C1183*VLOOKUP($B1183,'4. CÀI ĐẶT'!$A$2:$H$32,4,FALSE)))</f>
        <v/>
      </c>
      <c r="H1183" s="67">
        <f>IF($B1183="",0,IF(LEFT($B1183,1)="━",0,$C1183*VLOOKUP($B1183,'4. CÀI ĐẶT'!$A$2:$H$32,5,FALSE)))</f>
        <v/>
      </c>
      <c r="I1183">
        <f>IF($B1183="","",IF(LEFT($B1183,1)="━","",VLOOKUP($B1183,'4. CÀI ĐẶT'!$A$2:$H$32,6,FALSE)))</f>
        <v/>
      </c>
      <c r="J1183" s="13">
        <f>IF($A1183="","",EOMONTH($A1183,0))</f>
        <v/>
      </c>
      <c r="K1183" s="67">
        <f>IF($B1183="",0,IF(LEFT($B1183,1)="━",0,$C1183*VLOOKUP($B1183,'4. CÀI ĐẶT'!$A$2:$H$32,7,FALSE)))</f>
        <v/>
      </c>
    </row>
    <row r="1184">
      <c r="A1184" s="8" t="n"/>
      <c r="B1184" s="9" t="n"/>
      <c r="C1184" s="65" t="n"/>
      <c r="D1184" s="9" t="n"/>
      <c r="E1184" s="66">
        <f>IF($B1184="","",IF(LEFT($B1184,1)="━","⚠️ Chọn hạng mục cụ thể",$C1184*VLOOKUP($B1184,'4. CÀI ĐẶT'!$A$2:$H$32,2,FALSE)))</f>
        <v/>
      </c>
      <c r="F1184" s="67">
        <f>IF($B1184="",0,IF(LEFT($B1184,1)="━",0,$C1184*VLOOKUP($B1184,'4. CÀI ĐẶT'!$A$2:$H$32,3,FALSE)))</f>
        <v/>
      </c>
      <c r="G1184" s="67">
        <f>IF($B1184="",0,IF(LEFT($B1184,1)="━",0,$C1184*VLOOKUP($B1184,'4. CÀI ĐẶT'!$A$2:$H$32,4,FALSE)))</f>
        <v/>
      </c>
      <c r="H1184" s="67">
        <f>IF($B1184="",0,IF(LEFT($B1184,1)="━",0,$C1184*VLOOKUP($B1184,'4. CÀI ĐẶT'!$A$2:$H$32,5,FALSE)))</f>
        <v/>
      </c>
      <c r="I1184">
        <f>IF($B1184="","",IF(LEFT($B1184,1)="━","",VLOOKUP($B1184,'4. CÀI ĐẶT'!$A$2:$H$32,6,FALSE)))</f>
        <v/>
      </c>
      <c r="J1184" s="13">
        <f>IF($A1184="","",EOMONTH($A1184,0))</f>
        <v/>
      </c>
      <c r="K1184" s="67">
        <f>IF($B1184="",0,IF(LEFT($B1184,1)="━",0,$C1184*VLOOKUP($B1184,'4. CÀI ĐẶT'!$A$2:$H$32,7,FALSE)))</f>
        <v/>
      </c>
    </row>
    <row r="1185">
      <c r="A1185" s="8" t="n"/>
      <c r="B1185" s="9" t="n"/>
      <c r="C1185" s="65" t="n"/>
      <c r="D1185" s="9" t="n"/>
      <c r="E1185" s="66">
        <f>IF($B1185="","",IF(LEFT($B1185,1)="━","⚠️ Chọn hạng mục cụ thể",$C1185*VLOOKUP($B1185,'4. CÀI ĐẶT'!$A$2:$H$32,2,FALSE)))</f>
        <v/>
      </c>
      <c r="F1185" s="67">
        <f>IF($B1185="",0,IF(LEFT($B1185,1)="━",0,$C1185*VLOOKUP($B1185,'4. CÀI ĐẶT'!$A$2:$H$32,3,FALSE)))</f>
        <v/>
      </c>
      <c r="G1185" s="67">
        <f>IF($B1185="",0,IF(LEFT($B1185,1)="━",0,$C1185*VLOOKUP($B1185,'4. CÀI ĐẶT'!$A$2:$H$32,4,FALSE)))</f>
        <v/>
      </c>
      <c r="H1185" s="67">
        <f>IF($B1185="",0,IF(LEFT($B1185,1)="━",0,$C1185*VLOOKUP($B1185,'4. CÀI ĐẶT'!$A$2:$H$32,5,FALSE)))</f>
        <v/>
      </c>
      <c r="I1185">
        <f>IF($B1185="","",IF(LEFT($B1185,1)="━","",VLOOKUP($B1185,'4. CÀI ĐẶT'!$A$2:$H$32,6,FALSE)))</f>
        <v/>
      </c>
      <c r="J1185" s="13">
        <f>IF($A1185="","",EOMONTH($A1185,0))</f>
        <v/>
      </c>
      <c r="K1185" s="67">
        <f>IF($B1185="",0,IF(LEFT($B1185,1)="━",0,$C1185*VLOOKUP($B1185,'4. CÀI ĐẶT'!$A$2:$H$32,7,FALSE)))</f>
        <v/>
      </c>
    </row>
    <row r="1186">
      <c r="A1186" s="8" t="n"/>
      <c r="B1186" s="9" t="n"/>
      <c r="C1186" s="65" t="n"/>
      <c r="D1186" s="9" t="n"/>
      <c r="E1186" s="66">
        <f>IF($B1186="","",IF(LEFT($B1186,1)="━","⚠️ Chọn hạng mục cụ thể",$C1186*VLOOKUP($B1186,'4. CÀI ĐẶT'!$A$2:$H$32,2,FALSE)))</f>
        <v/>
      </c>
      <c r="F1186" s="67">
        <f>IF($B1186="",0,IF(LEFT($B1186,1)="━",0,$C1186*VLOOKUP($B1186,'4. CÀI ĐẶT'!$A$2:$H$32,3,FALSE)))</f>
        <v/>
      </c>
      <c r="G1186" s="67">
        <f>IF($B1186="",0,IF(LEFT($B1186,1)="━",0,$C1186*VLOOKUP($B1186,'4. CÀI ĐẶT'!$A$2:$H$32,4,FALSE)))</f>
        <v/>
      </c>
      <c r="H1186" s="67">
        <f>IF($B1186="",0,IF(LEFT($B1186,1)="━",0,$C1186*VLOOKUP($B1186,'4. CÀI ĐẶT'!$A$2:$H$32,5,FALSE)))</f>
        <v/>
      </c>
      <c r="I1186">
        <f>IF($B1186="","",IF(LEFT($B1186,1)="━","",VLOOKUP($B1186,'4. CÀI ĐẶT'!$A$2:$H$32,6,FALSE)))</f>
        <v/>
      </c>
      <c r="J1186" s="13">
        <f>IF($A1186="","",EOMONTH($A1186,0))</f>
        <v/>
      </c>
      <c r="K1186" s="67">
        <f>IF($B1186="",0,IF(LEFT($B1186,1)="━",0,$C1186*VLOOKUP($B1186,'4. CÀI ĐẶT'!$A$2:$H$32,7,FALSE)))</f>
        <v/>
      </c>
    </row>
    <row r="1187">
      <c r="A1187" s="8" t="n"/>
      <c r="B1187" s="9" t="n"/>
      <c r="C1187" s="65" t="n"/>
      <c r="D1187" s="9" t="n"/>
      <c r="E1187" s="66">
        <f>IF($B1187="","",IF(LEFT($B1187,1)="━","⚠️ Chọn hạng mục cụ thể",$C1187*VLOOKUP($B1187,'4. CÀI ĐẶT'!$A$2:$H$32,2,FALSE)))</f>
        <v/>
      </c>
      <c r="F1187" s="67">
        <f>IF($B1187="",0,IF(LEFT($B1187,1)="━",0,$C1187*VLOOKUP($B1187,'4. CÀI ĐẶT'!$A$2:$H$32,3,FALSE)))</f>
        <v/>
      </c>
      <c r="G1187" s="67">
        <f>IF($B1187="",0,IF(LEFT($B1187,1)="━",0,$C1187*VLOOKUP($B1187,'4. CÀI ĐẶT'!$A$2:$H$32,4,FALSE)))</f>
        <v/>
      </c>
      <c r="H1187" s="67">
        <f>IF($B1187="",0,IF(LEFT($B1187,1)="━",0,$C1187*VLOOKUP($B1187,'4. CÀI ĐẶT'!$A$2:$H$32,5,FALSE)))</f>
        <v/>
      </c>
      <c r="I1187">
        <f>IF($B1187="","",IF(LEFT($B1187,1)="━","",VLOOKUP($B1187,'4. CÀI ĐẶT'!$A$2:$H$32,6,FALSE)))</f>
        <v/>
      </c>
      <c r="J1187" s="13">
        <f>IF($A1187="","",EOMONTH($A1187,0))</f>
        <v/>
      </c>
      <c r="K1187" s="67">
        <f>IF($B1187="",0,IF(LEFT($B1187,1)="━",0,$C1187*VLOOKUP($B1187,'4. CÀI ĐẶT'!$A$2:$H$32,7,FALSE)))</f>
        <v/>
      </c>
    </row>
    <row r="1188">
      <c r="A1188" s="8" t="n"/>
      <c r="B1188" s="9" t="n"/>
      <c r="C1188" s="65" t="n"/>
      <c r="D1188" s="9" t="n"/>
      <c r="E1188" s="66">
        <f>IF($B1188="","",IF(LEFT($B1188,1)="━","⚠️ Chọn hạng mục cụ thể",$C1188*VLOOKUP($B1188,'4. CÀI ĐẶT'!$A$2:$H$32,2,FALSE)))</f>
        <v/>
      </c>
      <c r="F1188" s="67">
        <f>IF($B1188="",0,IF(LEFT($B1188,1)="━",0,$C1188*VLOOKUP($B1188,'4. CÀI ĐẶT'!$A$2:$H$32,3,FALSE)))</f>
        <v/>
      </c>
      <c r="G1188" s="67">
        <f>IF($B1188="",0,IF(LEFT($B1188,1)="━",0,$C1188*VLOOKUP($B1188,'4. CÀI ĐẶT'!$A$2:$H$32,4,FALSE)))</f>
        <v/>
      </c>
      <c r="H1188" s="67">
        <f>IF($B1188="",0,IF(LEFT($B1188,1)="━",0,$C1188*VLOOKUP($B1188,'4. CÀI ĐẶT'!$A$2:$H$32,5,FALSE)))</f>
        <v/>
      </c>
      <c r="I1188">
        <f>IF($B1188="","",IF(LEFT($B1188,1)="━","",VLOOKUP($B1188,'4. CÀI ĐẶT'!$A$2:$H$32,6,FALSE)))</f>
        <v/>
      </c>
      <c r="J1188" s="13">
        <f>IF($A1188="","",EOMONTH($A1188,0))</f>
        <v/>
      </c>
      <c r="K1188" s="67">
        <f>IF($B1188="",0,IF(LEFT($B1188,1)="━",0,$C1188*VLOOKUP($B1188,'4. CÀI ĐẶT'!$A$2:$H$32,7,FALSE)))</f>
        <v/>
      </c>
    </row>
    <row r="1189">
      <c r="A1189" s="8" t="n"/>
      <c r="B1189" s="9" t="n"/>
      <c r="C1189" s="65" t="n"/>
      <c r="D1189" s="9" t="n"/>
      <c r="E1189" s="66">
        <f>IF($B1189="","",IF(LEFT($B1189,1)="━","⚠️ Chọn hạng mục cụ thể",$C1189*VLOOKUP($B1189,'4. CÀI ĐẶT'!$A$2:$H$32,2,FALSE)))</f>
        <v/>
      </c>
      <c r="F1189" s="67">
        <f>IF($B1189="",0,IF(LEFT($B1189,1)="━",0,$C1189*VLOOKUP($B1189,'4. CÀI ĐẶT'!$A$2:$H$32,3,FALSE)))</f>
        <v/>
      </c>
      <c r="G1189" s="67">
        <f>IF($B1189="",0,IF(LEFT($B1189,1)="━",0,$C1189*VLOOKUP($B1189,'4. CÀI ĐẶT'!$A$2:$H$32,4,FALSE)))</f>
        <v/>
      </c>
      <c r="H1189" s="67">
        <f>IF($B1189="",0,IF(LEFT($B1189,1)="━",0,$C1189*VLOOKUP($B1189,'4. CÀI ĐẶT'!$A$2:$H$32,5,FALSE)))</f>
        <v/>
      </c>
      <c r="I1189">
        <f>IF($B1189="","",IF(LEFT($B1189,1)="━","",VLOOKUP($B1189,'4. CÀI ĐẶT'!$A$2:$H$32,6,FALSE)))</f>
        <v/>
      </c>
      <c r="J1189" s="13">
        <f>IF($A1189="","",EOMONTH($A1189,0))</f>
        <v/>
      </c>
      <c r="K1189" s="67">
        <f>IF($B1189="",0,IF(LEFT($B1189,1)="━",0,$C1189*VLOOKUP($B1189,'4. CÀI ĐẶT'!$A$2:$H$32,7,FALSE)))</f>
        <v/>
      </c>
    </row>
    <row r="1190">
      <c r="A1190" s="8" t="n"/>
      <c r="B1190" s="9" t="n"/>
      <c r="C1190" s="65" t="n"/>
      <c r="D1190" s="9" t="n"/>
      <c r="E1190" s="66">
        <f>IF($B1190="","",IF(LEFT($B1190,1)="━","⚠️ Chọn hạng mục cụ thể",$C1190*VLOOKUP($B1190,'4. CÀI ĐẶT'!$A$2:$H$32,2,FALSE)))</f>
        <v/>
      </c>
      <c r="F1190" s="67">
        <f>IF($B1190="",0,IF(LEFT($B1190,1)="━",0,$C1190*VLOOKUP($B1190,'4. CÀI ĐẶT'!$A$2:$H$32,3,FALSE)))</f>
        <v/>
      </c>
      <c r="G1190" s="67">
        <f>IF($B1190="",0,IF(LEFT($B1190,1)="━",0,$C1190*VLOOKUP($B1190,'4. CÀI ĐẶT'!$A$2:$H$32,4,FALSE)))</f>
        <v/>
      </c>
      <c r="H1190" s="67">
        <f>IF($B1190="",0,IF(LEFT($B1190,1)="━",0,$C1190*VLOOKUP($B1190,'4. CÀI ĐẶT'!$A$2:$H$32,5,FALSE)))</f>
        <v/>
      </c>
      <c r="I1190">
        <f>IF($B1190="","",IF(LEFT($B1190,1)="━","",VLOOKUP($B1190,'4. CÀI ĐẶT'!$A$2:$H$32,6,FALSE)))</f>
        <v/>
      </c>
      <c r="J1190" s="13">
        <f>IF($A1190="","",EOMONTH($A1190,0))</f>
        <v/>
      </c>
      <c r="K1190" s="67">
        <f>IF($B1190="",0,IF(LEFT($B1190,1)="━",0,$C1190*VLOOKUP($B1190,'4. CÀI ĐẶT'!$A$2:$H$32,7,FALSE)))</f>
        <v/>
      </c>
    </row>
    <row r="1191">
      <c r="A1191" s="8" t="n"/>
      <c r="B1191" s="9" t="n"/>
      <c r="C1191" s="65" t="n"/>
      <c r="D1191" s="9" t="n"/>
      <c r="E1191" s="66">
        <f>IF($B1191="","",IF(LEFT($B1191,1)="━","⚠️ Chọn hạng mục cụ thể",$C1191*VLOOKUP($B1191,'4. CÀI ĐẶT'!$A$2:$H$32,2,FALSE)))</f>
        <v/>
      </c>
      <c r="F1191" s="67">
        <f>IF($B1191="",0,IF(LEFT($B1191,1)="━",0,$C1191*VLOOKUP($B1191,'4. CÀI ĐẶT'!$A$2:$H$32,3,FALSE)))</f>
        <v/>
      </c>
      <c r="G1191" s="67">
        <f>IF($B1191="",0,IF(LEFT($B1191,1)="━",0,$C1191*VLOOKUP($B1191,'4. CÀI ĐẶT'!$A$2:$H$32,4,FALSE)))</f>
        <v/>
      </c>
      <c r="H1191" s="67">
        <f>IF($B1191="",0,IF(LEFT($B1191,1)="━",0,$C1191*VLOOKUP($B1191,'4. CÀI ĐẶT'!$A$2:$H$32,5,FALSE)))</f>
        <v/>
      </c>
      <c r="I1191">
        <f>IF($B1191="","",IF(LEFT($B1191,1)="━","",VLOOKUP($B1191,'4. CÀI ĐẶT'!$A$2:$H$32,6,FALSE)))</f>
        <v/>
      </c>
      <c r="J1191" s="13">
        <f>IF($A1191="","",EOMONTH($A1191,0))</f>
        <v/>
      </c>
      <c r="K1191" s="67">
        <f>IF($B1191="",0,IF(LEFT($B1191,1)="━",0,$C1191*VLOOKUP($B1191,'4. CÀI ĐẶT'!$A$2:$H$32,7,FALSE)))</f>
        <v/>
      </c>
    </row>
    <row r="1192">
      <c r="A1192" s="8" t="n"/>
      <c r="B1192" s="9" t="n"/>
      <c r="C1192" s="65" t="n"/>
      <c r="D1192" s="9" t="n"/>
      <c r="E1192" s="66">
        <f>IF($B1192="","",IF(LEFT($B1192,1)="━","⚠️ Chọn hạng mục cụ thể",$C1192*VLOOKUP($B1192,'4. CÀI ĐẶT'!$A$2:$H$32,2,FALSE)))</f>
        <v/>
      </c>
      <c r="F1192" s="67">
        <f>IF($B1192="",0,IF(LEFT($B1192,1)="━",0,$C1192*VLOOKUP($B1192,'4. CÀI ĐẶT'!$A$2:$H$32,3,FALSE)))</f>
        <v/>
      </c>
      <c r="G1192" s="67">
        <f>IF($B1192="",0,IF(LEFT($B1192,1)="━",0,$C1192*VLOOKUP($B1192,'4. CÀI ĐẶT'!$A$2:$H$32,4,FALSE)))</f>
        <v/>
      </c>
      <c r="H1192" s="67">
        <f>IF($B1192="",0,IF(LEFT($B1192,1)="━",0,$C1192*VLOOKUP($B1192,'4. CÀI ĐẶT'!$A$2:$H$32,5,FALSE)))</f>
        <v/>
      </c>
      <c r="I1192">
        <f>IF($B1192="","",IF(LEFT($B1192,1)="━","",VLOOKUP($B1192,'4. CÀI ĐẶT'!$A$2:$H$32,6,FALSE)))</f>
        <v/>
      </c>
      <c r="J1192" s="13">
        <f>IF($A1192="","",EOMONTH($A1192,0))</f>
        <v/>
      </c>
      <c r="K1192" s="67">
        <f>IF($B1192="",0,IF(LEFT($B1192,1)="━",0,$C1192*VLOOKUP($B1192,'4. CÀI ĐẶT'!$A$2:$H$32,7,FALSE)))</f>
        <v/>
      </c>
    </row>
    <row r="1193">
      <c r="A1193" s="8" t="n"/>
      <c r="B1193" s="9" t="n"/>
      <c r="C1193" s="65" t="n"/>
      <c r="D1193" s="9" t="n"/>
      <c r="E1193" s="66">
        <f>IF($B1193="","",IF(LEFT($B1193,1)="━","⚠️ Chọn hạng mục cụ thể",$C1193*VLOOKUP($B1193,'4. CÀI ĐẶT'!$A$2:$H$32,2,FALSE)))</f>
        <v/>
      </c>
      <c r="F1193" s="67">
        <f>IF($B1193="",0,IF(LEFT($B1193,1)="━",0,$C1193*VLOOKUP($B1193,'4. CÀI ĐẶT'!$A$2:$H$32,3,FALSE)))</f>
        <v/>
      </c>
      <c r="G1193" s="67">
        <f>IF($B1193="",0,IF(LEFT($B1193,1)="━",0,$C1193*VLOOKUP($B1193,'4. CÀI ĐẶT'!$A$2:$H$32,4,FALSE)))</f>
        <v/>
      </c>
      <c r="H1193" s="67">
        <f>IF($B1193="",0,IF(LEFT($B1193,1)="━",0,$C1193*VLOOKUP($B1193,'4. CÀI ĐẶT'!$A$2:$H$32,5,FALSE)))</f>
        <v/>
      </c>
      <c r="I1193">
        <f>IF($B1193="","",IF(LEFT($B1193,1)="━","",VLOOKUP($B1193,'4. CÀI ĐẶT'!$A$2:$H$32,6,FALSE)))</f>
        <v/>
      </c>
      <c r="J1193" s="13">
        <f>IF($A1193="","",EOMONTH($A1193,0))</f>
        <v/>
      </c>
      <c r="K1193" s="67">
        <f>IF($B1193="",0,IF(LEFT($B1193,1)="━",0,$C1193*VLOOKUP($B1193,'4. CÀI ĐẶT'!$A$2:$H$32,7,FALSE)))</f>
        <v/>
      </c>
    </row>
    <row r="1194">
      <c r="A1194" s="8" t="n"/>
      <c r="B1194" s="9" t="n"/>
      <c r="C1194" s="65" t="n"/>
      <c r="D1194" s="9" t="n"/>
      <c r="E1194" s="66">
        <f>IF($B1194="","",IF(LEFT($B1194,1)="━","⚠️ Chọn hạng mục cụ thể",$C1194*VLOOKUP($B1194,'4. CÀI ĐẶT'!$A$2:$H$32,2,FALSE)))</f>
        <v/>
      </c>
      <c r="F1194" s="67">
        <f>IF($B1194="",0,IF(LEFT($B1194,1)="━",0,$C1194*VLOOKUP($B1194,'4. CÀI ĐẶT'!$A$2:$H$32,3,FALSE)))</f>
        <v/>
      </c>
      <c r="G1194" s="67">
        <f>IF($B1194="",0,IF(LEFT($B1194,1)="━",0,$C1194*VLOOKUP($B1194,'4. CÀI ĐẶT'!$A$2:$H$32,4,FALSE)))</f>
        <v/>
      </c>
      <c r="H1194" s="67">
        <f>IF($B1194="",0,IF(LEFT($B1194,1)="━",0,$C1194*VLOOKUP($B1194,'4. CÀI ĐẶT'!$A$2:$H$32,5,FALSE)))</f>
        <v/>
      </c>
      <c r="I1194">
        <f>IF($B1194="","",IF(LEFT($B1194,1)="━","",VLOOKUP($B1194,'4. CÀI ĐẶT'!$A$2:$H$32,6,FALSE)))</f>
        <v/>
      </c>
      <c r="J1194" s="13">
        <f>IF($A1194="","",EOMONTH($A1194,0))</f>
        <v/>
      </c>
      <c r="K1194" s="67">
        <f>IF($B1194="",0,IF(LEFT($B1194,1)="━",0,$C1194*VLOOKUP($B1194,'4. CÀI ĐẶT'!$A$2:$H$32,7,FALSE)))</f>
        <v/>
      </c>
    </row>
    <row r="1195">
      <c r="A1195" s="8" t="n"/>
      <c r="B1195" s="9" t="n"/>
      <c r="C1195" s="65" t="n"/>
      <c r="D1195" s="9" t="n"/>
      <c r="E1195" s="66">
        <f>IF($B1195="","",IF(LEFT($B1195,1)="━","⚠️ Chọn hạng mục cụ thể",$C1195*VLOOKUP($B1195,'4. CÀI ĐẶT'!$A$2:$H$32,2,FALSE)))</f>
        <v/>
      </c>
      <c r="F1195" s="67">
        <f>IF($B1195="",0,IF(LEFT($B1195,1)="━",0,$C1195*VLOOKUP($B1195,'4. CÀI ĐẶT'!$A$2:$H$32,3,FALSE)))</f>
        <v/>
      </c>
      <c r="G1195" s="67">
        <f>IF($B1195="",0,IF(LEFT($B1195,1)="━",0,$C1195*VLOOKUP($B1195,'4. CÀI ĐẶT'!$A$2:$H$32,4,FALSE)))</f>
        <v/>
      </c>
      <c r="H1195" s="67">
        <f>IF($B1195="",0,IF(LEFT($B1195,1)="━",0,$C1195*VLOOKUP($B1195,'4. CÀI ĐẶT'!$A$2:$H$32,5,FALSE)))</f>
        <v/>
      </c>
      <c r="I1195">
        <f>IF($B1195="","",IF(LEFT($B1195,1)="━","",VLOOKUP($B1195,'4. CÀI ĐẶT'!$A$2:$H$32,6,FALSE)))</f>
        <v/>
      </c>
      <c r="J1195" s="13">
        <f>IF($A1195="","",EOMONTH($A1195,0))</f>
        <v/>
      </c>
      <c r="K1195" s="67">
        <f>IF($B1195="",0,IF(LEFT($B1195,1)="━",0,$C1195*VLOOKUP($B1195,'4. CÀI ĐẶT'!$A$2:$H$32,7,FALSE)))</f>
        <v/>
      </c>
    </row>
    <row r="1196">
      <c r="A1196" s="8" t="n"/>
      <c r="B1196" s="9" t="n"/>
      <c r="C1196" s="65" t="n"/>
      <c r="D1196" s="9" t="n"/>
      <c r="E1196" s="66">
        <f>IF($B1196="","",IF(LEFT($B1196,1)="━","⚠️ Chọn hạng mục cụ thể",$C1196*VLOOKUP($B1196,'4. CÀI ĐẶT'!$A$2:$H$32,2,FALSE)))</f>
        <v/>
      </c>
      <c r="F1196" s="67">
        <f>IF($B1196="",0,IF(LEFT($B1196,1)="━",0,$C1196*VLOOKUP($B1196,'4. CÀI ĐẶT'!$A$2:$H$32,3,FALSE)))</f>
        <v/>
      </c>
      <c r="G1196" s="67">
        <f>IF($B1196="",0,IF(LEFT($B1196,1)="━",0,$C1196*VLOOKUP($B1196,'4. CÀI ĐẶT'!$A$2:$H$32,4,FALSE)))</f>
        <v/>
      </c>
      <c r="H1196" s="67">
        <f>IF($B1196="",0,IF(LEFT($B1196,1)="━",0,$C1196*VLOOKUP($B1196,'4. CÀI ĐẶT'!$A$2:$H$32,5,FALSE)))</f>
        <v/>
      </c>
      <c r="I1196">
        <f>IF($B1196="","",IF(LEFT($B1196,1)="━","",VLOOKUP($B1196,'4. CÀI ĐẶT'!$A$2:$H$32,6,FALSE)))</f>
        <v/>
      </c>
      <c r="J1196" s="13">
        <f>IF($A1196="","",EOMONTH($A1196,0))</f>
        <v/>
      </c>
      <c r="K1196" s="67">
        <f>IF($B1196="",0,IF(LEFT($B1196,1)="━",0,$C1196*VLOOKUP($B1196,'4. CÀI ĐẶT'!$A$2:$H$32,7,FALSE)))</f>
        <v/>
      </c>
    </row>
    <row r="1197">
      <c r="A1197" s="8" t="n"/>
      <c r="B1197" s="9" t="n"/>
      <c r="C1197" s="65" t="n"/>
      <c r="D1197" s="9" t="n"/>
      <c r="E1197" s="66">
        <f>IF($B1197="","",IF(LEFT($B1197,1)="━","⚠️ Chọn hạng mục cụ thể",$C1197*VLOOKUP($B1197,'4. CÀI ĐẶT'!$A$2:$H$32,2,FALSE)))</f>
        <v/>
      </c>
      <c r="F1197" s="67">
        <f>IF($B1197="",0,IF(LEFT($B1197,1)="━",0,$C1197*VLOOKUP($B1197,'4. CÀI ĐẶT'!$A$2:$H$32,3,FALSE)))</f>
        <v/>
      </c>
      <c r="G1197" s="67">
        <f>IF($B1197="",0,IF(LEFT($B1197,1)="━",0,$C1197*VLOOKUP($B1197,'4. CÀI ĐẶT'!$A$2:$H$32,4,FALSE)))</f>
        <v/>
      </c>
      <c r="H1197" s="67">
        <f>IF($B1197="",0,IF(LEFT($B1197,1)="━",0,$C1197*VLOOKUP($B1197,'4. CÀI ĐẶT'!$A$2:$H$32,5,FALSE)))</f>
        <v/>
      </c>
      <c r="I1197">
        <f>IF($B1197="","",IF(LEFT($B1197,1)="━","",VLOOKUP($B1197,'4. CÀI ĐẶT'!$A$2:$H$32,6,FALSE)))</f>
        <v/>
      </c>
      <c r="J1197" s="13">
        <f>IF($A1197="","",EOMONTH($A1197,0))</f>
        <v/>
      </c>
      <c r="K1197" s="67">
        <f>IF($B1197="",0,IF(LEFT($B1197,1)="━",0,$C1197*VLOOKUP($B1197,'4. CÀI ĐẶT'!$A$2:$H$32,7,FALSE)))</f>
        <v/>
      </c>
    </row>
    <row r="1198">
      <c r="A1198" s="8" t="n"/>
      <c r="B1198" s="9" t="n"/>
      <c r="C1198" s="65" t="n"/>
      <c r="D1198" s="9" t="n"/>
      <c r="E1198" s="66">
        <f>IF($B1198="","",IF(LEFT($B1198,1)="━","⚠️ Chọn hạng mục cụ thể",$C1198*VLOOKUP($B1198,'4. CÀI ĐẶT'!$A$2:$H$32,2,FALSE)))</f>
        <v/>
      </c>
      <c r="F1198" s="67">
        <f>IF($B1198="",0,IF(LEFT($B1198,1)="━",0,$C1198*VLOOKUP($B1198,'4. CÀI ĐẶT'!$A$2:$H$32,3,FALSE)))</f>
        <v/>
      </c>
      <c r="G1198" s="67">
        <f>IF($B1198="",0,IF(LEFT($B1198,1)="━",0,$C1198*VLOOKUP($B1198,'4. CÀI ĐẶT'!$A$2:$H$32,4,FALSE)))</f>
        <v/>
      </c>
      <c r="H1198" s="67">
        <f>IF($B1198="",0,IF(LEFT($B1198,1)="━",0,$C1198*VLOOKUP($B1198,'4. CÀI ĐẶT'!$A$2:$H$32,5,FALSE)))</f>
        <v/>
      </c>
      <c r="I1198">
        <f>IF($B1198="","",IF(LEFT($B1198,1)="━","",VLOOKUP($B1198,'4. CÀI ĐẶT'!$A$2:$H$32,6,FALSE)))</f>
        <v/>
      </c>
      <c r="J1198" s="13">
        <f>IF($A1198="","",EOMONTH($A1198,0))</f>
        <v/>
      </c>
      <c r="K1198" s="67">
        <f>IF($B1198="",0,IF(LEFT($B1198,1)="━",0,$C1198*VLOOKUP($B1198,'4. CÀI ĐẶT'!$A$2:$H$32,7,FALSE)))</f>
        <v/>
      </c>
    </row>
    <row r="1199">
      <c r="A1199" s="8" t="n"/>
      <c r="B1199" s="9" t="n"/>
      <c r="C1199" s="65" t="n"/>
      <c r="D1199" s="9" t="n"/>
      <c r="E1199" s="66">
        <f>IF($B1199="","",IF(LEFT($B1199,1)="━","⚠️ Chọn hạng mục cụ thể",$C1199*VLOOKUP($B1199,'4. CÀI ĐẶT'!$A$2:$H$32,2,FALSE)))</f>
        <v/>
      </c>
      <c r="F1199" s="67">
        <f>IF($B1199="",0,IF(LEFT($B1199,1)="━",0,$C1199*VLOOKUP($B1199,'4. CÀI ĐẶT'!$A$2:$H$32,3,FALSE)))</f>
        <v/>
      </c>
      <c r="G1199" s="67">
        <f>IF($B1199="",0,IF(LEFT($B1199,1)="━",0,$C1199*VLOOKUP($B1199,'4. CÀI ĐẶT'!$A$2:$H$32,4,FALSE)))</f>
        <v/>
      </c>
      <c r="H1199" s="67">
        <f>IF($B1199="",0,IF(LEFT($B1199,1)="━",0,$C1199*VLOOKUP($B1199,'4. CÀI ĐẶT'!$A$2:$H$32,5,FALSE)))</f>
        <v/>
      </c>
      <c r="I1199">
        <f>IF($B1199="","",IF(LEFT($B1199,1)="━","",VLOOKUP($B1199,'4. CÀI ĐẶT'!$A$2:$H$32,6,FALSE)))</f>
        <v/>
      </c>
      <c r="J1199" s="13">
        <f>IF($A1199="","",EOMONTH($A1199,0))</f>
        <v/>
      </c>
      <c r="K1199" s="67">
        <f>IF($B1199="",0,IF(LEFT($B1199,1)="━",0,$C1199*VLOOKUP($B1199,'4. CÀI ĐẶT'!$A$2:$H$32,7,FALSE)))</f>
        <v/>
      </c>
    </row>
    <row r="1200">
      <c r="A1200" s="8" t="n"/>
      <c r="B1200" s="9" t="n"/>
      <c r="C1200" s="65" t="n"/>
      <c r="D1200" s="9" t="n"/>
      <c r="E1200" s="66">
        <f>IF($B1200="","",IF(LEFT($B1200,1)="━","⚠️ Chọn hạng mục cụ thể",$C1200*VLOOKUP($B1200,'4. CÀI ĐẶT'!$A$2:$H$32,2,FALSE)))</f>
        <v/>
      </c>
      <c r="F1200" s="67">
        <f>IF($B1200="",0,IF(LEFT($B1200,1)="━",0,$C1200*VLOOKUP($B1200,'4. CÀI ĐẶT'!$A$2:$H$32,3,FALSE)))</f>
        <v/>
      </c>
      <c r="G1200" s="67">
        <f>IF($B1200="",0,IF(LEFT($B1200,1)="━",0,$C1200*VLOOKUP($B1200,'4. CÀI ĐẶT'!$A$2:$H$32,4,FALSE)))</f>
        <v/>
      </c>
      <c r="H1200" s="67">
        <f>IF($B1200="",0,IF(LEFT($B1200,1)="━",0,$C1200*VLOOKUP($B1200,'4. CÀI ĐẶT'!$A$2:$H$32,5,FALSE)))</f>
        <v/>
      </c>
      <c r="I1200">
        <f>IF($B1200="","",IF(LEFT($B1200,1)="━","",VLOOKUP($B1200,'4. CÀI ĐẶT'!$A$2:$H$32,6,FALSE)))</f>
        <v/>
      </c>
      <c r="J1200" s="13">
        <f>IF($A1200="","",EOMONTH($A1200,0))</f>
        <v/>
      </c>
      <c r="K1200" s="67">
        <f>IF($B1200="",0,IF(LEFT($B1200,1)="━",0,$C1200*VLOOKUP($B1200,'4. CÀI ĐẶT'!$A$2:$H$32,7,FALSE)))</f>
        <v/>
      </c>
    </row>
    <row r="1201">
      <c r="A1201" s="8" t="n"/>
      <c r="B1201" s="9" t="n"/>
      <c r="C1201" s="65" t="n"/>
      <c r="D1201" s="9" t="n"/>
      <c r="E1201" s="66">
        <f>IF($B1201="","",IF(LEFT($B1201,1)="━","⚠️ Chọn hạng mục cụ thể",$C1201*VLOOKUP($B1201,'4. CÀI ĐẶT'!$A$2:$H$32,2,FALSE)))</f>
        <v/>
      </c>
      <c r="F1201" s="67">
        <f>IF($B1201="",0,IF(LEFT($B1201,1)="━",0,$C1201*VLOOKUP($B1201,'4. CÀI ĐẶT'!$A$2:$H$32,3,FALSE)))</f>
        <v/>
      </c>
      <c r="G1201" s="67">
        <f>IF($B1201="",0,IF(LEFT($B1201,1)="━",0,$C1201*VLOOKUP($B1201,'4. CÀI ĐẶT'!$A$2:$H$32,4,FALSE)))</f>
        <v/>
      </c>
      <c r="H1201" s="67">
        <f>IF($B1201="",0,IF(LEFT($B1201,1)="━",0,$C1201*VLOOKUP($B1201,'4. CÀI ĐẶT'!$A$2:$H$32,5,FALSE)))</f>
        <v/>
      </c>
      <c r="I1201">
        <f>IF($B1201="","",IF(LEFT($B1201,1)="━","",VLOOKUP($B1201,'4. CÀI ĐẶT'!$A$2:$H$32,6,FALSE)))</f>
        <v/>
      </c>
      <c r="J1201" s="13">
        <f>IF($A1201="","",EOMONTH($A1201,0))</f>
        <v/>
      </c>
      <c r="K1201" s="67">
        <f>IF($B1201="",0,IF(LEFT($B1201,1)="━",0,$C1201*VLOOKUP($B1201,'4. CÀI ĐẶT'!$A$2:$H$32,7,FALSE)))</f>
        <v/>
      </c>
    </row>
    <row r="1202">
      <c r="A1202" s="8" t="n"/>
      <c r="B1202" s="9" t="n"/>
      <c r="C1202" s="65" t="n"/>
      <c r="D1202" s="9" t="n"/>
      <c r="E1202" s="66">
        <f>IF($B1202="","",IF(LEFT($B1202,1)="━","⚠️ Chọn hạng mục cụ thể",$C1202*VLOOKUP($B1202,'4. CÀI ĐẶT'!$A$2:$H$32,2,FALSE)))</f>
        <v/>
      </c>
      <c r="F1202" s="67">
        <f>IF($B1202="",0,IF(LEFT($B1202,1)="━",0,$C1202*VLOOKUP($B1202,'4. CÀI ĐẶT'!$A$2:$H$32,3,FALSE)))</f>
        <v/>
      </c>
      <c r="G1202" s="67">
        <f>IF($B1202="",0,IF(LEFT($B1202,1)="━",0,$C1202*VLOOKUP($B1202,'4. CÀI ĐẶT'!$A$2:$H$32,4,FALSE)))</f>
        <v/>
      </c>
      <c r="H1202" s="67">
        <f>IF($B1202="",0,IF(LEFT($B1202,1)="━",0,$C1202*VLOOKUP($B1202,'4. CÀI ĐẶT'!$A$2:$H$32,5,FALSE)))</f>
        <v/>
      </c>
      <c r="I1202">
        <f>IF($B1202="","",IF(LEFT($B1202,1)="━","",VLOOKUP($B1202,'4. CÀI ĐẶT'!$A$2:$H$32,6,FALSE)))</f>
        <v/>
      </c>
      <c r="J1202" s="13">
        <f>IF($A1202="","",EOMONTH($A1202,0))</f>
        <v/>
      </c>
      <c r="K1202" s="67">
        <f>IF($B1202="",0,IF(LEFT($B1202,1)="━",0,$C1202*VLOOKUP($B1202,'4. CÀI ĐẶT'!$A$2:$H$32,7,FALSE)))</f>
        <v/>
      </c>
    </row>
    <row r="1203">
      <c r="A1203" s="8" t="n"/>
      <c r="B1203" s="9" t="n"/>
      <c r="C1203" s="65" t="n"/>
      <c r="D1203" s="9" t="n"/>
      <c r="E1203" s="66">
        <f>IF($B1203="","",IF(LEFT($B1203,1)="━","⚠️ Chọn hạng mục cụ thể",$C1203*VLOOKUP($B1203,'4. CÀI ĐẶT'!$A$2:$H$32,2,FALSE)))</f>
        <v/>
      </c>
      <c r="F1203" s="67">
        <f>IF($B1203="",0,IF(LEFT($B1203,1)="━",0,$C1203*VLOOKUP($B1203,'4. CÀI ĐẶT'!$A$2:$H$32,3,FALSE)))</f>
        <v/>
      </c>
      <c r="G1203" s="67">
        <f>IF($B1203="",0,IF(LEFT($B1203,1)="━",0,$C1203*VLOOKUP($B1203,'4. CÀI ĐẶT'!$A$2:$H$32,4,FALSE)))</f>
        <v/>
      </c>
      <c r="H1203" s="67">
        <f>IF($B1203="",0,IF(LEFT($B1203,1)="━",0,$C1203*VLOOKUP($B1203,'4. CÀI ĐẶT'!$A$2:$H$32,5,FALSE)))</f>
        <v/>
      </c>
      <c r="I1203">
        <f>IF($B1203="","",IF(LEFT($B1203,1)="━","",VLOOKUP($B1203,'4. CÀI ĐẶT'!$A$2:$H$32,6,FALSE)))</f>
        <v/>
      </c>
      <c r="J1203" s="13">
        <f>IF($A1203="","",EOMONTH($A1203,0))</f>
        <v/>
      </c>
      <c r="K1203" s="67">
        <f>IF($B1203="",0,IF(LEFT($B1203,1)="━",0,$C1203*VLOOKUP($B1203,'4. CÀI ĐẶT'!$A$2:$H$32,7,FALSE)))</f>
        <v/>
      </c>
    </row>
    <row r="1204">
      <c r="A1204" s="8" t="n"/>
      <c r="B1204" s="9" t="n"/>
      <c r="C1204" s="65" t="n"/>
      <c r="D1204" s="9" t="n"/>
      <c r="E1204" s="66">
        <f>IF($B1204="","",IF(LEFT($B1204,1)="━","⚠️ Chọn hạng mục cụ thể",$C1204*VLOOKUP($B1204,'4. CÀI ĐẶT'!$A$2:$H$32,2,FALSE)))</f>
        <v/>
      </c>
      <c r="F1204" s="67">
        <f>IF($B1204="",0,IF(LEFT($B1204,1)="━",0,$C1204*VLOOKUP($B1204,'4. CÀI ĐẶT'!$A$2:$H$32,3,FALSE)))</f>
        <v/>
      </c>
      <c r="G1204" s="67">
        <f>IF($B1204="",0,IF(LEFT($B1204,1)="━",0,$C1204*VLOOKUP($B1204,'4. CÀI ĐẶT'!$A$2:$H$32,4,FALSE)))</f>
        <v/>
      </c>
      <c r="H1204" s="67">
        <f>IF($B1204="",0,IF(LEFT($B1204,1)="━",0,$C1204*VLOOKUP($B1204,'4. CÀI ĐẶT'!$A$2:$H$32,5,FALSE)))</f>
        <v/>
      </c>
      <c r="I1204">
        <f>IF($B1204="","",IF(LEFT($B1204,1)="━","",VLOOKUP($B1204,'4. CÀI ĐẶT'!$A$2:$H$32,6,FALSE)))</f>
        <v/>
      </c>
      <c r="J1204" s="13">
        <f>IF($A1204="","",EOMONTH($A1204,0))</f>
        <v/>
      </c>
      <c r="K1204" s="67">
        <f>IF($B1204="",0,IF(LEFT($B1204,1)="━",0,$C1204*VLOOKUP($B1204,'4. CÀI ĐẶT'!$A$2:$H$32,7,FALSE)))</f>
        <v/>
      </c>
    </row>
    <row r="1205">
      <c r="A1205" s="8" t="n"/>
      <c r="B1205" s="9" t="n"/>
      <c r="C1205" s="65" t="n"/>
      <c r="D1205" s="9" t="n"/>
      <c r="E1205" s="66">
        <f>IF($B1205="","",IF(LEFT($B1205,1)="━","⚠️ Chọn hạng mục cụ thể",$C1205*VLOOKUP($B1205,'4. CÀI ĐẶT'!$A$2:$H$32,2,FALSE)))</f>
        <v/>
      </c>
      <c r="F1205" s="67">
        <f>IF($B1205="",0,IF(LEFT($B1205,1)="━",0,$C1205*VLOOKUP($B1205,'4. CÀI ĐẶT'!$A$2:$H$32,3,FALSE)))</f>
        <v/>
      </c>
      <c r="G1205" s="67">
        <f>IF($B1205="",0,IF(LEFT($B1205,1)="━",0,$C1205*VLOOKUP($B1205,'4. CÀI ĐẶT'!$A$2:$H$32,4,FALSE)))</f>
        <v/>
      </c>
      <c r="H1205" s="67">
        <f>IF($B1205="",0,IF(LEFT($B1205,1)="━",0,$C1205*VLOOKUP($B1205,'4. CÀI ĐẶT'!$A$2:$H$32,5,FALSE)))</f>
        <v/>
      </c>
      <c r="I1205">
        <f>IF($B1205="","",IF(LEFT($B1205,1)="━","",VLOOKUP($B1205,'4. CÀI ĐẶT'!$A$2:$H$32,6,FALSE)))</f>
        <v/>
      </c>
      <c r="J1205" s="13">
        <f>IF($A1205="","",EOMONTH($A1205,0))</f>
        <v/>
      </c>
      <c r="K1205" s="67">
        <f>IF($B1205="",0,IF(LEFT($B1205,1)="━",0,$C1205*VLOOKUP($B1205,'4. CÀI ĐẶT'!$A$2:$H$32,7,FALSE)))</f>
        <v/>
      </c>
    </row>
    <row r="1206">
      <c r="A1206" s="8" t="n"/>
      <c r="B1206" s="9" t="n"/>
      <c r="C1206" s="65" t="n"/>
      <c r="D1206" s="9" t="n"/>
      <c r="E1206" s="66">
        <f>IF($B1206="","",IF(LEFT($B1206,1)="━","⚠️ Chọn hạng mục cụ thể",$C1206*VLOOKUP($B1206,'4. CÀI ĐẶT'!$A$2:$H$32,2,FALSE)))</f>
        <v/>
      </c>
      <c r="F1206" s="67">
        <f>IF($B1206="",0,IF(LEFT($B1206,1)="━",0,$C1206*VLOOKUP($B1206,'4. CÀI ĐẶT'!$A$2:$H$32,3,FALSE)))</f>
        <v/>
      </c>
      <c r="G1206" s="67">
        <f>IF($B1206="",0,IF(LEFT($B1206,1)="━",0,$C1206*VLOOKUP($B1206,'4. CÀI ĐẶT'!$A$2:$H$32,4,FALSE)))</f>
        <v/>
      </c>
      <c r="H1206" s="67">
        <f>IF($B1206="",0,IF(LEFT($B1206,1)="━",0,$C1206*VLOOKUP($B1206,'4. CÀI ĐẶT'!$A$2:$H$32,5,FALSE)))</f>
        <v/>
      </c>
      <c r="I1206">
        <f>IF($B1206="","",IF(LEFT($B1206,1)="━","",VLOOKUP($B1206,'4. CÀI ĐẶT'!$A$2:$H$32,6,FALSE)))</f>
        <v/>
      </c>
      <c r="J1206" s="13">
        <f>IF($A1206="","",EOMONTH($A1206,0))</f>
        <v/>
      </c>
      <c r="K1206" s="67">
        <f>IF($B1206="",0,IF(LEFT($B1206,1)="━",0,$C1206*VLOOKUP($B1206,'4. CÀI ĐẶT'!$A$2:$H$32,7,FALSE)))</f>
        <v/>
      </c>
    </row>
    <row r="1207">
      <c r="A1207" s="8" t="n"/>
      <c r="B1207" s="9" t="n"/>
      <c r="C1207" s="65" t="n"/>
      <c r="D1207" s="9" t="n"/>
      <c r="E1207" s="66">
        <f>IF($B1207="","",IF(LEFT($B1207,1)="━","⚠️ Chọn hạng mục cụ thể",$C1207*VLOOKUP($B1207,'4. CÀI ĐẶT'!$A$2:$H$32,2,FALSE)))</f>
        <v/>
      </c>
      <c r="F1207" s="67">
        <f>IF($B1207="",0,IF(LEFT($B1207,1)="━",0,$C1207*VLOOKUP($B1207,'4. CÀI ĐẶT'!$A$2:$H$32,3,FALSE)))</f>
        <v/>
      </c>
      <c r="G1207" s="67">
        <f>IF($B1207="",0,IF(LEFT($B1207,1)="━",0,$C1207*VLOOKUP($B1207,'4. CÀI ĐẶT'!$A$2:$H$32,4,FALSE)))</f>
        <v/>
      </c>
      <c r="H1207" s="67">
        <f>IF($B1207="",0,IF(LEFT($B1207,1)="━",0,$C1207*VLOOKUP($B1207,'4. CÀI ĐẶT'!$A$2:$H$32,5,FALSE)))</f>
        <v/>
      </c>
      <c r="I1207">
        <f>IF($B1207="","",IF(LEFT($B1207,1)="━","",VLOOKUP($B1207,'4. CÀI ĐẶT'!$A$2:$H$32,6,FALSE)))</f>
        <v/>
      </c>
      <c r="J1207" s="13">
        <f>IF($A1207="","",EOMONTH($A1207,0))</f>
        <v/>
      </c>
      <c r="K1207" s="67">
        <f>IF($B1207="",0,IF(LEFT($B1207,1)="━",0,$C1207*VLOOKUP($B1207,'4. CÀI ĐẶT'!$A$2:$H$32,7,FALSE)))</f>
        <v/>
      </c>
    </row>
    <row r="1208">
      <c r="A1208" s="8" t="n"/>
      <c r="B1208" s="9" t="n"/>
      <c r="C1208" s="65" t="n"/>
      <c r="D1208" s="9" t="n"/>
      <c r="E1208" s="66">
        <f>IF($B1208="","",IF(LEFT($B1208,1)="━","⚠️ Chọn hạng mục cụ thể",$C1208*VLOOKUP($B1208,'4. CÀI ĐẶT'!$A$2:$H$32,2,FALSE)))</f>
        <v/>
      </c>
      <c r="F1208" s="67">
        <f>IF($B1208="",0,IF(LEFT($B1208,1)="━",0,$C1208*VLOOKUP($B1208,'4. CÀI ĐẶT'!$A$2:$H$32,3,FALSE)))</f>
        <v/>
      </c>
      <c r="G1208" s="67">
        <f>IF($B1208="",0,IF(LEFT($B1208,1)="━",0,$C1208*VLOOKUP($B1208,'4. CÀI ĐẶT'!$A$2:$H$32,4,FALSE)))</f>
        <v/>
      </c>
      <c r="H1208" s="67">
        <f>IF($B1208="",0,IF(LEFT($B1208,1)="━",0,$C1208*VLOOKUP($B1208,'4. CÀI ĐẶT'!$A$2:$H$32,5,FALSE)))</f>
        <v/>
      </c>
      <c r="I1208">
        <f>IF($B1208="","",IF(LEFT($B1208,1)="━","",VLOOKUP($B1208,'4. CÀI ĐẶT'!$A$2:$H$32,6,FALSE)))</f>
        <v/>
      </c>
      <c r="J1208" s="13">
        <f>IF($A1208="","",EOMONTH($A1208,0))</f>
        <v/>
      </c>
      <c r="K1208" s="67">
        <f>IF($B1208="",0,IF(LEFT($B1208,1)="━",0,$C1208*VLOOKUP($B1208,'4. CÀI ĐẶT'!$A$2:$H$32,7,FALSE)))</f>
        <v/>
      </c>
    </row>
    <row r="1209">
      <c r="A1209" s="8" t="n"/>
      <c r="B1209" s="9" t="n"/>
      <c r="C1209" s="65" t="n"/>
      <c r="D1209" s="9" t="n"/>
      <c r="E1209" s="66">
        <f>IF($B1209="","",IF(LEFT($B1209,1)="━","⚠️ Chọn hạng mục cụ thể",$C1209*VLOOKUP($B1209,'4. CÀI ĐẶT'!$A$2:$H$32,2,FALSE)))</f>
        <v/>
      </c>
      <c r="F1209" s="67">
        <f>IF($B1209="",0,IF(LEFT($B1209,1)="━",0,$C1209*VLOOKUP($B1209,'4. CÀI ĐẶT'!$A$2:$H$32,3,FALSE)))</f>
        <v/>
      </c>
      <c r="G1209" s="67">
        <f>IF($B1209="",0,IF(LEFT($B1209,1)="━",0,$C1209*VLOOKUP($B1209,'4. CÀI ĐẶT'!$A$2:$H$32,4,FALSE)))</f>
        <v/>
      </c>
      <c r="H1209" s="67">
        <f>IF($B1209="",0,IF(LEFT($B1209,1)="━",0,$C1209*VLOOKUP($B1209,'4. CÀI ĐẶT'!$A$2:$H$32,5,FALSE)))</f>
        <v/>
      </c>
      <c r="I1209">
        <f>IF($B1209="","",IF(LEFT($B1209,1)="━","",VLOOKUP($B1209,'4. CÀI ĐẶT'!$A$2:$H$32,6,FALSE)))</f>
        <v/>
      </c>
      <c r="J1209" s="13">
        <f>IF($A1209="","",EOMONTH($A1209,0))</f>
        <v/>
      </c>
      <c r="K1209" s="67">
        <f>IF($B1209="",0,IF(LEFT($B1209,1)="━",0,$C1209*VLOOKUP($B1209,'4. CÀI ĐẶT'!$A$2:$H$32,7,FALSE)))</f>
        <v/>
      </c>
    </row>
    <row r="1210">
      <c r="A1210" s="8" t="n"/>
      <c r="B1210" s="9" t="n"/>
      <c r="C1210" s="65" t="n"/>
      <c r="D1210" s="9" t="n"/>
      <c r="E1210" s="66">
        <f>IF($B1210="","",IF(LEFT($B1210,1)="━","⚠️ Chọn hạng mục cụ thể",$C1210*VLOOKUP($B1210,'4. CÀI ĐẶT'!$A$2:$H$32,2,FALSE)))</f>
        <v/>
      </c>
      <c r="F1210" s="67">
        <f>IF($B1210="",0,IF(LEFT($B1210,1)="━",0,$C1210*VLOOKUP($B1210,'4. CÀI ĐẶT'!$A$2:$H$32,3,FALSE)))</f>
        <v/>
      </c>
      <c r="G1210" s="67">
        <f>IF($B1210="",0,IF(LEFT($B1210,1)="━",0,$C1210*VLOOKUP($B1210,'4. CÀI ĐẶT'!$A$2:$H$32,4,FALSE)))</f>
        <v/>
      </c>
      <c r="H1210" s="67">
        <f>IF($B1210="",0,IF(LEFT($B1210,1)="━",0,$C1210*VLOOKUP($B1210,'4. CÀI ĐẶT'!$A$2:$H$32,5,FALSE)))</f>
        <v/>
      </c>
      <c r="I1210">
        <f>IF($B1210="","",IF(LEFT($B1210,1)="━","",VLOOKUP($B1210,'4. CÀI ĐẶT'!$A$2:$H$32,6,FALSE)))</f>
        <v/>
      </c>
      <c r="J1210" s="13">
        <f>IF($A1210="","",EOMONTH($A1210,0))</f>
        <v/>
      </c>
      <c r="K1210" s="67">
        <f>IF($B1210="",0,IF(LEFT($B1210,1)="━",0,$C1210*VLOOKUP($B1210,'4. CÀI ĐẶT'!$A$2:$H$32,7,FALSE)))</f>
        <v/>
      </c>
    </row>
    <row r="1211">
      <c r="A1211" s="8" t="n"/>
      <c r="B1211" s="9" t="n"/>
      <c r="C1211" s="65" t="n"/>
      <c r="D1211" s="9" t="n"/>
      <c r="E1211" s="66">
        <f>IF($B1211="","",IF(LEFT($B1211,1)="━","⚠️ Chọn hạng mục cụ thể",$C1211*VLOOKUP($B1211,'4. CÀI ĐẶT'!$A$2:$H$32,2,FALSE)))</f>
        <v/>
      </c>
      <c r="F1211" s="67">
        <f>IF($B1211="",0,IF(LEFT($B1211,1)="━",0,$C1211*VLOOKUP($B1211,'4. CÀI ĐẶT'!$A$2:$H$32,3,FALSE)))</f>
        <v/>
      </c>
      <c r="G1211" s="67">
        <f>IF($B1211="",0,IF(LEFT($B1211,1)="━",0,$C1211*VLOOKUP($B1211,'4. CÀI ĐẶT'!$A$2:$H$32,4,FALSE)))</f>
        <v/>
      </c>
      <c r="H1211" s="67">
        <f>IF($B1211="",0,IF(LEFT($B1211,1)="━",0,$C1211*VLOOKUP($B1211,'4. CÀI ĐẶT'!$A$2:$H$32,5,FALSE)))</f>
        <v/>
      </c>
      <c r="I1211">
        <f>IF($B1211="","",IF(LEFT($B1211,1)="━","",VLOOKUP($B1211,'4. CÀI ĐẶT'!$A$2:$H$32,6,FALSE)))</f>
        <v/>
      </c>
      <c r="J1211" s="13">
        <f>IF($A1211="","",EOMONTH($A1211,0))</f>
        <v/>
      </c>
      <c r="K1211" s="67">
        <f>IF($B1211="",0,IF(LEFT($B1211,1)="━",0,$C1211*VLOOKUP($B1211,'4. CÀI ĐẶT'!$A$2:$H$32,7,FALSE)))</f>
        <v/>
      </c>
    </row>
    <row r="1212">
      <c r="A1212" s="8" t="n"/>
      <c r="B1212" s="9" t="n"/>
      <c r="C1212" s="65" t="n"/>
      <c r="D1212" s="9" t="n"/>
      <c r="E1212" s="66">
        <f>IF($B1212="","",IF(LEFT($B1212,1)="━","⚠️ Chọn hạng mục cụ thể",$C1212*VLOOKUP($B1212,'4. CÀI ĐẶT'!$A$2:$H$32,2,FALSE)))</f>
        <v/>
      </c>
      <c r="F1212" s="67">
        <f>IF($B1212="",0,IF(LEFT($B1212,1)="━",0,$C1212*VLOOKUP($B1212,'4. CÀI ĐẶT'!$A$2:$H$32,3,FALSE)))</f>
        <v/>
      </c>
      <c r="G1212" s="67">
        <f>IF($B1212="",0,IF(LEFT($B1212,1)="━",0,$C1212*VLOOKUP($B1212,'4. CÀI ĐẶT'!$A$2:$H$32,4,FALSE)))</f>
        <v/>
      </c>
      <c r="H1212" s="67">
        <f>IF($B1212="",0,IF(LEFT($B1212,1)="━",0,$C1212*VLOOKUP($B1212,'4. CÀI ĐẶT'!$A$2:$H$32,5,FALSE)))</f>
        <v/>
      </c>
      <c r="I1212">
        <f>IF($B1212="","",IF(LEFT($B1212,1)="━","",VLOOKUP($B1212,'4. CÀI ĐẶT'!$A$2:$H$32,6,FALSE)))</f>
        <v/>
      </c>
      <c r="J1212" s="13">
        <f>IF($A1212="","",EOMONTH($A1212,0))</f>
        <v/>
      </c>
      <c r="K1212" s="67">
        <f>IF($B1212="",0,IF(LEFT($B1212,1)="━",0,$C1212*VLOOKUP($B1212,'4. CÀI ĐẶT'!$A$2:$H$32,7,FALSE)))</f>
        <v/>
      </c>
    </row>
    <row r="1213">
      <c r="A1213" s="8" t="n"/>
      <c r="B1213" s="9" t="n"/>
      <c r="C1213" s="65" t="n"/>
      <c r="D1213" s="9" t="n"/>
      <c r="E1213" s="66">
        <f>IF($B1213="","",IF(LEFT($B1213,1)="━","⚠️ Chọn hạng mục cụ thể",$C1213*VLOOKUP($B1213,'4. CÀI ĐẶT'!$A$2:$H$32,2,FALSE)))</f>
        <v/>
      </c>
      <c r="F1213" s="67">
        <f>IF($B1213="",0,IF(LEFT($B1213,1)="━",0,$C1213*VLOOKUP($B1213,'4. CÀI ĐẶT'!$A$2:$H$32,3,FALSE)))</f>
        <v/>
      </c>
      <c r="G1213" s="67">
        <f>IF($B1213="",0,IF(LEFT($B1213,1)="━",0,$C1213*VLOOKUP($B1213,'4. CÀI ĐẶT'!$A$2:$H$32,4,FALSE)))</f>
        <v/>
      </c>
      <c r="H1213" s="67">
        <f>IF($B1213="",0,IF(LEFT($B1213,1)="━",0,$C1213*VLOOKUP($B1213,'4. CÀI ĐẶT'!$A$2:$H$32,5,FALSE)))</f>
        <v/>
      </c>
      <c r="I1213">
        <f>IF($B1213="","",IF(LEFT($B1213,1)="━","",VLOOKUP($B1213,'4. CÀI ĐẶT'!$A$2:$H$32,6,FALSE)))</f>
        <v/>
      </c>
      <c r="J1213" s="13">
        <f>IF($A1213="","",EOMONTH($A1213,0))</f>
        <v/>
      </c>
      <c r="K1213" s="67">
        <f>IF($B1213="",0,IF(LEFT($B1213,1)="━",0,$C1213*VLOOKUP($B1213,'4. CÀI ĐẶT'!$A$2:$H$32,7,FALSE)))</f>
        <v/>
      </c>
    </row>
    <row r="1214">
      <c r="A1214" s="8" t="n"/>
      <c r="B1214" s="9" t="n"/>
      <c r="C1214" s="65" t="n"/>
      <c r="D1214" s="9" t="n"/>
      <c r="E1214" s="66">
        <f>IF($B1214="","",IF(LEFT($B1214,1)="━","⚠️ Chọn hạng mục cụ thể",$C1214*VLOOKUP($B1214,'4. CÀI ĐẶT'!$A$2:$H$32,2,FALSE)))</f>
        <v/>
      </c>
      <c r="F1214" s="67">
        <f>IF($B1214="",0,IF(LEFT($B1214,1)="━",0,$C1214*VLOOKUP($B1214,'4. CÀI ĐẶT'!$A$2:$H$32,3,FALSE)))</f>
        <v/>
      </c>
      <c r="G1214" s="67">
        <f>IF($B1214="",0,IF(LEFT($B1214,1)="━",0,$C1214*VLOOKUP($B1214,'4. CÀI ĐẶT'!$A$2:$H$32,4,FALSE)))</f>
        <v/>
      </c>
      <c r="H1214" s="67">
        <f>IF($B1214="",0,IF(LEFT($B1214,1)="━",0,$C1214*VLOOKUP($B1214,'4. CÀI ĐẶT'!$A$2:$H$32,5,FALSE)))</f>
        <v/>
      </c>
      <c r="I1214">
        <f>IF($B1214="","",IF(LEFT($B1214,1)="━","",VLOOKUP($B1214,'4. CÀI ĐẶT'!$A$2:$H$32,6,FALSE)))</f>
        <v/>
      </c>
      <c r="J1214" s="13">
        <f>IF($A1214="","",EOMONTH($A1214,0))</f>
        <v/>
      </c>
      <c r="K1214" s="67">
        <f>IF($B1214="",0,IF(LEFT($B1214,1)="━",0,$C1214*VLOOKUP($B1214,'4. CÀI ĐẶT'!$A$2:$H$32,7,FALSE)))</f>
        <v/>
      </c>
    </row>
    <row r="1215">
      <c r="A1215" s="8" t="n"/>
      <c r="B1215" s="9" t="n"/>
      <c r="C1215" s="65" t="n"/>
      <c r="D1215" s="9" t="n"/>
      <c r="E1215" s="66">
        <f>IF($B1215="","",IF(LEFT($B1215,1)="━","⚠️ Chọn hạng mục cụ thể",$C1215*VLOOKUP($B1215,'4. CÀI ĐẶT'!$A$2:$H$32,2,FALSE)))</f>
        <v/>
      </c>
      <c r="F1215" s="67">
        <f>IF($B1215="",0,IF(LEFT($B1215,1)="━",0,$C1215*VLOOKUP($B1215,'4. CÀI ĐẶT'!$A$2:$H$32,3,FALSE)))</f>
        <v/>
      </c>
      <c r="G1215" s="67">
        <f>IF($B1215="",0,IF(LEFT($B1215,1)="━",0,$C1215*VLOOKUP($B1215,'4. CÀI ĐẶT'!$A$2:$H$32,4,FALSE)))</f>
        <v/>
      </c>
      <c r="H1215" s="67">
        <f>IF($B1215="",0,IF(LEFT($B1215,1)="━",0,$C1215*VLOOKUP($B1215,'4. CÀI ĐẶT'!$A$2:$H$32,5,FALSE)))</f>
        <v/>
      </c>
      <c r="I1215">
        <f>IF($B1215="","",IF(LEFT($B1215,1)="━","",VLOOKUP($B1215,'4. CÀI ĐẶT'!$A$2:$H$32,6,FALSE)))</f>
        <v/>
      </c>
      <c r="J1215" s="13">
        <f>IF($A1215="","",EOMONTH($A1215,0))</f>
        <v/>
      </c>
      <c r="K1215" s="67">
        <f>IF($B1215="",0,IF(LEFT($B1215,1)="━",0,$C1215*VLOOKUP($B1215,'4. CÀI ĐẶT'!$A$2:$H$32,7,FALSE)))</f>
        <v/>
      </c>
    </row>
    <row r="1216">
      <c r="A1216" s="8" t="n"/>
      <c r="B1216" s="9" t="n"/>
      <c r="C1216" s="65" t="n"/>
      <c r="D1216" s="9" t="n"/>
      <c r="E1216" s="66">
        <f>IF($B1216="","",IF(LEFT($B1216,1)="━","⚠️ Chọn hạng mục cụ thể",$C1216*VLOOKUP($B1216,'4. CÀI ĐẶT'!$A$2:$H$32,2,FALSE)))</f>
        <v/>
      </c>
      <c r="F1216" s="67">
        <f>IF($B1216="",0,IF(LEFT($B1216,1)="━",0,$C1216*VLOOKUP($B1216,'4. CÀI ĐẶT'!$A$2:$H$32,3,FALSE)))</f>
        <v/>
      </c>
      <c r="G1216" s="67">
        <f>IF($B1216="",0,IF(LEFT($B1216,1)="━",0,$C1216*VLOOKUP($B1216,'4. CÀI ĐẶT'!$A$2:$H$32,4,FALSE)))</f>
        <v/>
      </c>
      <c r="H1216" s="67">
        <f>IF($B1216="",0,IF(LEFT($B1216,1)="━",0,$C1216*VLOOKUP($B1216,'4. CÀI ĐẶT'!$A$2:$H$32,5,FALSE)))</f>
        <v/>
      </c>
      <c r="I1216">
        <f>IF($B1216="","",IF(LEFT($B1216,1)="━","",VLOOKUP($B1216,'4. CÀI ĐẶT'!$A$2:$H$32,6,FALSE)))</f>
        <v/>
      </c>
      <c r="J1216" s="13">
        <f>IF($A1216="","",EOMONTH($A1216,0))</f>
        <v/>
      </c>
      <c r="K1216" s="67">
        <f>IF($B1216="",0,IF(LEFT($B1216,1)="━",0,$C1216*VLOOKUP($B1216,'4. CÀI ĐẶT'!$A$2:$H$32,7,FALSE)))</f>
        <v/>
      </c>
    </row>
    <row r="1217">
      <c r="A1217" s="8" t="n"/>
      <c r="B1217" s="9" t="n"/>
      <c r="C1217" s="65" t="n"/>
      <c r="D1217" s="9" t="n"/>
      <c r="E1217" s="66">
        <f>IF($B1217="","",IF(LEFT($B1217,1)="━","⚠️ Chọn hạng mục cụ thể",$C1217*VLOOKUP($B1217,'4. CÀI ĐẶT'!$A$2:$H$32,2,FALSE)))</f>
        <v/>
      </c>
      <c r="F1217" s="67">
        <f>IF($B1217="",0,IF(LEFT($B1217,1)="━",0,$C1217*VLOOKUP($B1217,'4. CÀI ĐẶT'!$A$2:$H$32,3,FALSE)))</f>
        <v/>
      </c>
      <c r="G1217" s="67">
        <f>IF($B1217="",0,IF(LEFT($B1217,1)="━",0,$C1217*VLOOKUP($B1217,'4. CÀI ĐẶT'!$A$2:$H$32,4,FALSE)))</f>
        <v/>
      </c>
      <c r="H1217" s="67">
        <f>IF($B1217="",0,IF(LEFT($B1217,1)="━",0,$C1217*VLOOKUP($B1217,'4. CÀI ĐẶT'!$A$2:$H$32,5,FALSE)))</f>
        <v/>
      </c>
      <c r="I1217">
        <f>IF($B1217="","",IF(LEFT($B1217,1)="━","",VLOOKUP($B1217,'4. CÀI ĐẶT'!$A$2:$H$32,6,FALSE)))</f>
        <v/>
      </c>
      <c r="J1217" s="13">
        <f>IF($A1217="","",EOMONTH($A1217,0))</f>
        <v/>
      </c>
      <c r="K1217" s="67">
        <f>IF($B1217="",0,IF(LEFT($B1217,1)="━",0,$C1217*VLOOKUP($B1217,'4. CÀI ĐẶT'!$A$2:$H$32,7,FALSE)))</f>
        <v/>
      </c>
    </row>
    <row r="1218">
      <c r="A1218" s="8" t="n"/>
      <c r="B1218" s="9" t="n"/>
      <c r="C1218" s="65" t="n"/>
      <c r="D1218" s="9" t="n"/>
      <c r="E1218" s="66">
        <f>IF($B1218="","",IF(LEFT($B1218,1)="━","⚠️ Chọn hạng mục cụ thể",$C1218*VLOOKUP($B1218,'4. CÀI ĐẶT'!$A$2:$H$32,2,FALSE)))</f>
        <v/>
      </c>
      <c r="F1218" s="67">
        <f>IF($B1218="",0,IF(LEFT($B1218,1)="━",0,$C1218*VLOOKUP($B1218,'4. CÀI ĐẶT'!$A$2:$H$32,3,FALSE)))</f>
        <v/>
      </c>
      <c r="G1218" s="67">
        <f>IF($B1218="",0,IF(LEFT($B1218,1)="━",0,$C1218*VLOOKUP($B1218,'4. CÀI ĐẶT'!$A$2:$H$32,4,FALSE)))</f>
        <v/>
      </c>
      <c r="H1218" s="67">
        <f>IF($B1218="",0,IF(LEFT($B1218,1)="━",0,$C1218*VLOOKUP($B1218,'4. CÀI ĐẶT'!$A$2:$H$32,5,FALSE)))</f>
        <v/>
      </c>
      <c r="I1218">
        <f>IF($B1218="","",IF(LEFT($B1218,1)="━","",VLOOKUP($B1218,'4. CÀI ĐẶT'!$A$2:$H$32,6,FALSE)))</f>
        <v/>
      </c>
      <c r="J1218" s="13">
        <f>IF($A1218="","",EOMONTH($A1218,0))</f>
        <v/>
      </c>
      <c r="K1218" s="67">
        <f>IF($B1218="",0,IF(LEFT($B1218,1)="━",0,$C1218*VLOOKUP($B1218,'4. CÀI ĐẶT'!$A$2:$H$32,7,FALSE)))</f>
        <v/>
      </c>
    </row>
    <row r="1219">
      <c r="A1219" s="8" t="n"/>
      <c r="B1219" s="9" t="n"/>
      <c r="C1219" s="65" t="n"/>
      <c r="D1219" s="9" t="n"/>
      <c r="E1219" s="66">
        <f>IF($B1219="","",IF(LEFT($B1219,1)="━","⚠️ Chọn hạng mục cụ thể",$C1219*VLOOKUP($B1219,'4. CÀI ĐẶT'!$A$2:$H$32,2,FALSE)))</f>
        <v/>
      </c>
      <c r="F1219" s="67">
        <f>IF($B1219="",0,IF(LEFT($B1219,1)="━",0,$C1219*VLOOKUP($B1219,'4. CÀI ĐẶT'!$A$2:$H$32,3,FALSE)))</f>
        <v/>
      </c>
      <c r="G1219" s="67">
        <f>IF($B1219="",0,IF(LEFT($B1219,1)="━",0,$C1219*VLOOKUP($B1219,'4. CÀI ĐẶT'!$A$2:$H$32,4,FALSE)))</f>
        <v/>
      </c>
      <c r="H1219" s="67">
        <f>IF($B1219="",0,IF(LEFT($B1219,1)="━",0,$C1219*VLOOKUP($B1219,'4. CÀI ĐẶT'!$A$2:$H$32,5,FALSE)))</f>
        <v/>
      </c>
      <c r="I1219">
        <f>IF($B1219="","",IF(LEFT($B1219,1)="━","",VLOOKUP($B1219,'4. CÀI ĐẶT'!$A$2:$H$32,6,FALSE)))</f>
        <v/>
      </c>
      <c r="J1219" s="13">
        <f>IF($A1219="","",EOMONTH($A1219,0))</f>
        <v/>
      </c>
      <c r="K1219" s="67">
        <f>IF($B1219="",0,IF(LEFT($B1219,1)="━",0,$C1219*VLOOKUP($B1219,'4. CÀI ĐẶT'!$A$2:$H$32,7,FALSE)))</f>
        <v/>
      </c>
    </row>
    <row r="1220">
      <c r="A1220" s="8" t="n"/>
      <c r="B1220" s="9" t="n"/>
      <c r="C1220" s="65" t="n"/>
      <c r="D1220" s="9" t="n"/>
      <c r="E1220" s="66">
        <f>IF($B1220="","",IF(LEFT($B1220,1)="━","⚠️ Chọn hạng mục cụ thể",$C1220*VLOOKUP($B1220,'4. CÀI ĐẶT'!$A$2:$H$32,2,FALSE)))</f>
        <v/>
      </c>
      <c r="F1220" s="67">
        <f>IF($B1220="",0,IF(LEFT($B1220,1)="━",0,$C1220*VLOOKUP($B1220,'4. CÀI ĐẶT'!$A$2:$H$32,3,FALSE)))</f>
        <v/>
      </c>
      <c r="G1220" s="67">
        <f>IF($B1220="",0,IF(LEFT($B1220,1)="━",0,$C1220*VLOOKUP($B1220,'4. CÀI ĐẶT'!$A$2:$H$32,4,FALSE)))</f>
        <v/>
      </c>
      <c r="H1220" s="67">
        <f>IF($B1220="",0,IF(LEFT($B1220,1)="━",0,$C1220*VLOOKUP($B1220,'4. CÀI ĐẶT'!$A$2:$H$32,5,FALSE)))</f>
        <v/>
      </c>
      <c r="I1220">
        <f>IF($B1220="","",IF(LEFT($B1220,1)="━","",VLOOKUP($B1220,'4. CÀI ĐẶT'!$A$2:$H$32,6,FALSE)))</f>
        <v/>
      </c>
      <c r="J1220" s="13">
        <f>IF($A1220="","",EOMONTH($A1220,0))</f>
        <v/>
      </c>
      <c r="K1220" s="67">
        <f>IF($B1220="",0,IF(LEFT($B1220,1)="━",0,$C1220*VLOOKUP($B1220,'4. CÀI ĐẶT'!$A$2:$H$32,7,FALSE)))</f>
        <v/>
      </c>
    </row>
    <row r="1221">
      <c r="A1221" s="8" t="n"/>
      <c r="B1221" s="9" t="n"/>
      <c r="C1221" s="65" t="n"/>
      <c r="D1221" s="9" t="n"/>
      <c r="E1221" s="66">
        <f>IF($B1221="","",IF(LEFT($B1221,1)="━","⚠️ Chọn hạng mục cụ thể",$C1221*VLOOKUP($B1221,'4. CÀI ĐẶT'!$A$2:$H$32,2,FALSE)))</f>
        <v/>
      </c>
      <c r="F1221" s="67">
        <f>IF($B1221="",0,IF(LEFT($B1221,1)="━",0,$C1221*VLOOKUP($B1221,'4. CÀI ĐẶT'!$A$2:$H$32,3,FALSE)))</f>
        <v/>
      </c>
      <c r="G1221" s="67">
        <f>IF($B1221="",0,IF(LEFT($B1221,1)="━",0,$C1221*VLOOKUP($B1221,'4. CÀI ĐẶT'!$A$2:$H$32,4,FALSE)))</f>
        <v/>
      </c>
      <c r="H1221" s="67">
        <f>IF($B1221="",0,IF(LEFT($B1221,1)="━",0,$C1221*VLOOKUP($B1221,'4. CÀI ĐẶT'!$A$2:$H$32,5,FALSE)))</f>
        <v/>
      </c>
      <c r="I1221">
        <f>IF($B1221="","",IF(LEFT($B1221,1)="━","",VLOOKUP($B1221,'4. CÀI ĐẶT'!$A$2:$H$32,6,FALSE)))</f>
        <v/>
      </c>
      <c r="J1221" s="13">
        <f>IF($A1221="","",EOMONTH($A1221,0))</f>
        <v/>
      </c>
      <c r="K1221" s="67">
        <f>IF($B1221="",0,IF(LEFT($B1221,1)="━",0,$C1221*VLOOKUP($B1221,'4. CÀI ĐẶT'!$A$2:$H$32,7,FALSE)))</f>
        <v/>
      </c>
    </row>
    <row r="1222">
      <c r="A1222" s="8" t="n"/>
      <c r="B1222" s="9" t="n"/>
      <c r="C1222" s="65" t="n"/>
      <c r="D1222" s="9" t="n"/>
      <c r="E1222" s="66">
        <f>IF($B1222="","",IF(LEFT($B1222,1)="━","⚠️ Chọn hạng mục cụ thể",$C1222*VLOOKUP($B1222,'4. CÀI ĐẶT'!$A$2:$H$32,2,FALSE)))</f>
        <v/>
      </c>
      <c r="F1222" s="67">
        <f>IF($B1222="",0,IF(LEFT($B1222,1)="━",0,$C1222*VLOOKUP($B1222,'4. CÀI ĐẶT'!$A$2:$H$32,3,FALSE)))</f>
        <v/>
      </c>
      <c r="G1222" s="67">
        <f>IF($B1222="",0,IF(LEFT($B1222,1)="━",0,$C1222*VLOOKUP($B1222,'4. CÀI ĐẶT'!$A$2:$H$32,4,FALSE)))</f>
        <v/>
      </c>
      <c r="H1222" s="67">
        <f>IF($B1222="",0,IF(LEFT($B1222,1)="━",0,$C1222*VLOOKUP($B1222,'4. CÀI ĐẶT'!$A$2:$H$32,5,FALSE)))</f>
        <v/>
      </c>
      <c r="I1222">
        <f>IF($B1222="","",IF(LEFT($B1222,1)="━","",VLOOKUP($B1222,'4. CÀI ĐẶT'!$A$2:$H$32,6,FALSE)))</f>
        <v/>
      </c>
      <c r="J1222" s="13">
        <f>IF($A1222="","",EOMONTH($A1222,0))</f>
        <v/>
      </c>
      <c r="K1222" s="67">
        <f>IF($B1222="",0,IF(LEFT($B1222,1)="━",0,$C1222*VLOOKUP($B1222,'4. CÀI ĐẶT'!$A$2:$H$32,7,FALSE)))</f>
        <v/>
      </c>
    </row>
    <row r="1223">
      <c r="A1223" s="8" t="n"/>
      <c r="B1223" s="9" t="n"/>
      <c r="C1223" s="65" t="n"/>
      <c r="D1223" s="9" t="n"/>
      <c r="E1223" s="66">
        <f>IF($B1223="","",IF(LEFT($B1223,1)="━","⚠️ Chọn hạng mục cụ thể",$C1223*VLOOKUP($B1223,'4. CÀI ĐẶT'!$A$2:$H$32,2,FALSE)))</f>
        <v/>
      </c>
      <c r="F1223" s="67">
        <f>IF($B1223="",0,IF(LEFT($B1223,1)="━",0,$C1223*VLOOKUP($B1223,'4. CÀI ĐẶT'!$A$2:$H$32,3,FALSE)))</f>
        <v/>
      </c>
      <c r="G1223" s="67">
        <f>IF($B1223="",0,IF(LEFT($B1223,1)="━",0,$C1223*VLOOKUP($B1223,'4. CÀI ĐẶT'!$A$2:$H$32,4,FALSE)))</f>
        <v/>
      </c>
      <c r="H1223" s="67">
        <f>IF($B1223="",0,IF(LEFT($B1223,1)="━",0,$C1223*VLOOKUP($B1223,'4. CÀI ĐẶT'!$A$2:$H$32,5,FALSE)))</f>
        <v/>
      </c>
      <c r="I1223">
        <f>IF($B1223="","",IF(LEFT($B1223,1)="━","",VLOOKUP($B1223,'4. CÀI ĐẶT'!$A$2:$H$32,6,FALSE)))</f>
        <v/>
      </c>
      <c r="J1223" s="13">
        <f>IF($A1223="","",EOMONTH($A1223,0))</f>
        <v/>
      </c>
      <c r="K1223" s="67">
        <f>IF($B1223="",0,IF(LEFT($B1223,1)="━",0,$C1223*VLOOKUP($B1223,'4. CÀI ĐẶT'!$A$2:$H$32,7,FALSE)))</f>
        <v/>
      </c>
    </row>
    <row r="1224">
      <c r="A1224" s="8" t="n"/>
      <c r="B1224" s="9" t="n"/>
      <c r="C1224" s="65" t="n"/>
      <c r="D1224" s="9" t="n"/>
      <c r="E1224" s="66">
        <f>IF($B1224="","",IF(LEFT($B1224,1)="━","⚠️ Chọn hạng mục cụ thể",$C1224*VLOOKUP($B1224,'4. CÀI ĐẶT'!$A$2:$H$32,2,FALSE)))</f>
        <v/>
      </c>
      <c r="F1224" s="67">
        <f>IF($B1224="",0,IF(LEFT($B1224,1)="━",0,$C1224*VLOOKUP($B1224,'4. CÀI ĐẶT'!$A$2:$H$32,3,FALSE)))</f>
        <v/>
      </c>
      <c r="G1224" s="67">
        <f>IF($B1224="",0,IF(LEFT($B1224,1)="━",0,$C1224*VLOOKUP($B1224,'4. CÀI ĐẶT'!$A$2:$H$32,4,FALSE)))</f>
        <v/>
      </c>
      <c r="H1224" s="67">
        <f>IF($B1224="",0,IF(LEFT($B1224,1)="━",0,$C1224*VLOOKUP($B1224,'4. CÀI ĐẶT'!$A$2:$H$32,5,FALSE)))</f>
        <v/>
      </c>
      <c r="I1224">
        <f>IF($B1224="","",IF(LEFT($B1224,1)="━","",VLOOKUP($B1224,'4. CÀI ĐẶT'!$A$2:$H$32,6,FALSE)))</f>
        <v/>
      </c>
      <c r="J1224" s="13">
        <f>IF($A1224="","",EOMONTH($A1224,0))</f>
        <v/>
      </c>
      <c r="K1224" s="67">
        <f>IF($B1224="",0,IF(LEFT($B1224,1)="━",0,$C1224*VLOOKUP($B1224,'4. CÀI ĐẶT'!$A$2:$H$32,7,FALSE)))</f>
        <v/>
      </c>
    </row>
    <row r="1225">
      <c r="A1225" s="8" t="n"/>
      <c r="B1225" s="9" t="n"/>
      <c r="C1225" s="65" t="n"/>
      <c r="D1225" s="9" t="n"/>
      <c r="E1225" s="66">
        <f>IF($B1225="","",IF(LEFT($B1225,1)="━","⚠️ Chọn hạng mục cụ thể",$C1225*VLOOKUP($B1225,'4. CÀI ĐẶT'!$A$2:$H$32,2,FALSE)))</f>
        <v/>
      </c>
      <c r="F1225" s="67">
        <f>IF($B1225="",0,IF(LEFT($B1225,1)="━",0,$C1225*VLOOKUP($B1225,'4. CÀI ĐẶT'!$A$2:$H$32,3,FALSE)))</f>
        <v/>
      </c>
      <c r="G1225" s="67">
        <f>IF($B1225="",0,IF(LEFT($B1225,1)="━",0,$C1225*VLOOKUP($B1225,'4. CÀI ĐẶT'!$A$2:$H$32,4,FALSE)))</f>
        <v/>
      </c>
      <c r="H1225" s="67">
        <f>IF($B1225="",0,IF(LEFT($B1225,1)="━",0,$C1225*VLOOKUP($B1225,'4. CÀI ĐẶT'!$A$2:$H$32,5,FALSE)))</f>
        <v/>
      </c>
      <c r="I1225">
        <f>IF($B1225="","",IF(LEFT($B1225,1)="━","",VLOOKUP($B1225,'4. CÀI ĐẶT'!$A$2:$H$32,6,FALSE)))</f>
        <v/>
      </c>
      <c r="J1225" s="13">
        <f>IF($A1225="","",EOMONTH($A1225,0))</f>
        <v/>
      </c>
      <c r="K1225" s="67">
        <f>IF($B1225="",0,IF(LEFT($B1225,1)="━",0,$C1225*VLOOKUP($B1225,'4. CÀI ĐẶT'!$A$2:$H$32,7,FALSE)))</f>
        <v/>
      </c>
    </row>
    <row r="1226">
      <c r="A1226" s="8" t="n"/>
      <c r="B1226" s="9" t="n"/>
      <c r="C1226" s="65" t="n"/>
      <c r="D1226" s="9" t="n"/>
      <c r="E1226" s="66">
        <f>IF($B1226="","",IF(LEFT($B1226,1)="━","⚠️ Chọn hạng mục cụ thể",$C1226*VLOOKUP($B1226,'4. CÀI ĐẶT'!$A$2:$H$32,2,FALSE)))</f>
        <v/>
      </c>
      <c r="F1226" s="67">
        <f>IF($B1226="",0,IF(LEFT($B1226,1)="━",0,$C1226*VLOOKUP($B1226,'4. CÀI ĐẶT'!$A$2:$H$32,3,FALSE)))</f>
        <v/>
      </c>
      <c r="G1226" s="67">
        <f>IF($B1226="",0,IF(LEFT($B1226,1)="━",0,$C1226*VLOOKUP($B1226,'4. CÀI ĐẶT'!$A$2:$H$32,4,FALSE)))</f>
        <v/>
      </c>
      <c r="H1226" s="67">
        <f>IF($B1226="",0,IF(LEFT($B1226,1)="━",0,$C1226*VLOOKUP($B1226,'4. CÀI ĐẶT'!$A$2:$H$32,5,FALSE)))</f>
        <v/>
      </c>
      <c r="I1226">
        <f>IF($B1226="","",IF(LEFT($B1226,1)="━","",VLOOKUP($B1226,'4. CÀI ĐẶT'!$A$2:$H$32,6,FALSE)))</f>
        <v/>
      </c>
      <c r="J1226" s="13">
        <f>IF($A1226="","",EOMONTH($A1226,0))</f>
        <v/>
      </c>
      <c r="K1226" s="67">
        <f>IF($B1226="",0,IF(LEFT($B1226,1)="━",0,$C1226*VLOOKUP($B1226,'4. CÀI ĐẶT'!$A$2:$H$32,7,FALSE)))</f>
        <v/>
      </c>
    </row>
    <row r="1227">
      <c r="A1227" s="8" t="n"/>
      <c r="B1227" s="9" t="n"/>
      <c r="C1227" s="65" t="n"/>
      <c r="D1227" s="9" t="n"/>
      <c r="E1227" s="66">
        <f>IF($B1227="","",IF(LEFT($B1227,1)="━","⚠️ Chọn hạng mục cụ thể",$C1227*VLOOKUP($B1227,'4. CÀI ĐẶT'!$A$2:$H$32,2,FALSE)))</f>
        <v/>
      </c>
      <c r="F1227" s="67">
        <f>IF($B1227="",0,IF(LEFT($B1227,1)="━",0,$C1227*VLOOKUP($B1227,'4. CÀI ĐẶT'!$A$2:$H$32,3,FALSE)))</f>
        <v/>
      </c>
      <c r="G1227" s="67">
        <f>IF($B1227="",0,IF(LEFT($B1227,1)="━",0,$C1227*VLOOKUP($B1227,'4. CÀI ĐẶT'!$A$2:$H$32,4,FALSE)))</f>
        <v/>
      </c>
      <c r="H1227" s="67">
        <f>IF($B1227="",0,IF(LEFT($B1227,1)="━",0,$C1227*VLOOKUP($B1227,'4. CÀI ĐẶT'!$A$2:$H$32,5,FALSE)))</f>
        <v/>
      </c>
      <c r="I1227">
        <f>IF($B1227="","",IF(LEFT($B1227,1)="━","",VLOOKUP($B1227,'4. CÀI ĐẶT'!$A$2:$H$32,6,FALSE)))</f>
        <v/>
      </c>
      <c r="J1227" s="13">
        <f>IF($A1227="","",EOMONTH($A1227,0))</f>
        <v/>
      </c>
      <c r="K1227" s="67">
        <f>IF($B1227="",0,IF(LEFT($B1227,1)="━",0,$C1227*VLOOKUP($B1227,'4. CÀI ĐẶT'!$A$2:$H$32,7,FALSE)))</f>
        <v/>
      </c>
    </row>
    <row r="1228">
      <c r="A1228" s="8" t="n"/>
      <c r="B1228" s="9" t="n"/>
      <c r="C1228" s="65" t="n"/>
      <c r="D1228" s="9" t="n"/>
      <c r="E1228" s="66">
        <f>IF($B1228="","",IF(LEFT($B1228,1)="━","⚠️ Chọn hạng mục cụ thể",$C1228*VLOOKUP($B1228,'4. CÀI ĐẶT'!$A$2:$H$32,2,FALSE)))</f>
        <v/>
      </c>
      <c r="F1228" s="67">
        <f>IF($B1228="",0,IF(LEFT($B1228,1)="━",0,$C1228*VLOOKUP($B1228,'4. CÀI ĐẶT'!$A$2:$H$32,3,FALSE)))</f>
        <v/>
      </c>
      <c r="G1228" s="67">
        <f>IF($B1228="",0,IF(LEFT($B1228,1)="━",0,$C1228*VLOOKUP($B1228,'4. CÀI ĐẶT'!$A$2:$H$32,4,FALSE)))</f>
        <v/>
      </c>
      <c r="H1228" s="67">
        <f>IF($B1228="",0,IF(LEFT($B1228,1)="━",0,$C1228*VLOOKUP($B1228,'4. CÀI ĐẶT'!$A$2:$H$32,5,FALSE)))</f>
        <v/>
      </c>
      <c r="I1228">
        <f>IF($B1228="","",IF(LEFT($B1228,1)="━","",VLOOKUP($B1228,'4. CÀI ĐẶT'!$A$2:$H$32,6,FALSE)))</f>
        <v/>
      </c>
      <c r="J1228" s="13">
        <f>IF($A1228="","",EOMONTH($A1228,0))</f>
        <v/>
      </c>
      <c r="K1228" s="67">
        <f>IF($B1228="",0,IF(LEFT($B1228,1)="━",0,$C1228*VLOOKUP($B1228,'4. CÀI ĐẶT'!$A$2:$H$32,7,FALSE)))</f>
        <v/>
      </c>
    </row>
    <row r="1229">
      <c r="A1229" s="8" t="n"/>
      <c r="B1229" s="9" t="n"/>
      <c r="C1229" s="65" t="n"/>
      <c r="D1229" s="9" t="n"/>
      <c r="E1229" s="66">
        <f>IF($B1229="","",IF(LEFT($B1229,1)="━","⚠️ Chọn hạng mục cụ thể",$C1229*VLOOKUP($B1229,'4. CÀI ĐẶT'!$A$2:$H$32,2,FALSE)))</f>
        <v/>
      </c>
      <c r="F1229" s="67">
        <f>IF($B1229="",0,IF(LEFT($B1229,1)="━",0,$C1229*VLOOKUP($B1229,'4. CÀI ĐẶT'!$A$2:$H$32,3,FALSE)))</f>
        <v/>
      </c>
      <c r="G1229" s="67">
        <f>IF($B1229="",0,IF(LEFT($B1229,1)="━",0,$C1229*VLOOKUP($B1229,'4. CÀI ĐẶT'!$A$2:$H$32,4,FALSE)))</f>
        <v/>
      </c>
      <c r="H1229" s="67">
        <f>IF($B1229="",0,IF(LEFT($B1229,1)="━",0,$C1229*VLOOKUP($B1229,'4. CÀI ĐẶT'!$A$2:$H$32,5,FALSE)))</f>
        <v/>
      </c>
      <c r="I1229">
        <f>IF($B1229="","",IF(LEFT($B1229,1)="━","",VLOOKUP($B1229,'4. CÀI ĐẶT'!$A$2:$H$32,6,FALSE)))</f>
        <v/>
      </c>
      <c r="J1229" s="13">
        <f>IF($A1229="","",EOMONTH($A1229,0))</f>
        <v/>
      </c>
      <c r="K1229" s="67">
        <f>IF($B1229="",0,IF(LEFT($B1229,1)="━",0,$C1229*VLOOKUP($B1229,'4. CÀI ĐẶT'!$A$2:$H$32,7,FALSE)))</f>
        <v/>
      </c>
    </row>
    <row r="1230">
      <c r="A1230" s="8" t="n"/>
      <c r="B1230" s="9" t="n"/>
      <c r="C1230" s="65" t="n"/>
      <c r="D1230" s="9" t="n"/>
      <c r="E1230" s="66">
        <f>IF($B1230="","",IF(LEFT($B1230,1)="━","⚠️ Chọn hạng mục cụ thể",$C1230*VLOOKUP($B1230,'4. CÀI ĐẶT'!$A$2:$H$32,2,FALSE)))</f>
        <v/>
      </c>
      <c r="F1230" s="67">
        <f>IF($B1230="",0,IF(LEFT($B1230,1)="━",0,$C1230*VLOOKUP($B1230,'4. CÀI ĐẶT'!$A$2:$H$32,3,FALSE)))</f>
        <v/>
      </c>
      <c r="G1230" s="67">
        <f>IF($B1230="",0,IF(LEFT($B1230,1)="━",0,$C1230*VLOOKUP($B1230,'4. CÀI ĐẶT'!$A$2:$H$32,4,FALSE)))</f>
        <v/>
      </c>
      <c r="H1230" s="67">
        <f>IF($B1230="",0,IF(LEFT($B1230,1)="━",0,$C1230*VLOOKUP($B1230,'4. CÀI ĐẶT'!$A$2:$H$32,5,FALSE)))</f>
        <v/>
      </c>
      <c r="I1230">
        <f>IF($B1230="","",IF(LEFT($B1230,1)="━","",VLOOKUP($B1230,'4. CÀI ĐẶT'!$A$2:$H$32,6,FALSE)))</f>
        <v/>
      </c>
      <c r="J1230" s="13">
        <f>IF($A1230="","",EOMONTH($A1230,0))</f>
        <v/>
      </c>
      <c r="K1230" s="67">
        <f>IF($B1230="",0,IF(LEFT($B1230,1)="━",0,$C1230*VLOOKUP($B1230,'4. CÀI ĐẶT'!$A$2:$H$32,7,FALSE)))</f>
        <v/>
      </c>
    </row>
    <row r="1231">
      <c r="A1231" s="8" t="n"/>
      <c r="B1231" s="9" t="n"/>
      <c r="C1231" s="65" t="n"/>
      <c r="D1231" s="9" t="n"/>
      <c r="E1231" s="66">
        <f>IF($B1231="","",IF(LEFT($B1231,1)="━","⚠️ Chọn hạng mục cụ thể",$C1231*VLOOKUP($B1231,'4. CÀI ĐẶT'!$A$2:$H$32,2,FALSE)))</f>
        <v/>
      </c>
      <c r="F1231" s="67">
        <f>IF($B1231="",0,IF(LEFT($B1231,1)="━",0,$C1231*VLOOKUP($B1231,'4. CÀI ĐẶT'!$A$2:$H$32,3,FALSE)))</f>
        <v/>
      </c>
      <c r="G1231" s="67">
        <f>IF($B1231="",0,IF(LEFT($B1231,1)="━",0,$C1231*VLOOKUP($B1231,'4. CÀI ĐẶT'!$A$2:$H$32,4,FALSE)))</f>
        <v/>
      </c>
      <c r="H1231" s="67">
        <f>IF($B1231="",0,IF(LEFT($B1231,1)="━",0,$C1231*VLOOKUP($B1231,'4. CÀI ĐẶT'!$A$2:$H$32,5,FALSE)))</f>
        <v/>
      </c>
      <c r="I1231">
        <f>IF($B1231="","",IF(LEFT($B1231,1)="━","",VLOOKUP($B1231,'4. CÀI ĐẶT'!$A$2:$H$32,6,FALSE)))</f>
        <v/>
      </c>
      <c r="J1231" s="13">
        <f>IF($A1231="","",EOMONTH($A1231,0))</f>
        <v/>
      </c>
      <c r="K1231" s="67">
        <f>IF($B1231="",0,IF(LEFT($B1231,1)="━",0,$C1231*VLOOKUP($B1231,'4. CÀI ĐẶT'!$A$2:$H$32,7,FALSE)))</f>
        <v/>
      </c>
    </row>
    <row r="1232">
      <c r="A1232" s="8" t="n"/>
      <c r="B1232" s="9" t="n"/>
      <c r="C1232" s="65" t="n"/>
      <c r="D1232" s="9" t="n"/>
      <c r="E1232" s="66">
        <f>IF($B1232="","",IF(LEFT($B1232,1)="━","⚠️ Chọn hạng mục cụ thể",$C1232*VLOOKUP($B1232,'4. CÀI ĐẶT'!$A$2:$H$32,2,FALSE)))</f>
        <v/>
      </c>
      <c r="F1232" s="67">
        <f>IF($B1232="",0,IF(LEFT($B1232,1)="━",0,$C1232*VLOOKUP($B1232,'4. CÀI ĐẶT'!$A$2:$H$32,3,FALSE)))</f>
        <v/>
      </c>
      <c r="G1232" s="67">
        <f>IF($B1232="",0,IF(LEFT($B1232,1)="━",0,$C1232*VLOOKUP($B1232,'4. CÀI ĐẶT'!$A$2:$H$32,4,FALSE)))</f>
        <v/>
      </c>
      <c r="H1232" s="67">
        <f>IF($B1232="",0,IF(LEFT($B1232,1)="━",0,$C1232*VLOOKUP($B1232,'4. CÀI ĐẶT'!$A$2:$H$32,5,FALSE)))</f>
        <v/>
      </c>
      <c r="I1232">
        <f>IF($B1232="","",IF(LEFT($B1232,1)="━","",VLOOKUP($B1232,'4. CÀI ĐẶT'!$A$2:$H$32,6,FALSE)))</f>
        <v/>
      </c>
      <c r="J1232" s="13">
        <f>IF($A1232="","",EOMONTH($A1232,0))</f>
        <v/>
      </c>
      <c r="K1232" s="67">
        <f>IF($B1232="",0,IF(LEFT($B1232,1)="━",0,$C1232*VLOOKUP($B1232,'4. CÀI ĐẶT'!$A$2:$H$32,7,FALSE)))</f>
        <v/>
      </c>
    </row>
    <row r="1233">
      <c r="A1233" s="8" t="n"/>
      <c r="B1233" s="9" t="n"/>
      <c r="C1233" s="65" t="n"/>
      <c r="D1233" s="9" t="n"/>
      <c r="E1233" s="66">
        <f>IF($B1233="","",IF(LEFT($B1233,1)="━","⚠️ Chọn hạng mục cụ thể",$C1233*VLOOKUP($B1233,'4. CÀI ĐẶT'!$A$2:$H$32,2,FALSE)))</f>
        <v/>
      </c>
      <c r="F1233" s="67">
        <f>IF($B1233="",0,IF(LEFT($B1233,1)="━",0,$C1233*VLOOKUP($B1233,'4. CÀI ĐẶT'!$A$2:$H$32,3,FALSE)))</f>
        <v/>
      </c>
      <c r="G1233" s="67">
        <f>IF($B1233="",0,IF(LEFT($B1233,1)="━",0,$C1233*VLOOKUP($B1233,'4. CÀI ĐẶT'!$A$2:$H$32,4,FALSE)))</f>
        <v/>
      </c>
      <c r="H1233" s="67">
        <f>IF($B1233="",0,IF(LEFT($B1233,1)="━",0,$C1233*VLOOKUP($B1233,'4. CÀI ĐẶT'!$A$2:$H$32,5,FALSE)))</f>
        <v/>
      </c>
      <c r="I1233">
        <f>IF($B1233="","",IF(LEFT($B1233,1)="━","",VLOOKUP($B1233,'4. CÀI ĐẶT'!$A$2:$H$32,6,FALSE)))</f>
        <v/>
      </c>
      <c r="J1233" s="13">
        <f>IF($A1233="","",EOMONTH($A1233,0))</f>
        <v/>
      </c>
      <c r="K1233" s="67">
        <f>IF($B1233="",0,IF(LEFT($B1233,1)="━",0,$C1233*VLOOKUP($B1233,'4. CÀI ĐẶT'!$A$2:$H$32,7,FALSE)))</f>
        <v/>
      </c>
    </row>
    <row r="1234">
      <c r="A1234" s="8" t="n"/>
      <c r="B1234" s="9" t="n"/>
      <c r="C1234" s="65" t="n"/>
      <c r="D1234" s="9" t="n"/>
      <c r="E1234" s="66">
        <f>IF($B1234="","",IF(LEFT($B1234,1)="━","⚠️ Chọn hạng mục cụ thể",$C1234*VLOOKUP($B1234,'4. CÀI ĐẶT'!$A$2:$H$32,2,FALSE)))</f>
        <v/>
      </c>
      <c r="F1234" s="67">
        <f>IF($B1234="",0,IF(LEFT($B1234,1)="━",0,$C1234*VLOOKUP($B1234,'4. CÀI ĐẶT'!$A$2:$H$32,3,FALSE)))</f>
        <v/>
      </c>
      <c r="G1234" s="67">
        <f>IF($B1234="",0,IF(LEFT($B1234,1)="━",0,$C1234*VLOOKUP($B1234,'4. CÀI ĐẶT'!$A$2:$H$32,4,FALSE)))</f>
        <v/>
      </c>
      <c r="H1234" s="67">
        <f>IF($B1234="",0,IF(LEFT($B1234,1)="━",0,$C1234*VLOOKUP($B1234,'4. CÀI ĐẶT'!$A$2:$H$32,5,FALSE)))</f>
        <v/>
      </c>
      <c r="I1234">
        <f>IF($B1234="","",IF(LEFT($B1234,1)="━","",VLOOKUP($B1234,'4. CÀI ĐẶT'!$A$2:$H$32,6,FALSE)))</f>
        <v/>
      </c>
      <c r="J1234" s="13">
        <f>IF($A1234="","",EOMONTH($A1234,0))</f>
        <v/>
      </c>
      <c r="K1234" s="67">
        <f>IF($B1234="",0,IF(LEFT($B1234,1)="━",0,$C1234*VLOOKUP($B1234,'4. CÀI ĐẶT'!$A$2:$H$32,7,FALSE)))</f>
        <v/>
      </c>
    </row>
    <row r="1235">
      <c r="A1235" s="8" t="n"/>
      <c r="B1235" s="9" t="n"/>
      <c r="C1235" s="65" t="n"/>
      <c r="D1235" s="9" t="n"/>
      <c r="E1235" s="66">
        <f>IF($B1235="","",IF(LEFT($B1235,1)="━","⚠️ Chọn hạng mục cụ thể",$C1235*VLOOKUP($B1235,'4. CÀI ĐẶT'!$A$2:$H$32,2,FALSE)))</f>
        <v/>
      </c>
      <c r="F1235" s="67">
        <f>IF($B1235="",0,IF(LEFT($B1235,1)="━",0,$C1235*VLOOKUP($B1235,'4. CÀI ĐẶT'!$A$2:$H$32,3,FALSE)))</f>
        <v/>
      </c>
      <c r="G1235" s="67">
        <f>IF($B1235="",0,IF(LEFT($B1235,1)="━",0,$C1235*VLOOKUP($B1235,'4. CÀI ĐẶT'!$A$2:$H$32,4,FALSE)))</f>
        <v/>
      </c>
      <c r="H1235" s="67">
        <f>IF($B1235="",0,IF(LEFT($B1235,1)="━",0,$C1235*VLOOKUP($B1235,'4. CÀI ĐẶT'!$A$2:$H$32,5,FALSE)))</f>
        <v/>
      </c>
      <c r="I1235">
        <f>IF($B1235="","",IF(LEFT($B1235,1)="━","",VLOOKUP($B1235,'4. CÀI ĐẶT'!$A$2:$H$32,6,FALSE)))</f>
        <v/>
      </c>
      <c r="J1235" s="13">
        <f>IF($A1235="","",EOMONTH($A1235,0))</f>
        <v/>
      </c>
      <c r="K1235" s="67">
        <f>IF($B1235="",0,IF(LEFT($B1235,1)="━",0,$C1235*VLOOKUP($B1235,'4. CÀI ĐẶT'!$A$2:$H$32,7,FALSE)))</f>
        <v/>
      </c>
    </row>
    <row r="1236">
      <c r="A1236" s="8" t="n"/>
      <c r="B1236" s="9" t="n"/>
      <c r="C1236" s="65" t="n"/>
      <c r="D1236" s="9" t="n"/>
      <c r="E1236" s="66">
        <f>IF($B1236="","",IF(LEFT($B1236,1)="━","⚠️ Chọn hạng mục cụ thể",$C1236*VLOOKUP($B1236,'4. CÀI ĐẶT'!$A$2:$H$32,2,FALSE)))</f>
        <v/>
      </c>
      <c r="F1236" s="67">
        <f>IF($B1236="",0,IF(LEFT($B1236,1)="━",0,$C1236*VLOOKUP($B1236,'4. CÀI ĐẶT'!$A$2:$H$32,3,FALSE)))</f>
        <v/>
      </c>
      <c r="G1236" s="67">
        <f>IF($B1236="",0,IF(LEFT($B1236,1)="━",0,$C1236*VLOOKUP($B1236,'4. CÀI ĐẶT'!$A$2:$H$32,4,FALSE)))</f>
        <v/>
      </c>
      <c r="H1236" s="67">
        <f>IF($B1236="",0,IF(LEFT($B1236,1)="━",0,$C1236*VLOOKUP($B1236,'4. CÀI ĐẶT'!$A$2:$H$32,5,FALSE)))</f>
        <v/>
      </c>
      <c r="I1236">
        <f>IF($B1236="","",IF(LEFT($B1236,1)="━","",VLOOKUP($B1236,'4. CÀI ĐẶT'!$A$2:$H$32,6,FALSE)))</f>
        <v/>
      </c>
      <c r="J1236" s="13">
        <f>IF($A1236="","",EOMONTH($A1236,0))</f>
        <v/>
      </c>
      <c r="K1236" s="67">
        <f>IF($B1236="",0,IF(LEFT($B1236,1)="━",0,$C1236*VLOOKUP($B1236,'4. CÀI ĐẶT'!$A$2:$H$32,7,FALSE)))</f>
        <v/>
      </c>
    </row>
    <row r="1237">
      <c r="A1237" s="8" t="n"/>
      <c r="B1237" s="9" t="n"/>
      <c r="C1237" s="65" t="n"/>
      <c r="D1237" s="9" t="n"/>
      <c r="E1237" s="66">
        <f>IF($B1237="","",IF(LEFT($B1237,1)="━","⚠️ Chọn hạng mục cụ thể",$C1237*VLOOKUP($B1237,'4. CÀI ĐẶT'!$A$2:$H$32,2,FALSE)))</f>
        <v/>
      </c>
      <c r="F1237" s="67">
        <f>IF($B1237="",0,IF(LEFT($B1237,1)="━",0,$C1237*VLOOKUP($B1237,'4. CÀI ĐẶT'!$A$2:$H$32,3,FALSE)))</f>
        <v/>
      </c>
      <c r="G1237" s="67">
        <f>IF($B1237="",0,IF(LEFT($B1237,1)="━",0,$C1237*VLOOKUP($B1237,'4. CÀI ĐẶT'!$A$2:$H$32,4,FALSE)))</f>
        <v/>
      </c>
      <c r="H1237" s="67">
        <f>IF($B1237="",0,IF(LEFT($B1237,1)="━",0,$C1237*VLOOKUP($B1237,'4. CÀI ĐẶT'!$A$2:$H$32,5,FALSE)))</f>
        <v/>
      </c>
      <c r="I1237">
        <f>IF($B1237="","",IF(LEFT($B1237,1)="━","",VLOOKUP($B1237,'4. CÀI ĐẶT'!$A$2:$H$32,6,FALSE)))</f>
        <v/>
      </c>
      <c r="J1237" s="13">
        <f>IF($A1237="","",EOMONTH($A1237,0))</f>
        <v/>
      </c>
      <c r="K1237" s="67">
        <f>IF($B1237="",0,IF(LEFT($B1237,1)="━",0,$C1237*VLOOKUP($B1237,'4. CÀI ĐẶT'!$A$2:$H$32,7,FALSE)))</f>
        <v/>
      </c>
    </row>
    <row r="1238">
      <c r="A1238" s="8" t="n"/>
      <c r="B1238" s="9" t="n"/>
      <c r="C1238" s="65" t="n"/>
      <c r="D1238" s="9" t="n"/>
      <c r="E1238" s="66">
        <f>IF($B1238="","",IF(LEFT($B1238,1)="━","⚠️ Chọn hạng mục cụ thể",$C1238*VLOOKUP($B1238,'4. CÀI ĐẶT'!$A$2:$H$32,2,FALSE)))</f>
        <v/>
      </c>
      <c r="F1238" s="67">
        <f>IF($B1238="",0,IF(LEFT($B1238,1)="━",0,$C1238*VLOOKUP($B1238,'4. CÀI ĐẶT'!$A$2:$H$32,3,FALSE)))</f>
        <v/>
      </c>
      <c r="G1238" s="67">
        <f>IF($B1238="",0,IF(LEFT($B1238,1)="━",0,$C1238*VLOOKUP($B1238,'4. CÀI ĐẶT'!$A$2:$H$32,4,FALSE)))</f>
        <v/>
      </c>
      <c r="H1238" s="67">
        <f>IF($B1238="",0,IF(LEFT($B1238,1)="━",0,$C1238*VLOOKUP($B1238,'4. CÀI ĐẶT'!$A$2:$H$32,5,FALSE)))</f>
        <v/>
      </c>
      <c r="I1238">
        <f>IF($B1238="","",IF(LEFT($B1238,1)="━","",VLOOKUP($B1238,'4. CÀI ĐẶT'!$A$2:$H$32,6,FALSE)))</f>
        <v/>
      </c>
      <c r="J1238" s="13">
        <f>IF($A1238="","",EOMONTH($A1238,0))</f>
        <v/>
      </c>
      <c r="K1238" s="67">
        <f>IF($B1238="",0,IF(LEFT($B1238,1)="━",0,$C1238*VLOOKUP($B1238,'4. CÀI ĐẶT'!$A$2:$H$32,7,FALSE)))</f>
        <v/>
      </c>
    </row>
    <row r="1239">
      <c r="A1239" s="8" t="n"/>
      <c r="B1239" s="9" t="n"/>
      <c r="C1239" s="65" t="n"/>
      <c r="D1239" s="9" t="n"/>
      <c r="E1239" s="66">
        <f>IF($B1239="","",IF(LEFT($B1239,1)="━","⚠️ Chọn hạng mục cụ thể",$C1239*VLOOKUP($B1239,'4. CÀI ĐẶT'!$A$2:$H$32,2,FALSE)))</f>
        <v/>
      </c>
      <c r="F1239" s="67">
        <f>IF($B1239="",0,IF(LEFT($B1239,1)="━",0,$C1239*VLOOKUP($B1239,'4. CÀI ĐẶT'!$A$2:$H$32,3,FALSE)))</f>
        <v/>
      </c>
      <c r="G1239" s="67">
        <f>IF($B1239="",0,IF(LEFT($B1239,1)="━",0,$C1239*VLOOKUP($B1239,'4. CÀI ĐẶT'!$A$2:$H$32,4,FALSE)))</f>
        <v/>
      </c>
      <c r="H1239" s="67">
        <f>IF($B1239="",0,IF(LEFT($B1239,1)="━",0,$C1239*VLOOKUP($B1239,'4. CÀI ĐẶT'!$A$2:$H$32,5,FALSE)))</f>
        <v/>
      </c>
      <c r="I1239">
        <f>IF($B1239="","",IF(LEFT($B1239,1)="━","",VLOOKUP($B1239,'4. CÀI ĐẶT'!$A$2:$H$32,6,FALSE)))</f>
        <v/>
      </c>
      <c r="J1239" s="13">
        <f>IF($A1239="","",EOMONTH($A1239,0))</f>
        <v/>
      </c>
      <c r="K1239" s="67">
        <f>IF($B1239="",0,IF(LEFT($B1239,1)="━",0,$C1239*VLOOKUP($B1239,'4. CÀI ĐẶT'!$A$2:$H$32,7,FALSE)))</f>
        <v/>
      </c>
    </row>
    <row r="1240">
      <c r="A1240" s="8" t="n"/>
      <c r="B1240" s="9" t="n"/>
      <c r="C1240" s="65" t="n"/>
      <c r="D1240" s="9" t="n"/>
      <c r="E1240" s="66">
        <f>IF($B1240="","",IF(LEFT($B1240,1)="━","⚠️ Chọn hạng mục cụ thể",$C1240*VLOOKUP($B1240,'4. CÀI ĐẶT'!$A$2:$H$32,2,FALSE)))</f>
        <v/>
      </c>
      <c r="F1240" s="67">
        <f>IF($B1240="",0,IF(LEFT($B1240,1)="━",0,$C1240*VLOOKUP($B1240,'4. CÀI ĐẶT'!$A$2:$H$32,3,FALSE)))</f>
        <v/>
      </c>
      <c r="G1240" s="67">
        <f>IF($B1240="",0,IF(LEFT($B1240,1)="━",0,$C1240*VLOOKUP($B1240,'4. CÀI ĐẶT'!$A$2:$H$32,4,FALSE)))</f>
        <v/>
      </c>
      <c r="H1240" s="67">
        <f>IF($B1240="",0,IF(LEFT($B1240,1)="━",0,$C1240*VLOOKUP($B1240,'4. CÀI ĐẶT'!$A$2:$H$32,5,FALSE)))</f>
        <v/>
      </c>
      <c r="I1240">
        <f>IF($B1240="","",IF(LEFT($B1240,1)="━","",VLOOKUP($B1240,'4. CÀI ĐẶT'!$A$2:$H$32,6,FALSE)))</f>
        <v/>
      </c>
      <c r="J1240" s="13">
        <f>IF($A1240="","",EOMONTH($A1240,0))</f>
        <v/>
      </c>
      <c r="K1240" s="67">
        <f>IF($B1240="",0,IF(LEFT($B1240,1)="━",0,$C1240*VLOOKUP($B1240,'4. CÀI ĐẶT'!$A$2:$H$32,7,FALSE)))</f>
        <v/>
      </c>
    </row>
    <row r="1241">
      <c r="A1241" s="8" t="n"/>
      <c r="B1241" s="9" t="n"/>
      <c r="C1241" s="65" t="n"/>
      <c r="D1241" s="9" t="n"/>
      <c r="E1241" s="66">
        <f>IF($B1241="","",IF(LEFT($B1241,1)="━","⚠️ Chọn hạng mục cụ thể",$C1241*VLOOKUP($B1241,'4. CÀI ĐẶT'!$A$2:$H$32,2,FALSE)))</f>
        <v/>
      </c>
      <c r="F1241" s="67">
        <f>IF($B1241="",0,IF(LEFT($B1241,1)="━",0,$C1241*VLOOKUP($B1241,'4. CÀI ĐẶT'!$A$2:$H$32,3,FALSE)))</f>
        <v/>
      </c>
      <c r="G1241" s="67">
        <f>IF($B1241="",0,IF(LEFT($B1241,1)="━",0,$C1241*VLOOKUP($B1241,'4. CÀI ĐẶT'!$A$2:$H$32,4,FALSE)))</f>
        <v/>
      </c>
      <c r="H1241" s="67">
        <f>IF($B1241="",0,IF(LEFT($B1241,1)="━",0,$C1241*VLOOKUP($B1241,'4. CÀI ĐẶT'!$A$2:$H$32,5,FALSE)))</f>
        <v/>
      </c>
      <c r="I1241">
        <f>IF($B1241="","",IF(LEFT($B1241,1)="━","",VLOOKUP($B1241,'4. CÀI ĐẶT'!$A$2:$H$32,6,FALSE)))</f>
        <v/>
      </c>
      <c r="J1241" s="13">
        <f>IF($A1241="","",EOMONTH($A1241,0))</f>
        <v/>
      </c>
      <c r="K1241" s="67">
        <f>IF($B1241="",0,IF(LEFT($B1241,1)="━",0,$C1241*VLOOKUP($B1241,'4. CÀI ĐẶT'!$A$2:$H$32,7,FALSE)))</f>
        <v/>
      </c>
    </row>
    <row r="1242">
      <c r="A1242" s="8" t="n"/>
      <c r="B1242" s="9" t="n"/>
      <c r="C1242" s="65" t="n"/>
      <c r="D1242" s="9" t="n"/>
      <c r="E1242" s="66">
        <f>IF($B1242="","",IF(LEFT($B1242,1)="━","⚠️ Chọn hạng mục cụ thể",$C1242*VLOOKUP($B1242,'4. CÀI ĐẶT'!$A$2:$H$32,2,FALSE)))</f>
        <v/>
      </c>
      <c r="F1242" s="67">
        <f>IF($B1242="",0,IF(LEFT($B1242,1)="━",0,$C1242*VLOOKUP($B1242,'4. CÀI ĐẶT'!$A$2:$H$32,3,FALSE)))</f>
        <v/>
      </c>
      <c r="G1242" s="67">
        <f>IF($B1242="",0,IF(LEFT($B1242,1)="━",0,$C1242*VLOOKUP($B1242,'4. CÀI ĐẶT'!$A$2:$H$32,4,FALSE)))</f>
        <v/>
      </c>
      <c r="H1242" s="67">
        <f>IF($B1242="",0,IF(LEFT($B1242,1)="━",0,$C1242*VLOOKUP($B1242,'4. CÀI ĐẶT'!$A$2:$H$32,5,FALSE)))</f>
        <v/>
      </c>
      <c r="I1242">
        <f>IF($B1242="","",IF(LEFT($B1242,1)="━","",VLOOKUP($B1242,'4. CÀI ĐẶT'!$A$2:$H$32,6,FALSE)))</f>
        <v/>
      </c>
      <c r="J1242" s="13">
        <f>IF($A1242="","",EOMONTH($A1242,0))</f>
        <v/>
      </c>
      <c r="K1242" s="67">
        <f>IF($B1242="",0,IF(LEFT($B1242,1)="━",0,$C1242*VLOOKUP($B1242,'4. CÀI ĐẶT'!$A$2:$H$32,7,FALSE)))</f>
        <v/>
      </c>
    </row>
    <row r="1243">
      <c r="A1243" s="8" t="n"/>
      <c r="B1243" s="9" t="n"/>
      <c r="C1243" s="65" t="n"/>
      <c r="D1243" s="9" t="n"/>
      <c r="E1243" s="66">
        <f>IF($B1243="","",IF(LEFT($B1243,1)="━","⚠️ Chọn hạng mục cụ thể",$C1243*VLOOKUP($B1243,'4. CÀI ĐẶT'!$A$2:$H$32,2,FALSE)))</f>
        <v/>
      </c>
      <c r="F1243" s="67">
        <f>IF($B1243="",0,IF(LEFT($B1243,1)="━",0,$C1243*VLOOKUP($B1243,'4. CÀI ĐẶT'!$A$2:$H$32,3,FALSE)))</f>
        <v/>
      </c>
      <c r="G1243" s="67">
        <f>IF($B1243="",0,IF(LEFT($B1243,1)="━",0,$C1243*VLOOKUP($B1243,'4. CÀI ĐẶT'!$A$2:$H$32,4,FALSE)))</f>
        <v/>
      </c>
      <c r="H1243" s="67">
        <f>IF($B1243="",0,IF(LEFT($B1243,1)="━",0,$C1243*VLOOKUP($B1243,'4. CÀI ĐẶT'!$A$2:$H$32,5,FALSE)))</f>
        <v/>
      </c>
      <c r="I1243">
        <f>IF($B1243="","",IF(LEFT($B1243,1)="━","",VLOOKUP($B1243,'4. CÀI ĐẶT'!$A$2:$H$32,6,FALSE)))</f>
        <v/>
      </c>
      <c r="J1243" s="13">
        <f>IF($A1243="","",EOMONTH($A1243,0))</f>
        <v/>
      </c>
      <c r="K1243" s="67">
        <f>IF($B1243="",0,IF(LEFT($B1243,1)="━",0,$C1243*VLOOKUP($B1243,'4. CÀI ĐẶT'!$A$2:$H$32,7,FALSE)))</f>
        <v/>
      </c>
    </row>
    <row r="1244">
      <c r="A1244" s="8" t="n"/>
      <c r="B1244" s="9" t="n"/>
      <c r="C1244" s="65" t="n"/>
      <c r="D1244" s="9" t="n"/>
      <c r="E1244" s="66">
        <f>IF($B1244="","",IF(LEFT($B1244,1)="━","⚠️ Chọn hạng mục cụ thể",$C1244*VLOOKUP($B1244,'4. CÀI ĐẶT'!$A$2:$H$32,2,FALSE)))</f>
        <v/>
      </c>
      <c r="F1244" s="67">
        <f>IF($B1244="",0,IF(LEFT($B1244,1)="━",0,$C1244*VLOOKUP($B1244,'4. CÀI ĐẶT'!$A$2:$H$32,3,FALSE)))</f>
        <v/>
      </c>
      <c r="G1244" s="67">
        <f>IF($B1244="",0,IF(LEFT($B1244,1)="━",0,$C1244*VLOOKUP($B1244,'4. CÀI ĐẶT'!$A$2:$H$32,4,FALSE)))</f>
        <v/>
      </c>
      <c r="H1244" s="67">
        <f>IF($B1244="",0,IF(LEFT($B1244,1)="━",0,$C1244*VLOOKUP($B1244,'4. CÀI ĐẶT'!$A$2:$H$32,5,FALSE)))</f>
        <v/>
      </c>
      <c r="I1244">
        <f>IF($B1244="","",IF(LEFT($B1244,1)="━","",VLOOKUP($B1244,'4. CÀI ĐẶT'!$A$2:$H$32,6,FALSE)))</f>
        <v/>
      </c>
      <c r="J1244" s="13">
        <f>IF($A1244="","",EOMONTH($A1244,0))</f>
        <v/>
      </c>
      <c r="K1244" s="67">
        <f>IF($B1244="",0,IF(LEFT($B1244,1)="━",0,$C1244*VLOOKUP($B1244,'4. CÀI ĐẶT'!$A$2:$H$32,7,FALSE)))</f>
        <v/>
      </c>
    </row>
    <row r="1245">
      <c r="A1245" s="8" t="n"/>
      <c r="B1245" s="9" t="n"/>
      <c r="C1245" s="65" t="n"/>
      <c r="D1245" s="9" t="n"/>
      <c r="E1245" s="66">
        <f>IF($B1245="","",IF(LEFT($B1245,1)="━","⚠️ Chọn hạng mục cụ thể",$C1245*VLOOKUP($B1245,'4. CÀI ĐẶT'!$A$2:$H$32,2,FALSE)))</f>
        <v/>
      </c>
      <c r="F1245" s="67">
        <f>IF($B1245="",0,IF(LEFT($B1245,1)="━",0,$C1245*VLOOKUP($B1245,'4. CÀI ĐẶT'!$A$2:$H$32,3,FALSE)))</f>
        <v/>
      </c>
      <c r="G1245" s="67">
        <f>IF($B1245="",0,IF(LEFT($B1245,1)="━",0,$C1245*VLOOKUP($B1245,'4. CÀI ĐẶT'!$A$2:$H$32,4,FALSE)))</f>
        <v/>
      </c>
      <c r="H1245" s="67">
        <f>IF($B1245="",0,IF(LEFT($B1245,1)="━",0,$C1245*VLOOKUP($B1245,'4. CÀI ĐẶT'!$A$2:$H$32,5,FALSE)))</f>
        <v/>
      </c>
      <c r="I1245">
        <f>IF($B1245="","",IF(LEFT($B1245,1)="━","",VLOOKUP($B1245,'4. CÀI ĐẶT'!$A$2:$H$32,6,FALSE)))</f>
        <v/>
      </c>
      <c r="J1245" s="13">
        <f>IF($A1245="","",EOMONTH($A1245,0))</f>
        <v/>
      </c>
      <c r="K1245" s="67">
        <f>IF($B1245="",0,IF(LEFT($B1245,1)="━",0,$C1245*VLOOKUP($B1245,'4. CÀI ĐẶT'!$A$2:$H$32,7,FALSE)))</f>
        <v/>
      </c>
    </row>
    <row r="1246">
      <c r="A1246" s="8" t="n"/>
      <c r="B1246" s="9" t="n"/>
      <c r="C1246" s="65" t="n"/>
      <c r="D1246" s="9" t="n"/>
      <c r="E1246" s="66">
        <f>IF($B1246="","",IF(LEFT($B1246,1)="━","⚠️ Chọn hạng mục cụ thể",$C1246*VLOOKUP($B1246,'4. CÀI ĐẶT'!$A$2:$H$32,2,FALSE)))</f>
        <v/>
      </c>
      <c r="F1246" s="67">
        <f>IF($B1246="",0,IF(LEFT($B1246,1)="━",0,$C1246*VLOOKUP($B1246,'4. CÀI ĐẶT'!$A$2:$H$32,3,FALSE)))</f>
        <v/>
      </c>
      <c r="G1246" s="67">
        <f>IF($B1246="",0,IF(LEFT($B1246,1)="━",0,$C1246*VLOOKUP($B1246,'4. CÀI ĐẶT'!$A$2:$H$32,4,FALSE)))</f>
        <v/>
      </c>
      <c r="H1246" s="67">
        <f>IF($B1246="",0,IF(LEFT($B1246,1)="━",0,$C1246*VLOOKUP($B1246,'4. CÀI ĐẶT'!$A$2:$H$32,5,FALSE)))</f>
        <v/>
      </c>
      <c r="I1246">
        <f>IF($B1246="","",IF(LEFT($B1246,1)="━","",VLOOKUP($B1246,'4. CÀI ĐẶT'!$A$2:$H$32,6,FALSE)))</f>
        <v/>
      </c>
      <c r="J1246" s="13">
        <f>IF($A1246="","",EOMONTH($A1246,0))</f>
        <v/>
      </c>
      <c r="K1246" s="67">
        <f>IF($B1246="",0,IF(LEFT($B1246,1)="━",0,$C1246*VLOOKUP($B1246,'4. CÀI ĐẶT'!$A$2:$H$32,7,FALSE)))</f>
        <v/>
      </c>
    </row>
    <row r="1247">
      <c r="A1247" s="8" t="n"/>
      <c r="B1247" s="9" t="n"/>
      <c r="C1247" s="65" t="n"/>
      <c r="D1247" s="9" t="n"/>
      <c r="E1247" s="66">
        <f>IF($B1247="","",IF(LEFT($B1247,1)="━","⚠️ Chọn hạng mục cụ thể",$C1247*VLOOKUP($B1247,'4. CÀI ĐẶT'!$A$2:$H$32,2,FALSE)))</f>
        <v/>
      </c>
      <c r="F1247" s="67">
        <f>IF($B1247="",0,IF(LEFT($B1247,1)="━",0,$C1247*VLOOKUP($B1247,'4. CÀI ĐẶT'!$A$2:$H$32,3,FALSE)))</f>
        <v/>
      </c>
      <c r="G1247" s="67">
        <f>IF($B1247="",0,IF(LEFT($B1247,1)="━",0,$C1247*VLOOKUP($B1247,'4. CÀI ĐẶT'!$A$2:$H$32,4,FALSE)))</f>
        <v/>
      </c>
      <c r="H1247" s="67">
        <f>IF($B1247="",0,IF(LEFT($B1247,1)="━",0,$C1247*VLOOKUP($B1247,'4. CÀI ĐẶT'!$A$2:$H$32,5,FALSE)))</f>
        <v/>
      </c>
      <c r="I1247">
        <f>IF($B1247="","",IF(LEFT($B1247,1)="━","",VLOOKUP($B1247,'4. CÀI ĐẶT'!$A$2:$H$32,6,FALSE)))</f>
        <v/>
      </c>
      <c r="J1247" s="13">
        <f>IF($A1247="","",EOMONTH($A1247,0))</f>
        <v/>
      </c>
      <c r="K1247" s="67">
        <f>IF($B1247="",0,IF(LEFT($B1247,1)="━",0,$C1247*VLOOKUP($B1247,'4. CÀI ĐẶT'!$A$2:$H$32,7,FALSE)))</f>
        <v/>
      </c>
    </row>
    <row r="1248">
      <c r="A1248" s="8" t="n"/>
      <c r="B1248" s="9" t="n"/>
      <c r="C1248" s="65" t="n"/>
      <c r="D1248" s="9" t="n"/>
      <c r="E1248" s="66">
        <f>IF($B1248="","",IF(LEFT($B1248,1)="━","⚠️ Chọn hạng mục cụ thể",$C1248*VLOOKUP($B1248,'4. CÀI ĐẶT'!$A$2:$H$32,2,FALSE)))</f>
        <v/>
      </c>
      <c r="F1248" s="67">
        <f>IF($B1248="",0,IF(LEFT($B1248,1)="━",0,$C1248*VLOOKUP($B1248,'4. CÀI ĐẶT'!$A$2:$H$32,3,FALSE)))</f>
        <v/>
      </c>
      <c r="G1248" s="67">
        <f>IF($B1248="",0,IF(LEFT($B1248,1)="━",0,$C1248*VLOOKUP($B1248,'4. CÀI ĐẶT'!$A$2:$H$32,4,FALSE)))</f>
        <v/>
      </c>
      <c r="H1248" s="67">
        <f>IF($B1248="",0,IF(LEFT($B1248,1)="━",0,$C1248*VLOOKUP($B1248,'4. CÀI ĐẶT'!$A$2:$H$32,5,FALSE)))</f>
        <v/>
      </c>
      <c r="I1248">
        <f>IF($B1248="","",IF(LEFT($B1248,1)="━","",VLOOKUP($B1248,'4. CÀI ĐẶT'!$A$2:$H$32,6,FALSE)))</f>
        <v/>
      </c>
      <c r="J1248" s="13">
        <f>IF($A1248="","",EOMONTH($A1248,0))</f>
        <v/>
      </c>
      <c r="K1248" s="67">
        <f>IF($B1248="",0,IF(LEFT($B1248,1)="━",0,$C1248*VLOOKUP($B1248,'4. CÀI ĐẶT'!$A$2:$H$32,7,FALSE)))</f>
        <v/>
      </c>
    </row>
    <row r="1249">
      <c r="A1249" s="8" t="n"/>
      <c r="B1249" s="9" t="n"/>
      <c r="C1249" s="65" t="n"/>
      <c r="D1249" s="9" t="n"/>
      <c r="E1249" s="66">
        <f>IF($B1249="","",IF(LEFT($B1249,1)="━","⚠️ Chọn hạng mục cụ thể",$C1249*VLOOKUP($B1249,'4. CÀI ĐẶT'!$A$2:$H$32,2,FALSE)))</f>
        <v/>
      </c>
      <c r="F1249" s="67">
        <f>IF($B1249="",0,IF(LEFT($B1249,1)="━",0,$C1249*VLOOKUP($B1249,'4. CÀI ĐẶT'!$A$2:$H$32,3,FALSE)))</f>
        <v/>
      </c>
      <c r="G1249" s="67">
        <f>IF($B1249="",0,IF(LEFT($B1249,1)="━",0,$C1249*VLOOKUP($B1249,'4. CÀI ĐẶT'!$A$2:$H$32,4,FALSE)))</f>
        <v/>
      </c>
      <c r="H1249" s="67">
        <f>IF($B1249="",0,IF(LEFT($B1249,1)="━",0,$C1249*VLOOKUP($B1249,'4. CÀI ĐẶT'!$A$2:$H$32,5,FALSE)))</f>
        <v/>
      </c>
      <c r="I1249">
        <f>IF($B1249="","",IF(LEFT($B1249,1)="━","",VLOOKUP($B1249,'4. CÀI ĐẶT'!$A$2:$H$32,6,FALSE)))</f>
        <v/>
      </c>
      <c r="J1249" s="13">
        <f>IF($A1249="","",EOMONTH($A1249,0))</f>
        <v/>
      </c>
      <c r="K1249" s="67">
        <f>IF($B1249="",0,IF(LEFT($B1249,1)="━",0,$C1249*VLOOKUP($B1249,'4. CÀI ĐẶT'!$A$2:$H$32,7,FALSE)))</f>
        <v/>
      </c>
    </row>
    <row r="1250">
      <c r="A1250" s="8" t="n"/>
      <c r="B1250" s="9" t="n"/>
      <c r="C1250" s="65" t="n"/>
      <c r="D1250" s="9" t="n"/>
      <c r="E1250" s="66">
        <f>IF($B1250="","",IF(LEFT($B1250,1)="━","⚠️ Chọn hạng mục cụ thể",$C1250*VLOOKUP($B1250,'4. CÀI ĐẶT'!$A$2:$H$32,2,FALSE)))</f>
        <v/>
      </c>
      <c r="F1250" s="67">
        <f>IF($B1250="",0,IF(LEFT($B1250,1)="━",0,$C1250*VLOOKUP($B1250,'4. CÀI ĐẶT'!$A$2:$H$32,3,FALSE)))</f>
        <v/>
      </c>
      <c r="G1250" s="67">
        <f>IF($B1250="",0,IF(LEFT($B1250,1)="━",0,$C1250*VLOOKUP($B1250,'4. CÀI ĐẶT'!$A$2:$H$32,4,FALSE)))</f>
        <v/>
      </c>
      <c r="H1250" s="67">
        <f>IF($B1250="",0,IF(LEFT($B1250,1)="━",0,$C1250*VLOOKUP($B1250,'4. CÀI ĐẶT'!$A$2:$H$32,5,FALSE)))</f>
        <v/>
      </c>
      <c r="I1250">
        <f>IF($B1250="","",IF(LEFT($B1250,1)="━","",VLOOKUP($B1250,'4. CÀI ĐẶT'!$A$2:$H$32,6,FALSE)))</f>
        <v/>
      </c>
      <c r="J1250" s="13">
        <f>IF($A1250="","",EOMONTH($A1250,0))</f>
        <v/>
      </c>
      <c r="K1250" s="67">
        <f>IF($B1250="",0,IF(LEFT($B1250,1)="━",0,$C1250*VLOOKUP($B1250,'4. CÀI ĐẶT'!$A$2:$H$32,7,FALSE)))</f>
        <v/>
      </c>
    </row>
    <row r="1251">
      <c r="A1251" s="8" t="n"/>
      <c r="B1251" s="9" t="n"/>
      <c r="C1251" s="65" t="n"/>
      <c r="D1251" s="9" t="n"/>
      <c r="E1251" s="66">
        <f>IF($B1251="","",IF(LEFT($B1251,1)="━","⚠️ Chọn hạng mục cụ thể",$C1251*VLOOKUP($B1251,'4. CÀI ĐẶT'!$A$2:$H$32,2,FALSE)))</f>
        <v/>
      </c>
      <c r="F1251" s="67">
        <f>IF($B1251="",0,IF(LEFT($B1251,1)="━",0,$C1251*VLOOKUP($B1251,'4. CÀI ĐẶT'!$A$2:$H$32,3,FALSE)))</f>
        <v/>
      </c>
      <c r="G1251" s="67">
        <f>IF($B1251="",0,IF(LEFT($B1251,1)="━",0,$C1251*VLOOKUP($B1251,'4. CÀI ĐẶT'!$A$2:$H$32,4,FALSE)))</f>
        <v/>
      </c>
      <c r="H1251" s="67">
        <f>IF($B1251="",0,IF(LEFT($B1251,1)="━",0,$C1251*VLOOKUP($B1251,'4. CÀI ĐẶT'!$A$2:$H$32,5,FALSE)))</f>
        <v/>
      </c>
      <c r="I1251">
        <f>IF($B1251="","",IF(LEFT($B1251,1)="━","",VLOOKUP($B1251,'4. CÀI ĐẶT'!$A$2:$H$32,6,FALSE)))</f>
        <v/>
      </c>
      <c r="J1251" s="13">
        <f>IF($A1251="","",EOMONTH($A1251,0))</f>
        <v/>
      </c>
      <c r="K1251" s="67">
        <f>IF($B1251="",0,IF(LEFT($B1251,1)="━",0,$C1251*VLOOKUP($B1251,'4. CÀI ĐẶT'!$A$2:$H$32,7,FALSE)))</f>
        <v/>
      </c>
    </row>
    <row r="1252">
      <c r="A1252" s="8" t="n"/>
      <c r="B1252" s="9" t="n"/>
      <c r="C1252" s="65" t="n"/>
      <c r="D1252" s="9" t="n"/>
      <c r="E1252" s="66">
        <f>IF($B1252="","",IF(LEFT($B1252,1)="━","⚠️ Chọn hạng mục cụ thể",$C1252*VLOOKUP($B1252,'4. CÀI ĐẶT'!$A$2:$H$32,2,FALSE)))</f>
        <v/>
      </c>
      <c r="F1252" s="67">
        <f>IF($B1252="",0,IF(LEFT($B1252,1)="━",0,$C1252*VLOOKUP($B1252,'4. CÀI ĐẶT'!$A$2:$H$32,3,FALSE)))</f>
        <v/>
      </c>
      <c r="G1252" s="67">
        <f>IF($B1252="",0,IF(LEFT($B1252,1)="━",0,$C1252*VLOOKUP($B1252,'4. CÀI ĐẶT'!$A$2:$H$32,4,FALSE)))</f>
        <v/>
      </c>
      <c r="H1252" s="67">
        <f>IF($B1252="",0,IF(LEFT($B1252,1)="━",0,$C1252*VLOOKUP($B1252,'4. CÀI ĐẶT'!$A$2:$H$32,5,FALSE)))</f>
        <v/>
      </c>
      <c r="I1252">
        <f>IF($B1252="","",IF(LEFT($B1252,1)="━","",VLOOKUP($B1252,'4. CÀI ĐẶT'!$A$2:$H$32,6,FALSE)))</f>
        <v/>
      </c>
      <c r="J1252" s="13">
        <f>IF($A1252="","",EOMONTH($A1252,0))</f>
        <v/>
      </c>
      <c r="K1252" s="67">
        <f>IF($B1252="",0,IF(LEFT($B1252,1)="━",0,$C1252*VLOOKUP($B1252,'4. CÀI ĐẶT'!$A$2:$H$32,7,FALSE)))</f>
        <v/>
      </c>
    </row>
    <row r="1253">
      <c r="A1253" s="8" t="n"/>
      <c r="B1253" s="9" t="n"/>
      <c r="C1253" s="65" t="n"/>
      <c r="D1253" s="9" t="n"/>
      <c r="E1253" s="66">
        <f>IF($B1253="","",IF(LEFT($B1253,1)="━","⚠️ Chọn hạng mục cụ thể",$C1253*VLOOKUP($B1253,'4. CÀI ĐẶT'!$A$2:$H$32,2,FALSE)))</f>
        <v/>
      </c>
      <c r="F1253" s="67">
        <f>IF($B1253="",0,IF(LEFT($B1253,1)="━",0,$C1253*VLOOKUP($B1253,'4. CÀI ĐẶT'!$A$2:$H$32,3,FALSE)))</f>
        <v/>
      </c>
      <c r="G1253" s="67">
        <f>IF($B1253="",0,IF(LEFT($B1253,1)="━",0,$C1253*VLOOKUP($B1253,'4. CÀI ĐẶT'!$A$2:$H$32,4,FALSE)))</f>
        <v/>
      </c>
      <c r="H1253" s="67">
        <f>IF($B1253="",0,IF(LEFT($B1253,1)="━",0,$C1253*VLOOKUP($B1253,'4. CÀI ĐẶT'!$A$2:$H$32,5,FALSE)))</f>
        <v/>
      </c>
      <c r="I1253">
        <f>IF($B1253="","",IF(LEFT($B1253,1)="━","",VLOOKUP($B1253,'4. CÀI ĐẶT'!$A$2:$H$32,6,FALSE)))</f>
        <v/>
      </c>
      <c r="J1253" s="13">
        <f>IF($A1253="","",EOMONTH($A1253,0))</f>
        <v/>
      </c>
      <c r="K1253" s="67">
        <f>IF($B1253="",0,IF(LEFT($B1253,1)="━",0,$C1253*VLOOKUP($B1253,'4. CÀI ĐẶT'!$A$2:$H$32,7,FALSE)))</f>
        <v/>
      </c>
    </row>
    <row r="1254">
      <c r="A1254" s="8" t="n"/>
      <c r="B1254" s="9" t="n"/>
      <c r="C1254" s="65" t="n"/>
      <c r="D1254" s="9" t="n"/>
      <c r="E1254" s="66">
        <f>IF($B1254="","",IF(LEFT($B1254,1)="━","⚠️ Chọn hạng mục cụ thể",$C1254*VLOOKUP($B1254,'4. CÀI ĐẶT'!$A$2:$H$32,2,FALSE)))</f>
        <v/>
      </c>
      <c r="F1254" s="67">
        <f>IF($B1254="",0,IF(LEFT($B1254,1)="━",0,$C1254*VLOOKUP($B1254,'4. CÀI ĐẶT'!$A$2:$H$32,3,FALSE)))</f>
        <v/>
      </c>
      <c r="G1254" s="67">
        <f>IF($B1254="",0,IF(LEFT($B1254,1)="━",0,$C1254*VLOOKUP($B1254,'4. CÀI ĐẶT'!$A$2:$H$32,4,FALSE)))</f>
        <v/>
      </c>
      <c r="H1254" s="67">
        <f>IF($B1254="",0,IF(LEFT($B1254,1)="━",0,$C1254*VLOOKUP($B1254,'4. CÀI ĐẶT'!$A$2:$H$32,5,FALSE)))</f>
        <v/>
      </c>
      <c r="I1254">
        <f>IF($B1254="","",IF(LEFT($B1254,1)="━","",VLOOKUP($B1254,'4. CÀI ĐẶT'!$A$2:$H$32,6,FALSE)))</f>
        <v/>
      </c>
      <c r="J1254" s="13">
        <f>IF($A1254="","",EOMONTH($A1254,0))</f>
        <v/>
      </c>
      <c r="K1254" s="67">
        <f>IF($B1254="",0,IF(LEFT($B1254,1)="━",0,$C1254*VLOOKUP($B1254,'4. CÀI ĐẶT'!$A$2:$H$32,7,FALSE)))</f>
        <v/>
      </c>
    </row>
    <row r="1255">
      <c r="A1255" s="8" t="n"/>
      <c r="B1255" s="9" t="n"/>
      <c r="C1255" s="65" t="n"/>
      <c r="D1255" s="9" t="n"/>
      <c r="E1255" s="66">
        <f>IF($B1255="","",IF(LEFT($B1255,1)="━","⚠️ Chọn hạng mục cụ thể",$C1255*VLOOKUP($B1255,'4. CÀI ĐẶT'!$A$2:$H$32,2,FALSE)))</f>
        <v/>
      </c>
      <c r="F1255" s="67">
        <f>IF($B1255="",0,IF(LEFT($B1255,1)="━",0,$C1255*VLOOKUP($B1255,'4. CÀI ĐẶT'!$A$2:$H$32,3,FALSE)))</f>
        <v/>
      </c>
      <c r="G1255" s="67">
        <f>IF($B1255="",0,IF(LEFT($B1255,1)="━",0,$C1255*VLOOKUP($B1255,'4. CÀI ĐẶT'!$A$2:$H$32,4,FALSE)))</f>
        <v/>
      </c>
      <c r="H1255" s="67">
        <f>IF($B1255="",0,IF(LEFT($B1255,1)="━",0,$C1255*VLOOKUP($B1255,'4. CÀI ĐẶT'!$A$2:$H$32,5,FALSE)))</f>
        <v/>
      </c>
      <c r="I1255">
        <f>IF($B1255="","",IF(LEFT($B1255,1)="━","",VLOOKUP($B1255,'4. CÀI ĐẶT'!$A$2:$H$32,6,FALSE)))</f>
        <v/>
      </c>
      <c r="J1255" s="13">
        <f>IF($A1255="","",EOMONTH($A1255,0))</f>
        <v/>
      </c>
      <c r="K1255" s="67">
        <f>IF($B1255="",0,IF(LEFT($B1255,1)="━",0,$C1255*VLOOKUP($B1255,'4. CÀI ĐẶT'!$A$2:$H$32,7,FALSE)))</f>
        <v/>
      </c>
    </row>
    <row r="1256">
      <c r="A1256" s="8" t="n"/>
      <c r="B1256" s="9" t="n"/>
      <c r="C1256" s="65" t="n"/>
      <c r="D1256" s="9" t="n"/>
      <c r="E1256" s="66">
        <f>IF($B1256="","",IF(LEFT($B1256,1)="━","⚠️ Chọn hạng mục cụ thể",$C1256*VLOOKUP($B1256,'4. CÀI ĐẶT'!$A$2:$H$32,2,FALSE)))</f>
        <v/>
      </c>
      <c r="F1256" s="67">
        <f>IF($B1256="",0,IF(LEFT($B1256,1)="━",0,$C1256*VLOOKUP($B1256,'4. CÀI ĐẶT'!$A$2:$H$32,3,FALSE)))</f>
        <v/>
      </c>
      <c r="G1256" s="67">
        <f>IF($B1256="",0,IF(LEFT($B1256,1)="━",0,$C1256*VLOOKUP($B1256,'4. CÀI ĐẶT'!$A$2:$H$32,4,FALSE)))</f>
        <v/>
      </c>
      <c r="H1256" s="67">
        <f>IF($B1256="",0,IF(LEFT($B1256,1)="━",0,$C1256*VLOOKUP($B1256,'4. CÀI ĐẶT'!$A$2:$H$32,5,FALSE)))</f>
        <v/>
      </c>
      <c r="I1256">
        <f>IF($B1256="","",IF(LEFT($B1256,1)="━","",VLOOKUP($B1256,'4. CÀI ĐẶT'!$A$2:$H$32,6,FALSE)))</f>
        <v/>
      </c>
      <c r="J1256" s="13">
        <f>IF($A1256="","",EOMONTH($A1256,0))</f>
        <v/>
      </c>
      <c r="K1256" s="67">
        <f>IF($B1256="",0,IF(LEFT($B1256,1)="━",0,$C1256*VLOOKUP($B1256,'4. CÀI ĐẶT'!$A$2:$H$32,7,FALSE)))</f>
        <v/>
      </c>
    </row>
    <row r="1257">
      <c r="A1257" s="8" t="n"/>
      <c r="B1257" s="9" t="n"/>
      <c r="C1257" s="65" t="n"/>
      <c r="D1257" s="9" t="n"/>
      <c r="E1257" s="66">
        <f>IF($B1257="","",IF(LEFT($B1257,1)="━","⚠️ Chọn hạng mục cụ thể",$C1257*VLOOKUP($B1257,'4. CÀI ĐẶT'!$A$2:$H$32,2,FALSE)))</f>
        <v/>
      </c>
      <c r="F1257" s="67">
        <f>IF($B1257="",0,IF(LEFT($B1257,1)="━",0,$C1257*VLOOKUP($B1257,'4. CÀI ĐẶT'!$A$2:$H$32,3,FALSE)))</f>
        <v/>
      </c>
      <c r="G1257" s="67">
        <f>IF($B1257="",0,IF(LEFT($B1257,1)="━",0,$C1257*VLOOKUP($B1257,'4. CÀI ĐẶT'!$A$2:$H$32,4,FALSE)))</f>
        <v/>
      </c>
      <c r="H1257" s="67">
        <f>IF($B1257="",0,IF(LEFT($B1257,1)="━",0,$C1257*VLOOKUP($B1257,'4. CÀI ĐẶT'!$A$2:$H$32,5,FALSE)))</f>
        <v/>
      </c>
      <c r="I1257">
        <f>IF($B1257="","",IF(LEFT($B1257,1)="━","",VLOOKUP($B1257,'4. CÀI ĐẶT'!$A$2:$H$32,6,FALSE)))</f>
        <v/>
      </c>
      <c r="J1257" s="13">
        <f>IF($A1257="","",EOMONTH($A1257,0))</f>
        <v/>
      </c>
      <c r="K1257" s="67">
        <f>IF($B1257="",0,IF(LEFT($B1257,1)="━",0,$C1257*VLOOKUP($B1257,'4. CÀI ĐẶT'!$A$2:$H$32,7,FALSE)))</f>
        <v/>
      </c>
    </row>
    <row r="1258">
      <c r="A1258" s="8" t="n"/>
      <c r="B1258" s="9" t="n"/>
      <c r="C1258" s="65" t="n"/>
      <c r="D1258" s="9" t="n"/>
      <c r="E1258" s="66">
        <f>IF($B1258="","",IF(LEFT($B1258,1)="━","⚠️ Chọn hạng mục cụ thể",$C1258*VLOOKUP($B1258,'4. CÀI ĐẶT'!$A$2:$H$32,2,FALSE)))</f>
        <v/>
      </c>
      <c r="F1258" s="67">
        <f>IF($B1258="",0,IF(LEFT($B1258,1)="━",0,$C1258*VLOOKUP($B1258,'4. CÀI ĐẶT'!$A$2:$H$32,3,FALSE)))</f>
        <v/>
      </c>
      <c r="G1258" s="67">
        <f>IF($B1258="",0,IF(LEFT($B1258,1)="━",0,$C1258*VLOOKUP($B1258,'4. CÀI ĐẶT'!$A$2:$H$32,4,FALSE)))</f>
        <v/>
      </c>
      <c r="H1258" s="67">
        <f>IF($B1258="",0,IF(LEFT($B1258,1)="━",0,$C1258*VLOOKUP($B1258,'4. CÀI ĐẶT'!$A$2:$H$32,5,FALSE)))</f>
        <v/>
      </c>
      <c r="I1258">
        <f>IF($B1258="","",IF(LEFT($B1258,1)="━","",VLOOKUP($B1258,'4. CÀI ĐẶT'!$A$2:$H$32,6,FALSE)))</f>
        <v/>
      </c>
      <c r="J1258" s="13">
        <f>IF($A1258="","",EOMONTH($A1258,0))</f>
        <v/>
      </c>
      <c r="K1258" s="67">
        <f>IF($B1258="",0,IF(LEFT($B1258,1)="━",0,$C1258*VLOOKUP($B1258,'4. CÀI ĐẶT'!$A$2:$H$32,7,FALSE)))</f>
        <v/>
      </c>
    </row>
    <row r="1259">
      <c r="A1259" s="8" t="n"/>
      <c r="B1259" s="9" t="n"/>
      <c r="C1259" s="65" t="n"/>
      <c r="D1259" s="9" t="n"/>
      <c r="E1259" s="66">
        <f>IF($B1259="","",IF(LEFT($B1259,1)="━","⚠️ Chọn hạng mục cụ thể",$C1259*VLOOKUP($B1259,'4. CÀI ĐẶT'!$A$2:$H$32,2,FALSE)))</f>
        <v/>
      </c>
      <c r="F1259" s="67">
        <f>IF($B1259="",0,IF(LEFT($B1259,1)="━",0,$C1259*VLOOKUP($B1259,'4. CÀI ĐẶT'!$A$2:$H$32,3,FALSE)))</f>
        <v/>
      </c>
      <c r="G1259" s="67">
        <f>IF($B1259="",0,IF(LEFT($B1259,1)="━",0,$C1259*VLOOKUP($B1259,'4. CÀI ĐẶT'!$A$2:$H$32,4,FALSE)))</f>
        <v/>
      </c>
      <c r="H1259" s="67">
        <f>IF($B1259="",0,IF(LEFT($B1259,1)="━",0,$C1259*VLOOKUP($B1259,'4. CÀI ĐẶT'!$A$2:$H$32,5,FALSE)))</f>
        <v/>
      </c>
      <c r="I1259">
        <f>IF($B1259="","",IF(LEFT($B1259,1)="━","",VLOOKUP($B1259,'4. CÀI ĐẶT'!$A$2:$H$32,6,FALSE)))</f>
        <v/>
      </c>
      <c r="J1259" s="13">
        <f>IF($A1259="","",EOMONTH($A1259,0))</f>
        <v/>
      </c>
      <c r="K1259" s="67">
        <f>IF($B1259="",0,IF(LEFT($B1259,1)="━",0,$C1259*VLOOKUP($B1259,'4. CÀI ĐẶT'!$A$2:$H$32,7,FALSE)))</f>
        <v/>
      </c>
    </row>
    <row r="1260">
      <c r="A1260" s="8" t="n"/>
      <c r="B1260" s="9" t="n"/>
      <c r="C1260" s="65" t="n"/>
      <c r="D1260" s="9" t="n"/>
      <c r="E1260" s="66">
        <f>IF($B1260="","",IF(LEFT($B1260,1)="━","⚠️ Chọn hạng mục cụ thể",$C1260*VLOOKUP($B1260,'4. CÀI ĐẶT'!$A$2:$H$32,2,FALSE)))</f>
        <v/>
      </c>
      <c r="F1260" s="67">
        <f>IF($B1260="",0,IF(LEFT($B1260,1)="━",0,$C1260*VLOOKUP($B1260,'4. CÀI ĐẶT'!$A$2:$H$32,3,FALSE)))</f>
        <v/>
      </c>
      <c r="G1260" s="67">
        <f>IF($B1260="",0,IF(LEFT($B1260,1)="━",0,$C1260*VLOOKUP($B1260,'4. CÀI ĐẶT'!$A$2:$H$32,4,FALSE)))</f>
        <v/>
      </c>
      <c r="H1260" s="67">
        <f>IF($B1260="",0,IF(LEFT($B1260,1)="━",0,$C1260*VLOOKUP($B1260,'4. CÀI ĐẶT'!$A$2:$H$32,5,FALSE)))</f>
        <v/>
      </c>
      <c r="I1260">
        <f>IF($B1260="","",IF(LEFT($B1260,1)="━","",VLOOKUP($B1260,'4. CÀI ĐẶT'!$A$2:$H$32,6,FALSE)))</f>
        <v/>
      </c>
      <c r="J1260" s="13">
        <f>IF($A1260="","",EOMONTH($A1260,0))</f>
        <v/>
      </c>
      <c r="K1260" s="67">
        <f>IF($B1260="",0,IF(LEFT($B1260,1)="━",0,$C1260*VLOOKUP($B1260,'4. CÀI ĐẶT'!$A$2:$H$32,7,FALSE)))</f>
        <v/>
      </c>
    </row>
    <row r="1261">
      <c r="A1261" s="8" t="n"/>
      <c r="B1261" s="9" t="n"/>
      <c r="C1261" s="65" t="n"/>
      <c r="D1261" s="9" t="n"/>
      <c r="E1261" s="66">
        <f>IF($B1261="","",IF(LEFT($B1261,1)="━","⚠️ Chọn hạng mục cụ thể",$C1261*VLOOKUP($B1261,'4. CÀI ĐẶT'!$A$2:$H$32,2,FALSE)))</f>
        <v/>
      </c>
      <c r="F1261" s="67">
        <f>IF($B1261="",0,IF(LEFT($B1261,1)="━",0,$C1261*VLOOKUP($B1261,'4. CÀI ĐẶT'!$A$2:$H$32,3,FALSE)))</f>
        <v/>
      </c>
      <c r="G1261" s="67">
        <f>IF($B1261="",0,IF(LEFT($B1261,1)="━",0,$C1261*VLOOKUP($B1261,'4. CÀI ĐẶT'!$A$2:$H$32,4,FALSE)))</f>
        <v/>
      </c>
      <c r="H1261" s="67">
        <f>IF($B1261="",0,IF(LEFT($B1261,1)="━",0,$C1261*VLOOKUP($B1261,'4. CÀI ĐẶT'!$A$2:$H$32,5,FALSE)))</f>
        <v/>
      </c>
      <c r="I1261">
        <f>IF($B1261="","",IF(LEFT($B1261,1)="━","",VLOOKUP($B1261,'4. CÀI ĐẶT'!$A$2:$H$32,6,FALSE)))</f>
        <v/>
      </c>
      <c r="J1261" s="13">
        <f>IF($A1261="","",EOMONTH($A1261,0))</f>
        <v/>
      </c>
      <c r="K1261" s="67">
        <f>IF($B1261="",0,IF(LEFT($B1261,1)="━",0,$C1261*VLOOKUP($B1261,'4. CÀI ĐẶT'!$A$2:$H$32,7,FALSE)))</f>
        <v/>
      </c>
    </row>
    <row r="1262">
      <c r="A1262" s="8" t="n"/>
      <c r="B1262" s="9" t="n"/>
      <c r="C1262" s="65" t="n"/>
      <c r="D1262" s="9" t="n"/>
      <c r="E1262" s="66">
        <f>IF($B1262="","",IF(LEFT($B1262,1)="━","⚠️ Chọn hạng mục cụ thể",$C1262*VLOOKUP($B1262,'4. CÀI ĐẶT'!$A$2:$H$32,2,FALSE)))</f>
        <v/>
      </c>
      <c r="F1262" s="67">
        <f>IF($B1262="",0,IF(LEFT($B1262,1)="━",0,$C1262*VLOOKUP($B1262,'4. CÀI ĐẶT'!$A$2:$H$32,3,FALSE)))</f>
        <v/>
      </c>
      <c r="G1262" s="67">
        <f>IF($B1262="",0,IF(LEFT($B1262,1)="━",0,$C1262*VLOOKUP($B1262,'4. CÀI ĐẶT'!$A$2:$H$32,4,FALSE)))</f>
        <v/>
      </c>
      <c r="H1262" s="67">
        <f>IF($B1262="",0,IF(LEFT($B1262,1)="━",0,$C1262*VLOOKUP($B1262,'4. CÀI ĐẶT'!$A$2:$H$32,5,FALSE)))</f>
        <v/>
      </c>
      <c r="I1262">
        <f>IF($B1262="","",IF(LEFT($B1262,1)="━","",VLOOKUP($B1262,'4. CÀI ĐẶT'!$A$2:$H$32,6,FALSE)))</f>
        <v/>
      </c>
      <c r="J1262" s="13">
        <f>IF($A1262="","",EOMONTH($A1262,0))</f>
        <v/>
      </c>
      <c r="K1262" s="67">
        <f>IF($B1262="",0,IF(LEFT($B1262,1)="━",0,$C1262*VLOOKUP($B1262,'4. CÀI ĐẶT'!$A$2:$H$32,7,FALSE)))</f>
        <v/>
      </c>
    </row>
    <row r="1263">
      <c r="A1263" s="8" t="n"/>
      <c r="B1263" s="9" t="n"/>
      <c r="C1263" s="65" t="n"/>
      <c r="D1263" s="9" t="n"/>
      <c r="E1263" s="66">
        <f>IF($B1263="","",IF(LEFT($B1263,1)="━","⚠️ Chọn hạng mục cụ thể",$C1263*VLOOKUP($B1263,'4. CÀI ĐẶT'!$A$2:$H$32,2,FALSE)))</f>
        <v/>
      </c>
      <c r="F1263" s="67">
        <f>IF($B1263="",0,IF(LEFT($B1263,1)="━",0,$C1263*VLOOKUP($B1263,'4. CÀI ĐẶT'!$A$2:$H$32,3,FALSE)))</f>
        <v/>
      </c>
      <c r="G1263" s="67">
        <f>IF($B1263="",0,IF(LEFT($B1263,1)="━",0,$C1263*VLOOKUP($B1263,'4. CÀI ĐẶT'!$A$2:$H$32,4,FALSE)))</f>
        <v/>
      </c>
      <c r="H1263" s="67">
        <f>IF($B1263="",0,IF(LEFT($B1263,1)="━",0,$C1263*VLOOKUP($B1263,'4. CÀI ĐẶT'!$A$2:$H$32,5,FALSE)))</f>
        <v/>
      </c>
      <c r="I1263">
        <f>IF($B1263="","",IF(LEFT($B1263,1)="━","",VLOOKUP($B1263,'4. CÀI ĐẶT'!$A$2:$H$32,6,FALSE)))</f>
        <v/>
      </c>
      <c r="J1263" s="13">
        <f>IF($A1263="","",EOMONTH($A1263,0))</f>
        <v/>
      </c>
      <c r="K1263" s="67">
        <f>IF($B1263="",0,IF(LEFT($B1263,1)="━",0,$C1263*VLOOKUP($B1263,'4. CÀI ĐẶT'!$A$2:$H$32,7,FALSE)))</f>
        <v/>
      </c>
    </row>
    <row r="1264">
      <c r="A1264" s="8" t="n"/>
      <c r="B1264" s="9" t="n"/>
      <c r="C1264" s="65" t="n"/>
      <c r="D1264" s="9" t="n"/>
      <c r="E1264" s="66">
        <f>IF($B1264="","",IF(LEFT($B1264,1)="━","⚠️ Chọn hạng mục cụ thể",$C1264*VLOOKUP($B1264,'4. CÀI ĐẶT'!$A$2:$H$32,2,FALSE)))</f>
        <v/>
      </c>
      <c r="F1264" s="67">
        <f>IF($B1264="",0,IF(LEFT($B1264,1)="━",0,$C1264*VLOOKUP($B1264,'4. CÀI ĐẶT'!$A$2:$H$32,3,FALSE)))</f>
        <v/>
      </c>
      <c r="G1264" s="67">
        <f>IF($B1264="",0,IF(LEFT($B1264,1)="━",0,$C1264*VLOOKUP($B1264,'4. CÀI ĐẶT'!$A$2:$H$32,4,FALSE)))</f>
        <v/>
      </c>
      <c r="H1264" s="67">
        <f>IF($B1264="",0,IF(LEFT($B1264,1)="━",0,$C1264*VLOOKUP($B1264,'4. CÀI ĐẶT'!$A$2:$H$32,5,FALSE)))</f>
        <v/>
      </c>
      <c r="I1264">
        <f>IF($B1264="","",IF(LEFT($B1264,1)="━","",VLOOKUP($B1264,'4. CÀI ĐẶT'!$A$2:$H$32,6,FALSE)))</f>
        <v/>
      </c>
      <c r="J1264" s="13">
        <f>IF($A1264="","",EOMONTH($A1264,0))</f>
        <v/>
      </c>
      <c r="K1264" s="67">
        <f>IF($B1264="",0,IF(LEFT($B1264,1)="━",0,$C1264*VLOOKUP($B1264,'4. CÀI ĐẶT'!$A$2:$H$32,7,FALSE)))</f>
        <v/>
      </c>
    </row>
    <row r="1265">
      <c r="A1265" s="8" t="n"/>
      <c r="B1265" s="9" t="n"/>
      <c r="C1265" s="65" t="n"/>
      <c r="D1265" s="9" t="n"/>
      <c r="E1265" s="66">
        <f>IF($B1265="","",IF(LEFT($B1265,1)="━","⚠️ Chọn hạng mục cụ thể",$C1265*VLOOKUP($B1265,'4. CÀI ĐẶT'!$A$2:$H$32,2,FALSE)))</f>
        <v/>
      </c>
      <c r="F1265" s="67">
        <f>IF($B1265="",0,IF(LEFT($B1265,1)="━",0,$C1265*VLOOKUP($B1265,'4. CÀI ĐẶT'!$A$2:$H$32,3,FALSE)))</f>
        <v/>
      </c>
      <c r="G1265" s="67">
        <f>IF($B1265="",0,IF(LEFT($B1265,1)="━",0,$C1265*VLOOKUP($B1265,'4. CÀI ĐẶT'!$A$2:$H$32,4,FALSE)))</f>
        <v/>
      </c>
      <c r="H1265" s="67">
        <f>IF($B1265="",0,IF(LEFT($B1265,1)="━",0,$C1265*VLOOKUP($B1265,'4. CÀI ĐẶT'!$A$2:$H$32,5,FALSE)))</f>
        <v/>
      </c>
      <c r="I1265">
        <f>IF($B1265="","",IF(LEFT($B1265,1)="━","",VLOOKUP($B1265,'4. CÀI ĐẶT'!$A$2:$H$32,6,FALSE)))</f>
        <v/>
      </c>
      <c r="J1265" s="13">
        <f>IF($A1265="","",EOMONTH($A1265,0))</f>
        <v/>
      </c>
      <c r="K1265" s="67">
        <f>IF($B1265="",0,IF(LEFT($B1265,1)="━",0,$C1265*VLOOKUP($B1265,'4. CÀI ĐẶT'!$A$2:$H$32,7,FALSE)))</f>
        <v/>
      </c>
    </row>
    <row r="1266">
      <c r="A1266" s="8" t="n"/>
      <c r="B1266" s="9" t="n"/>
      <c r="C1266" s="65" t="n"/>
      <c r="D1266" s="9" t="n"/>
      <c r="E1266" s="66">
        <f>IF($B1266="","",IF(LEFT($B1266,1)="━","⚠️ Chọn hạng mục cụ thể",$C1266*VLOOKUP($B1266,'4. CÀI ĐẶT'!$A$2:$H$32,2,FALSE)))</f>
        <v/>
      </c>
      <c r="F1266" s="67">
        <f>IF($B1266="",0,IF(LEFT($B1266,1)="━",0,$C1266*VLOOKUP($B1266,'4. CÀI ĐẶT'!$A$2:$H$32,3,FALSE)))</f>
        <v/>
      </c>
      <c r="G1266" s="67">
        <f>IF($B1266="",0,IF(LEFT($B1266,1)="━",0,$C1266*VLOOKUP($B1266,'4. CÀI ĐẶT'!$A$2:$H$32,4,FALSE)))</f>
        <v/>
      </c>
      <c r="H1266" s="67">
        <f>IF($B1266="",0,IF(LEFT($B1266,1)="━",0,$C1266*VLOOKUP($B1266,'4. CÀI ĐẶT'!$A$2:$H$32,5,FALSE)))</f>
        <v/>
      </c>
      <c r="I1266">
        <f>IF($B1266="","",IF(LEFT($B1266,1)="━","",VLOOKUP($B1266,'4. CÀI ĐẶT'!$A$2:$H$32,6,FALSE)))</f>
        <v/>
      </c>
      <c r="J1266" s="13">
        <f>IF($A1266="","",EOMONTH($A1266,0))</f>
        <v/>
      </c>
      <c r="K1266" s="67">
        <f>IF($B1266="",0,IF(LEFT($B1266,1)="━",0,$C1266*VLOOKUP($B1266,'4. CÀI ĐẶT'!$A$2:$H$32,7,FALSE)))</f>
        <v/>
      </c>
    </row>
    <row r="1267">
      <c r="A1267" s="8" t="n"/>
      <c r="B1267" s="9" t="n"/>
      <c r="C1267" s="65" t="n"/>
      <c r="D1267" s="9" t="n"/>
      <c r="E1267" s="66">
        <f>IF($B1267="","",IF(LEFT($B1267,1)="━","⚠️ Chọn hạng mục cụ thể",$C1267*VLOOKUP($B1267,'4. CÀI ĐẶT'!$A$2:$H$32,2,FALSE)))</f>
        <v/>
      </c>
      <c r="F1267" s="67">
        <f>IF($B1267="",0,IF(LEFT($B1267,1)="━",0,$C1267*VLOOKUP($B1267,'4. CÀI ĐẶT'!$A$2:$H$32,3,FALSE)))</f>
        <v/>
      </c>
      <c r="G1267" s="67">
        <f>IF($B1267="",0,IF(LEFT($B1267,1)="━",0,$C1267*VLOOKUP($B1267,'4. CÀI ĐẶT'!$A$2:$H$32,4,FALSE)))</f>
        <v/>
      </c>
      <c r="H1267" s="67">
        <f>IF($B1267="",0,IF(LEFT($B1267,1)="━",0,$C1267*VLOOKUP($B1267,'4. CÀI ĐẶT'!$A$2:$H$32,5,FALSE)))</f>
        <v/>
      </c>
      <c r="I1267">
        <f>IF($B1267="","",IF(LEFT($B1267,1)="━","",VLOOKUP($B1267,'4. CÀI ĐẶT'!$A$2:$H$32,6,FALSE)))</f>
        <v/>
      </c>
      <c r="J1267" s="13">
        <f>IF($A1267="","",EOMONTH($A1267,0))</f>
        <v/>
      </c>
      <c r="K1267" s="67">
        <f>IF($B1267="",0,IF(LEFT($B1267,1)="━",0,$C1267*VLOOKUP($B1267,'4. CÀI ĐẶT'!$A$2:$H$32,7,FALSE)))</f>
        <v/>
      </c>
    </row>
    <row r="1268">
      <c r="A1268" s="8" t="n"/>
      <c r="B1268" s="9" t="n"/>
      <c r="C1268" s="65" t="n"/>
      <c r="D1268" s="9" t="n"/>
      <c r="E1268" s="66">
        <f>IF($B1268="","",IF(LEFT($B1268,1)="━","⚠️ Chọn hạng mục cụ thể",$C1268*VLOOKUP($B1268,'4. CÀI ĐẶT'!$A$2:$H$32,2,FALSE)))</f>
        <v/>
      </c>
      <c r="F1268" s="67">
        <f>IF($B1268="",0,IF(LEFT($B1268,1)="━",0,$C1268*VLOOKUP($B1268,'4. CÀI ĐẶT'!$A$2:$H$32,3,FALSE)))</f>
        <v/>
      </c>
      <c r="G1268" s="67">
        <f>IF($B1268="",0,IF(LEFT($B1268,1)="━",0,$C1268*VLOOKUP($B1268,'4. CÀI ĐẶT'!$A$2:$H$32,4,FALSE)))</f>
        <v/>
      </c>
      <c r="H1268" s="67">
        <f>IF($B1268="",0,IF(LEFT($B1268,1)="━",0,$C1268*VLOOKUP($B1268,'4. CÀI ĐẶT'!$A$2:$H$32,5,FALSE)))</f>
        <v/>
      </c>
      <c r="I1268">
        <f>IF($B1268="","",IF(LEFT($B1268,1)="━","",VLOOKUP($B1268,'4. CÀI ĐẶT'!$A$2:$H$32,6,FALSE)))</f>
        <v/>
      </c>
      <c r="J1268" s="13">
        <f>IF($A1268="","",EOMONTH($A1268,0))</f>
        <v/>
      </c>
      <c r="K1268" s="67">
        <f>IF($B1268="",0,IF(LEFT($B1268,1)="━",0,$C1268*VLOOKUP($B1268,'4. CÀI ĐẶT'!$A$2:$H$32,7,FALSE)))</f>
        <v/>
      </c>
    </row>
    <row r="1269">
      <c r="A1269" s="8" t="n"/>
      <c r="B1269" s="9" t="n"/>
      <c r="C1269" s="65" t="n"/>
      <c r="D1269" s="9" t="n"/>
      <c r="E1269" s="66">
        <f>IF($B1269="","",IF(LEFT($B1269,1)="━","⚠️ Chọn hạng mục cụ thể",$C1269*VLOOKUP($B1269,'4. CÀI ĐẶT'!$A$2:$H$32,2,FALSE)))</f>
        <v/>
      </c>
      <c r="F1269" s="67">
        <f>IF($B1269="",0,IF(LEFT($B1269,1)="━",0,$C1269*VLOOKUP($B1269,'4. CÀI ĐẶT'!$A$2:$H$32,3,FALSE)))</f>
        <v/>
      </c>
      <c r="G1269" s="67">
        <f>IF($B1269="",0,IF(LEFT($B1269,1)="━",0,$C1269*VLOOKUP($B1269,'4. CÀI ĐẶT'!$A$2:$H$32,4,FALSE)))</f>
        <v/>
      </c>
      <c r="H1269" s="67">
        <f>IF($B1269="",0,IF(LEFT($B1269,1)="━",0,$C1269*VLOOKUP($B1269,'4. CÀI ĐẶT'!$A$2:$H$32,5,FALSE)))</f>
        <v/>
      </c>
      <c r="I1269">
        <f>IF($B1269="","",IF(LEFT($B1269,1)="━","",VLOOKUP($B1269,'4. CÀI ĐẶT'!$A$2:$H$32,6,FALSE)))</f>
        <v/>
      </c>
      <c r="J1269" s="13">
        <f>IF($A1269="","",EOMONTH($A1269,0))</f>
        <v/>
      </c>
      <c r="K1269" s="67">
        <f>IF($B1269="",0,IF(LEFT($B1269,1)="━",0,$C1269*VLOOKUP($B1269,'4. CÀI ĐẶT'!$A$2:$H$32,7,FALSE)))</f>
        <v/>
      </c>
    </row>
    <row r="1270">
      <c r="A1270" s="8" t="n"/>
      <c r="B1270" s="9" t="n"/>
      <c r="C1270" s="65" t="n"/>
      <c r="D1270" s="9" t="n"/>
      <c r="E1270" s="66">
        <f>IF($B1270="","",IF(LEFT($B1270,1)="━","⚠️ Chọn hạng mục cụ thể",$C1270*VLOOKUP($B1270,'4. CÀI ĐẶT'!$A$2:$H$32,2,FALSE)))</f>
        <v/>
      </c>
      <c r="F1270" s="67">
        <f>IF($B1270="",0,IF(LEFT($B1270,1)="━",0,$C1270*VLOOKUP($B1270,'4. CÀI ĐẶT'!$A$2:$H$32,3,FALSE)))</f>
        <v/>
      </c>
      <c r="G1270" s="67">
        <f>IF($B1270="",0,IF(LEFT($B1270,1)="━",0,$C1270*VLOOKUP($B1270,'4. CÀI ĐẶT'!$A$2:$H$32,4,FALSE)))</f>
        <v/>
      </c>
      <c r="H1270" s="67">
        <f>IF($B1270="",0,IF(LEFT($B1270,1)="━",0,$C1270*VLOOKUP($B1270,'4. CÀI ĐẶT'!$A$2:$H$32,5,FALSE)))</f>
        <v/>
      </c>
      <c r="I1270">
        <f>IF($B1270="","",IF(LEFT($B1270,1)="━","",VLOOKUP($B1270,'4. CÀI ĐẶT'!$A$2:$H$32,6,FALSE)))</f>
        <v/>
      </c>
      <c r="J1270" s="13">
        <f>IF($A1270="","",EOMONTH($A1270,0))</f>
        <v/>
      </c>
      <c r="K1270" s="67">
        <f>IF($B1270="",0,IF(LEFT($B1270,1)="━",0,$C1270*VLOOKUP($B1270,'4. CÀI ĐẶT'!$A$2:$H$32,7,FALSE)))</f>
        <v/>
      </c>
    </row>
    <row r="1271">
      <c r="A1271" s="8" t="n"/>
      <c r="B1271" s="9" t="n"/>
      <c r="C1271" s="65" t="n"/>
      <c r="D1271" s="9" t="n"/>
      <c r="E1271" s="66">
        <f>IF($B1271="","",IF(LEFT($B1271,1)="━","⚠️ Chọn hạng mục cụ thể",$C1271*VLOOKUP($B1271,'4. CÀI ĐẶT'!$A$2:$H$32,2,FALSE)))</f>
        <v/>
      </c>
      <c r="F1271" s="67">
        <f>IF($B1271="",0,IF(LEFT($B1271,1)="━",0,$C1271*VLOOKUP($B1271,'4. CÀI ĐẶT'!$A$2:$H$32,3,FALSE)))</f>
        <v/>
      </c>
      <c r="G1271" s="67">
        <f>IF($B1271="",0,IF(LEFT($B1271,1)="━",0,$C1271*VLOOKUP($B1271,'4. CÀI ĐẶT'!$A$2:$H$32,4,FALSE)))</f>
        <v/>
      </c>
      <c r="H1271" s="67">
        <f>IF($B1271="",0,IF(LEFT($B1271,1)="━",0,$C1271*VLOOKUP($B1271,'4. CÀI ĐẶT'!$A$2:$H$32,5,FALSE)))</f>
        <v/>
      </c>
      <c r="I1271">
        <f>IF($B1271="","",IF(LEFT($B1271,1)="━","",VLOOKUP($B1271,'4. CÀI ĐẶT'!$A$2:$H$32,6,FALSE)))</f>
        <v/>
      </c>
      <c r="J1271" s="13">
        <f>IF($A1271="","",EOMONTH($A1271,0))</f>
        <v/>
      </c>
      <c r="K1271" s="67">
        <f>IF($B1271="",0,IF(LEFT($B1271,1)="━",0,$C1271*VLOOKUP($B1271,'4. CÀI ĐẶT'!$A$2:$H$32,7,FALSE)))</f>
        <v/>
      </c>
    </row>
    <row r="1272">
      <c r="A1272" s="8" t="n"/>
      <c r="B1272" s="9" t="n"/>
      <c r="C1272" s="65" t="n"/>
      <c r="D1272" s="9" t="n"/>
      <c r="E1272" s="66">
        <f>IF($B1272="","",IF(LEFT($B1272,1)="━","⚠️ Chọn hạng mục cụ thể",$C1272*VLOOKUP($B1272,'4. CÀI ĐẶT'!$A$2:$H$32,2,FALSE)))</f>
        <v/>
      </c>
      <c r="F1272" s="67">
        <f>IF($B1272="",0,IF(LEFT($B1272,1)="━",0,$C1272*VLOOKUP($B1272,'4. CÀI ĐẶT'!$A$2:$H$32,3,FALSE)))</f>
        <v/>
      </c>
      <c r="G1272" s="67">
        <f>IF($B1272="",0,IF(LEFT($B1272,1)="━",0,$C1272*VLOOKUP($B1272,'4. CÀI ĐẶT'!$A$2:$H$32,4,FALSE)))</f>
        <v/>
      </c>
      <c r="H1272" s="67">
        <f>IF($B1272="",0,IF(LEFT($B1272,1)="━",0,$C1272*VLOOKUP($B1272,'4. CÀI ĐẶT'!$A$2:$H$32,5,FALSE)))</f>
        <v/>
      </c>
      <c r="I1272">
        <f>IF($B1272="","",IF(LEFT($B1272,1)="━","",VLOOKUP($B1272,'4. CÀI ĐẶT'!$A$2:$H$32,6,FALSE)))</f>
        <v/>
      </c>
      <c r="J1272" s="13">
        <f>IF($A1272="","",EOMONTH($A1272,0))</f>
        <v/>
      </c>
      <c r="K1272" s="67">
        <f>IF($B1272="",0,IF(LEFT($B1272,1)="━",0,$C1272*VLOOKUP($B1272,'4. CÀI ĐẶT'!$A$2:$H$32,7,FALSE)))</f>
        <v/>
      </c>
    </row>
    <row r="1273">
      <c r="A1273" s="8" t="n"/>
      <c r="B1273" s="9" t="n"/>
      <c r="C1273" s="65" t="n"/>
      <c r="D1273" s="9" t="n"/>
      <c r="E1273" s="66">
        <f>IF($B1273="","",IF(LEFT($B1273,1)="━","⚠️ Chọn hạng mục cụ thể",$C1273*VLOOKUP($B1273,'4. CÀI ĐẶT'!$A$2:$H$32,2,FALSE)))</f>
        <v/>
      </c>
      <c r="F1273" s="67">
        <f>IF($B1273="",0,IF(LEFT($B1273,1)="━",0,$C1273*VLOOKUP($B1273,'4. CÀI ĐẶT'!$A$2:$H$32,3,FALSE)))</f>
        <v/>
      </c>
      <c r="G1273" s="67">
        <f>IF($B1273="",0,IF(LEFT($B1273,1)="━",0,$C1273*VLOOKUP($B1273,'4. CÀI ĐẶT'!$A$2:$H$32,4,FALSE)))</f>
        <v/>
      </c>
      <c r="H1273" s="67">
        <f>IF($B1273="",0,IF(LEFT($B1273,1)="━",0,$C1273*VLOOKUP($B1273,'4. CÀI ĐẶT'!$A$2:$H$32,5,FALSE)))</f>
        <v/>
      </c>
      <c r="I1273">
        <f>IF($B1273="","",IF(LEFT($B1273,1)="━","",VLOOKUP($B1273,'4. CÀI ĐẶT'!$A$2:$H$32,6,FALSE)))</f>
        <v/>
      </c>
      <c r="J1273" s="13">
        <f>IF($A1273="","",EOMONTH($A1273,0))</f>
        <v/>
      </c>
      <c r="K1273" s="67">
        <f>IF($B1273="",0,IF(LEFT($B1273,1)="━",0,$C1273*VLOOKUP($B1273,'4. CÀI ĐẶT'!$A$2:$H$32,7,FALSE)))</f>
        <v/>
      </c>
    </row>
    <row r="1274">
      <c r="A1274" s="8" t="n"/>
      <c r="B1274" s="9" t="n"/>
      <c r="C1274" s="65" t="n"/>
      <c r="D1274" s="9" t="n"/>
      <c r="E1274" s="66">
        <f>IF($B1274="","",IF(LEFT($B1274,1)="━","⚠️ Chọn hạng mục cụ thể",$C1274*VLOOKUP($B1274,'4. CÀI ĐẶT'!$A$2:$H$32,2,FALSE)))</f>
        <v/>
      </c>
      <c r="F1274" s="67">
        <f>IF($B1274="",0,IF(LEFT($B1274,1)="━",0,$C1274*VLOOKUP($B1274,'4. CÀI ĐẶT'!$A$2:$H$32,3,FALSE)))</f>
        <v/>
      </c>
      <c r="G1274" s="67">
        <f>IF($B1274="",0,IF(LEFT($B1274,1)="━",0,$C1274*VLOOKUP($B1274,'4. CÀI ĐẶT'!$A$2:$H$32,4,FALSE)))</f>
        <v/>
      </c>
      <c r="H1274" s="67">
        <f>IF($B1274="",0,IF(LEFT($B1274,1)="━",0,$C1274*VLOOKUP($B1274,'4. CÀI ĐẶT'!$A$2:$H$32,5,FALSE)))</f>
        <v/>
      </c>
      <c r="I1274">
        <f>IF($B1274="","",IF(LEFT($B1274,1)="━","",VLOOKUP($B1274,'4. CÀI ĐẶT'!$A$2:$H$32,6,FALSE)))</f>
        <v/>
      </c>
      <c r="J1274" s="13">
        <f>IF($A1274="","",EOMONTH($A1274,0))</f>
        <v/>
      </c>
      <c r="K1274" s="67">
        <f>IF($B1274="",0,IF(LEFT($B1274,1)="━",0,$C1274*VLOOKUP($B1274,'4. CÀI ĐẶT'!$A$2:$H$32,7,FALSE)))</f>
        <v/>
      </c>
    </row>
    <row r="1275">
      <c r="A1275" s="8" t="n"/>
      <c r="B1275" s="9" t="n"/>
      <c r="C1275" s="65" t="n"/>
      <c r="D1275" s="9" t="n"/>
      <c r="E1275" s="66">
        <f>IF($B1275="","",IF(LEFT($B1275,1)="━","⚠️ Chọn hạng mục cụ thể",$C1275*VLOOKUP($B1275,'4. CÀI ĐẶT'!$A$2:$H$32,2,FALSE)))</f>
        <v/>
      </c>
      <c r="F1275" s="67">
        <f>IF($B1275="",0,IF(LEFT($B1275,1)="━",0,$C1275*VLOOKUP($B1275,'4. CÀI ĐẶT'!$A$2:$H$32,3,FALSE)))</f>
        <v/>
      </c>
      <c r="G1275" s="67">
        <f>IF($B1275="",0,IF(LEFT($B1275,1)="━",0,$C1275*VLOOKUP($B1275,'4. CÀI ĐẶT'!$A$2:$H$32,4,FALSE)))</f>
        <v/>
      </c>
      <c r="H1275" s="67">
        <f>IF($B1275="",0,IF(LEFT($B1275,1)="━",0,$C1275*VLOOKUP($B1275,'4. CÀI ĐẶT'!$A$2:$H$32,5,FALSE)))</f>
        <v/>
      </c>
      <c r="I1275">
        <f>IF($B1275="","",IF(LEFT($B1275,1)="━","",VLOOKUP($B1275,'4. CÀI ĐẶT'!$A$2:$H$32,6,FALSE)))</f>
        <v/>
      </c>
      <c r="J1275" s="13">
        <f>IF($A1275="","",EOMONTH($A1275,0))</f>
        <v/>
      </c>
      <c r="K1275" s="67">
        <f>IF($B1275="",0,IF(LEFT($B1275,1)="━",0,$C1275*VLOOKUP($B1275,'4. CÀI ĐẶT'!$A$2:$H$32,7,FALSE)))</f>
        <v/>
      </c>
    </row>
    <row r="1276">
      <c r="A1276" s="8" t="n"/>
      <c r="B1276" s="9" t="n"/>
      <c r="C1276" s="65" t="n"/>
      <c r="D1276" s="9" t="n"/>
      <c r="E1276" s="66">
        <f>IF($B1276="","",IF(LEFT($B1276,1)="━","⚠️ Chọn hạng mục cụ thể",$C1276*VLOOKUP($B1276,'4. CÀI ĐẶT'!$A$2:$H$32,2,FALSE)))</f>
        <v/>
      </c>
      <c r="F1276" s="67">
        <f>IF($B1276="",0,IF(LEFT($B1276,1)="━",0,$C1276*VLOOKUP($B1276,'4. CÀI ĐẶT'!$A$2:$H$32,3,FALSE)))</f>
        <v/>
      </c>
      <c r="G1276" s="67">
        <f>IF($B1276="",0,IF(LEFT($B1276,1)="━",0,$C1276*VLOOKUP($B1276,'4. CÀI ĐẶT'!$A$2:$H$32,4,FALSE)))</f>
        <v/>
      </c>
      <c r="H1276" s="67">
        <f>IF($B1276="",0,IF(LEFT($B1276,1)="━",0,$C1276*VLOOKUP($B1276,'4. CÀI ĐẶT'!$A$2:$H$32,5,FALSE)))</f>
        <v/>
      </c>
      <c r="I1276">
        <f>IF($B1276="","",IF(LEFT($B1276,1)="━","",VLOOKUP($B1276,'4. CÀI ĐẶT'!$A$2:$H$32,6,FALSE)))</f>
        <v/>
      </c>
      <c r="J1276" s="13">
        <f>IF($A1276="","",EOMONTH($A1276,0))</f>
        <v/>
      </c>
      <c r="K1276" s="67">
        <f>IF($B1276="",0,IF(LEFT($B1276,1)="━",0,$C1276*VLOOKUP($B1276,'4. CÀI ĐẶT'!$A$2:$H$32,7,FALSE)))</f>
        <v/>
      </c>
    </row>
    <row r="1277">
      <c r="A1277" s="8" t="n"/>
      <c r="B1277" s="9" t="n"/>
      <c r="C1277" s="65" t="n"/>
      <c r="D1277" s="9" t="n"/>
      <c r="E1277" s="66">
        <f>IF($B1277="","",IF(LEFT($B1277,1)="━","⚠️ Chọn hạng mục cụ thể",$C1277*VLOOKUP($B1277,'4. CÀI ĐẶT'!$A$2:$H$32,2,FALSE)))</f>
        <v/>
      </c>
      <c r="F1277" s="67">
        <f>IF($B1277="",0,IF(LEFT($B1277,1)="━",0,$C1277*VLOOKUP($B1277,'4. CÀI ĐẶT'!$A$2:$H$32,3,FALSE)))</f>
        <v/>
      </c>
      <c r="G1277" s="67">
        <f>IF($B1277="",0,IF(LEFT($B1277,1)="━",0,$C1277*VLOOKUP($B1277,'4. CÀI ĐẶT'!$A$2:$H$32,4,FALSE)))</f>
        <v/>
      </c>
      <c r="H1277" s="67">
        <f>IF($B1277="",0,IF(LEFT($B1277,1)="━",0,$C1277*VLOOKUP($B1277,'4. CÀI ĐẶT'!$A$2:$H$32,5,FALSE)))</f>
        <v/>
      </c>
      <c r="I1277">
        <f>IF($B1277="","",IF(LEFT($B1277,1)="━","",VLOOKUP($B1277,'4. CÀI ĐẶT'!$A$2:$H$32,6,FALSE)))</f>
        <v/>
      </c>
      <c r="J1277" s="13">
        <f>IF($A1277="","",EOMONTH($A1277,0))</f>
        <v/>
      </c>
      <c r="K1277" s="67">
        <f>IF($B1277="",0,IF(LEFT($B1277,1)="━",0,$C1277*VLOOKUP($B1277,'4. CÀI ĐẶT'!$A$2:$H$32,7,FALSE)))</f>
        <v/>
      </c>
    </row>
    <row r="1278">
      <c r="A1278" s="8" t="n"/>
      <c r="B1278" s="9" t="n"/>
      <c r="C1278" s="65" t="n"/>
      <c r="D1278" s="9" t="n"/>
      <c r="E1278" s="66">
        <f>IF($B1278="","",IF(LEFT($B1278,1)="━","⚠️ Chọn hạng mục cụ thể",$C1278*VLOOKUP($B1278,'4. CÀI ĐẶT'!$A$2:$H$32,2,FALSE)))</f>
        <v/>
      </c>
      <c r="F1278" s="67">
        <f>IF($B1278="",0,IF(LEFT($B1278,1)="━",0,$C1278*VLOOKUP($B1278,'4. CÀI ĐẶT'!$A$2:$H$32,3,FALSE)))</f>
        <v/>
      </c>
      <c r="G1278" s="67">
        <f>IF($B1278="",0,IF(LEFT($B1278,1)="━",0,$C1278*VLOOKUP($B1278,'4. CÀI ĐẶT'!$A$2:$H$32,4,FALSE)))</f>
        <v/>
      </c>
      <c r="H1278" s="67">
        <f>IF($B1278="",0,IF(LEFT($B1278,1)="━",0,$C1278*VLOOKUP($B1278,'4. CÀI ĐẶT'!$A$2:$H$32,5,FALSE)))</f>
        <v/>
      </c>
      <c r="I1278">
        <f>IF($B1278="","",IF(LEFT($B1278,1)="━","",VLOOKUP($B1278,'4. CÀI ĐẶT'!$A$2:$H$32,6,FALSE)))</f>
        <v/>
      </c>
      <c r="J1278" s="13">
        <f>IF($A1278="","",EOMONTH($A1278,0))</f>
        <v/>
      </c>
      <c r="K1278" s="67">
        <f>IF($B1278="",0,IF(LEFT($B1278,1)="━",0,$C1278*VLOOKUP($B1278,'4. CÀI ĐẶT'!$A$2:$H$32,7,FALSE)))</f>
        <v/>
      </c>
    </row>
    <row r="1279">
      <c r="A1279" s="8" t="n"/>
      <c r="B1279" s="9" t="n"/>
      <c r="C1279" s="65" t="n"/>
      <c r="D1279" s="9" t="n"/>
      <c r="E1279" s="66">
        <f>IF($B1279="","",IF(LEFT($B1279,1)="━","⚠️ Chọn hạng mục cụ thể",$C1279*VLOOKUP($B1279,'4. CÀI ĐẶT'!$A$2:$H$32,2,FALSE)))</f>
        <v/>
      </c>
      <c r="F1279" s="67">
        <f>IF($B1279="",0,IF(LEFT($B1279,1)="━",0,$C1279*VLOOKUP($B1279,'4. CÀI ĐẶT'!$A$2:$H$32,3,FALSE)))</f>
        <v/>
      </c>
      <c r="G1279" s="67">
        <f>IF($B1279="",0,IF(LEFT($B1279,1)="━",0,$C1279*VLOOKUP($B1279,'4. CÀI ĐẶT'!$A$2:$H$32,4,FALSE)))</f>
        <v/>
      </c>
      <c r="H1279" s="67">
        <f>IF($B1279="",0,IF(LEFT($B1279,1)="━",0,$C1279*VLOOKUP($B1279,'4. CÀI ĐẶT'!$A$2:$H$32,5,FALSE)))</f>
        <v/>
      </c>
      <c r="I1279">
        <f>IF($B1279="","",IF(LEFT($B1279,1)="━","",VLOOKUP($B1279,'4. CÀI ĐẶT'!$A$2:$H$32,6,FALSE)))</f>
        <v/>
      </c>
      <c r="J1279" s="13">
        <f>IF($A1279="","",EOMONTH($A1279,0))</f>
        <v/>
      </c>
      <c r="K1279" s="67">
        <f>IF($B1279="",0,IF(LEFT($B1279,1)="━",0,$C1279*VLOOKUP($B1279,'4. CÀI ĐẶT'!$A$2:$H$32,7,FALSE)))</f>
        <v/>
      </c>
    </row>
    <row r="1280">
      <c r="A1280" s="8" t="n"/>
      <c r="B1280" s="9" t="n"/>
      <c r="C1280" s="65" t="n"/>
      <c r="D1280" s="9" t="n"/>
      <c r="E1280" s="66">
        <f>IF($B1280="","",IF(LEFT($B1280,1)="━","⚠️ Chọn hạng mục cụ thể",$C1280*VLOOKUP($B1280,'4. CÀI ĐẶT'!$A$2:$H$32,2,FALSE)))</f>
        <v/>
      </c>
      <c r="F1280" s="67">
        <f>IF($B1280="",0,IF(LEFT($B1280,1)="━",0,$C1280*VLOOKUP($B1280,'4. CÀI ĐẶT'!$A$2:$H$32,3,FALSE)))</f>
        <v/>
      </c>
      <c r="G1280" s="67">
        <f>IF($B1280="",0,IF(LEFT($B1280,1)="━",0,$C1280*VLOOKUP($B1280,'4. CÀI ĐẶT'!$A$2:$H$32,4,FALSE)))</f>
        <v/>
      </c>
      <c r="H1280" s="67">
        <f>IF($B1280="",0,IF(LEFT($B1280,1)="━",0,$C1280*VLOOKUP($B1280,'4. CÀI ĐẶT'!$A$2:$H$32,5,FALSE)))</f>
        <v/>
      </c>
      <c r="I1280">
        <f>IF($B1280="","",IF(LEFT($B1280,1)="━","",VLOOKUP($B1280,'4. CÀI ĐẶT'!$A$2:$H$32,6,FALSE)))</f>
        <v/>
      </c>
      <c r="J1280" s="13">
        <f>IF($A1280="","",EOMONTH($A1280,0))</f>
        <v/>
      </c>
      <c r="K1280" s="67">
        <f>IF($B1280="",0,IF(LEFT($B1280,1)="━",0,$C1280*VLOOKUP($B1280,'4. CÀI ĐẶT'!$A$2:$H$32,7,FALSE)))</f>
        <v/>
      </c>
    </row>
    <row r="1281">
      <c r="A1281" s="8" t="n"/>
      <c r="B1281" s="9" t="n"/>
      <c r="C1281" s="65" t="n"/>
      <c r="D1281" s="9" t="n"/>
      <c r="E1281" s="66">
        <f>IF($B1281="","",IF(LEFT($B1281,1)="━","⚠️ Chọn hạng mục cụ thể",$C1281*VLOOKUP($B1281,'4. CÀI ĐẶT'!$A$2:$H$32,2,FALSE)))</f>
        <v/>
      </c>
      <c r="F1281" s="67">
        <f>IF($B1281="",0,IF(LEFT($B1281,1)="━",0,$C1281*VLOOKUP($B1281,'4. CÀI ĐẶT'!$A$2:$H$32,3,FALSE)))</f>
        <v/>
      </c>
      <c r="G1281" s="67">
        <f>IF($B1281="",0,IF(LEFT($B1281,1)="━",0,$C1281*VLOOKUP($B1281,'4. CÀI ĐẶT'!$A$2:$H$32,4,FALSE)))</f>
        <v/>
      </c>
      <c r="H1281" s="67">
        <f>IF($B1281="",0,IF(LEFT($B1281,1)="━",0,$C1281*VLOOKUP($B1281,'4. CÀI ĐẶT'!$A$2:$H$32,5,FALSE)))</f>
        <v/>
      </c>
      <c r="I1281">
        <f>IF($B1281="","",IF(LEFT($B1281,1)="━","",VLOOKUP($B1281,'4. CÀI ĐẶT'!$A$2:$H$32,6,FALSE)))</f>
        <v/>
      </c>
      <c r="J1281" s="13">
        <f>IF($A1281="","",EOMONTH($A1281,0))</f>
        <v/>
      </c>
      <c r="K1281" s="67">
        <f>IF($B1281="",0,IF(LEFT($B1281,1)="━",0,$C1281*VLOOKUP($B1281,'4. CÀI ĐẶT'!$A$2:$H$32,7,FALSE)))</f>
        <v/>
      </c>
    </row>
    <row r="1282">
      <c r="A1282" s="8" t="n"/>
      <c r="B1282" s="9" t="n"/>
      <c r="C1282" s="65" t="n"/>
      <c r="D1282" s="9" t="n"/>
      <c r="E1282" s="66">
        <f>IF($B1282="","",IF(LEFT($B1282,1)="━","⚠️ Chọn hạng mục cụ thể",$C1282*VLOOKUP($B1282,'4. CÀI ĐẶT'!$A$2:$H$32,2,FALSE)))</f>
        <v/>
      </c>
      <c r="F1282" s="67">
        <f>IF($B1282="",0,IF(LEFT($B1282,1)="━",0,$C1282*VLOOKUP($B1282,'4. CÀI ĐẶT'!$A$2:$H$32,3,FALSE)))</f>
        <v/>
      </c>
      <c r="G1282" s="67">
        <f>IF($B1282="",0,IF(LEFT($B1282,1)="━",0,$C1282*VLOOKUP($B1282,'4. CÀI ĐẶT'!$A$2:$H$32,4,FALSE)))</f>
        <v/>
      </c>
      <c r="H1282" s="67">
        <f>IF($B1282="",0,IF(LEFT($B1282,1)="━",0,$C1282*VLOOKUP($B1282,'4. CÀI ĐẶT'!$A$2:$H$32,5,FALSE)))</f>
        <v/>
      </c>
      <c r="I1282">
        <f>IF($B1282="","",IF(LEFT($B1282,1)="━","",VLOOKUP($B1282,'4. CÀI ĐẶT'!$A$2:$H$32,6,FALSE)))</f>
        <v/>
      </c>
      <c r="J1282" s="13">
        <f>IF($A1282="","",EOMONTH($A1282,0))</f>
        <v/>
      </c>
      <c r="K1282" s="67">
        <f>IF($B1282="",0,IF(LEFT($B1282,1)="━",0,$C1282*VLOOKUP($B1282,'4. CÀI ĐẶT'!$A$2:$H$32,7,FALSE)))</f>
        <v/>
      </c>
    </row>
    <row r="1283">
      <c r="A1283" s="8" t="n"/>
      <c r="B1283" s="9" t="n"/>
      <c r="C1283" s="65" t="n"/>
      <c r="D1283" s="9" t="n"/>
      <c r="E1283" s="66">
        <f>IF($B1283="","",IF(LEFT($B1283,1)="━","⚠️ Chọn hạng mục cụ thể",$C1283*VLOOKUP($B1283,'4. CÀI ĐẶT'!$A$2:$H$32,2,FALSE)))</f>
        <v/>
      </c>
      <c r="F1283" s="67">
        <f>IF($B1283="",0,IF(LEFT($B1283,1)="━",0,$C1283*VLOOKUP($B1283,'4. CÀI ĐẶT'!$A$2:$H$32,3,FALSE)))</f>
        <v/>
      </c>
      <c r="G1283" s="67">
        <f>IF($B1283="",0,IF(LEFT($B1283,1)="━",0,$C1283*VLOOKUP($B1283,'4. CÀI ĐẶT'!$A$2:$H$32,4,FALSE)))</f>
        <v/>
      </c>
      <c r="H1283" s="67">
        <f>IF($B1283="",0,IF(LEFT($B1283,1)="━",0,$C1283*VLOOKUP($B1283,'4. CÀI ĐẶT'!$A$2:$H$32,5,FALSE)))</f>
        <v/>
      </c>
      <c r="I1283">
        <f>IF($B1283="","",IF(LEFT($B1283,1)="━","",VLOOKUP($B1283,'4. CÀI ĐẶT'!$A$2:$H$32,6,FALSE)))</f>
        <v/>
      </c>
      <c r="J1283" s="13">
        <f>IF($A1283="","",EOMONTH($A1283,0))</f>
        <v/>
      </c>
      <c r="K1283" s="67">
        <f>IF($B1283="",0,IF(LEFT($B1283,1)="━",0,$C1283*VLOOKUP($B1283,'4. CÀI ĐẶT'!$A$2:$H$32,7,FALSE)))</f>
        <v/>
      </c>
    </row>
    <row r="1284">
      <c r="A1284" s="8" t="n"/>
      <c r="B1284" s="9" t="n"/>
      <c r="C1284" s="65" t="n"/>
      <c r="D1284" s="9" t="n"/>
      <c r="E1284" s="66">
        <f>IF($B1284="","",IF(LEFT($B1284,1)="━","⚠️ Chọn hạng mục cụ thể",$C1284*VLOOKUP($B1284,'4. CÀI ĐẶT'!$A$2:$H$32,2,FALSE)))</f>
        <v/>
      </c>
      <c r="F1284" s="67">
        <f>IF($B1284="",0,IF(LEFT($B1284,1)="━",0,$C1284*VLOOKUP($B1284,'4. CÀI ĐẶT'!$A$2:$H$32,3,FALSE)))</f>
        <v/>
      </c>
      <c r="G1284" s="67">
        <f>IF($B1284="",0,IF(LEFT($B1284,1)="━",0,$C1284*VLOOKUP($B1284,'4. CÀI ĐẶT'!$A$2:$H$32,4,FALSE)))</f>
        <v/>
      </c>
      <c r="H1284" s="67">
        <f>IF($B1284="",0,IF(LEFT($B1284,1)="━",0,$C1284*VLOOKUP($B1284,'4. CÀI ĐẶT'!$A$2:$H$32,5,FALSE)))</f>
        <v/>
      </c>
      <c r="I1284">
        <f>IF($B1284="","",IF(LEFT($B1284,1)="━","",VLOOKUP($B1284,'4. CÀI ĐẶT'!$A$2:$H$32,6,FALSE)))</f>
        <v/>
      </c>
      <c r="J1284" s="13">
        <f>IF($A1284="","",EOMONTH($A1284,0))</f>
        <v/>
      </c>
      <c r="K1284" s="67">
        <f>IF($B1284="",0,IF(LEFT($B1284,1)="━",0,$C1284*VLOOKUP($B1284,'4. CÀI ĐẶT'!$A$2:$H$32,7,FALSE)))</f>
        <v/>
      </c>
    </row>
    <row r="1285">
      <c r="A1285" s="8" t="n"/>
      <c r="B1285" s="9" t="n"/>
      <c r="C1285" s="65" t="n"/>
      <c r="D1285" s="9" t="n"/>
      <c r="E1285" s="66">
        <f>IF($B1285="","",IF(LEFT($B1285,1)="━","⚠️ Chọn hạng mục cụ thể",$C1285*VLOOKUP($B1285,'4. CÀI ĐẶT'!$A$2:$H$32,2,FALSE)))</f>
        <v/>
      </c>
      <c r="F1285" s="67">
        <f>IF($B1285="",0,IF(LEFT($B1285,1)="━",0,$C1285*VLOOKUP($B1285,'4. CÀI ĐẶT'!$A$2:$H$32,3,FALSE)))</f>
        <v/>
      </c>
      <c r="G1285" s="67">
        <f>IF($B1285="",0,IF(LEFT($B1285,1)="━",0,$C1285*VLOOKUP($B1285,'4. CÀI ĐẶT'!$A$2:$H$32,4,FALSE)))</f>
        <v/>
      </c>
      <c r="H1285" s="67">
        <f>IF($B1285="",0,IF(LEFT($B1285,1)="━",0,$C1285*VLOOKUP($B1285,'4. CÀI ĐẶT'!$A$2:$H$32,5,FALSE)))</f>
        <v/>
      </c>
      <c r="I1285">
        <f>IF($B1285="","",IF(LEFT($B1285,1)="━","",VLOOKUP($B1285,'4. CÀI ĐẶT'!$A$2:$H$32,6,FALSE)))</f>
        <v/>
      </c>
      <c r="J1285" s="13">
        <f>IF($A1285="","",EOMONTH($A1285,0))</f>
        <v/>
      </c>
      <c r="K1285" s="67">
        <f>IF($B1285="",0,IF(LEFT($B1285,1)="━",0,$C1285*VLOOKUP($B1285,'4. CÀI ĐẶT'!$A$2:$H$32,7,FALSE)))</f>
        <v/>
      </c>
    </row>
    <row r="1286">
      <c r="A1286" s="8" t="n"/>
      <c r="B1286" s="9" t="n"/>
      <c r="C1286" s="65" t="n"/>
      <c r="D1286" s="9" t="n"/>
      <c r="E1286" s="66">
        <f>IF($B1286="","",IF(LEFT($B1286,1)="━","⚠️ Chọn hạng mục cụ thể",$C1286*VLOOKUP($B1286,'4. CÀI ĐẶT'!$A$2:$H$32,2,FALSE)))</f>
        <v/>
      </c>
      <c r="F1286" s="67">
        <f>IF($B1286="",0,IF(LEFT($B1286,1)="━",0,$C1286*VLOOKUP($B1286,'4. CÀI ĐẶT'!$A$2:$H$32,3,FALSE)))</f>
        <v/>
      </c>
      <c r="G1286" s="67">
        <f>IF($B1286="",0,IF(LEFT($B1286,1)="━",0,$C1286*VLOOKUP($B1286,'4. CÀI ĐẶT'!$A$2:$H$32,4,FALSE)))</f>
        <v/>
      </c>
      <c r="H1286" s="67">
        <f>IF($B1286="",0,IF(LEFT($B1286,1)="━",0,$C1286*VLOOKUP($B1286,'4. CÀI ĐẶT'!$A$2:$H$32,5,FALSE)))</f>
        <v/>
      </c>
      <c r="I1286">
        <f>IF($B1286="","",IF(LEFT($B1286,1)="━","",VLOOKUP($B1286,'4. CÀI ĐẶT'!$A$2:$H$32,6,FALSE)))</f>
        <v/>
      </c>
      <c r="J1286" s="13">
        <f>IF($A1286="","",EOMONTH($A1286,0))</f>
        <v/>
      </c>
      <c r="K1286" s="67">
        <f>IF($B1286="",0,IF(LEFT($B1286,1)="━",0,$C1286*VLOOKUP($B1286,'4. CÀI ĐẶT'!$A$2:$H$32,7,FALSE)))</f>
        <v/>
      </c>
    </row>
    <row r="1287">
      <c r="A1287" s="8" t="n"/>
      <c r="B1287" s="9" t="n"/>
      <c r="C1287" s="65" t="n"/>
      <c r="D1287" s="9" t="n"/>
      <c r="E1287" s="66">
        <f>IF($B1287="","",IF(LEFT($B1287,1)="━","⚠️ Chọn hạng mục cụ thể",$C1287*VLOOKUP($B1287,'4. CÀI ĐẶT'!$A$2:$H$32,2,FALSE)))</f>
        <v/>
      </c>
      <c r="F1287" s="67">
        <f>IF($B1287="",0,IF(LEFT($B1287,1)="━",0,$C1287*VLOOKUP($B1287,'4. CÀI ĐẶT'!$A$2:$H$32,3,FALSE)))</f>
        <v/>
      </c>
      <c r="G1287" s="67">
        <f>IF($B1287="",0,IF(LEFT($B1287,1)="━",0,$C1287*VLOOKUP($B1287,'4. CÀI ĐẶT'!$A$2:$H$32,4,FALSE)))</f>
        <v/>
      </c>
      <c r="H1287" s="67">
        <f>IF($B1287="",0,IF(LEFT($B1287,1)="━",0,$C1287*VLOOKUP($B1287,'4. CÀI ĐẶT'!$A$2:$H$32,5,FALSE)))</f>
        <v/>
      </c>
      <c r="I1287">
        <f>IF($B1287="","",IF(LEFT($B1287,1)="━","",VLOOKUP($B1287,'4. CÀI ĐẶT'!$A$2:$H$32,6,FALSE)))</f>
        <v/>
      </c>
      <c r="J1287" s="13">
        <f>IF($A1287="","",EOMONTH($A1287,0))</f>
        <v/>
      </c>
      <c r="K1287" s="67">
        <f>IF($B1287="",0,IF(LEFT($B1287,1)="━",0,$C1287*VLOOKUP($B1287,'4. CÀI ĐẶT'!$A$2:$H$32,7,FALSE)))</f>
        <v/>
      </c>
    </row>
    <row r="1288">
      <c r="A1288" s="8" t="n"/>
      <c r="B1288" s="9" t="n"/>
      <c r="C1288" s="65" t="n"/>
      <c r="D1288" s="9" t="n"/>
      <c r="E1288" s="66">
        <f>IF($B1288="","",IF(LEFT($B1288,1)="━","⚠️ Chọn hạng mục cụ thể",$C1288*VLOOKUP($B1288,'4. CÀI ĐẶT'!$A$2:$H$32,2,FALSE)))</f>
        <v/>
      </c>
      <c r="F1288" s="67">
        <f>IF($B1288="",0,IF(LEFT($B1288,1)="━",0,$C1288*VLOOKUP($B1288,'4. CÀI ĐẶT'!$A$2:$H$32,3,FALSE)))</f>
        <v/>
      </c>
      <c r="G1288" s="67">
        <f>IF($B1288="",0,IF(LEFT($B1288,1)="━",0,$C1288*VLOOKUP($B1288,'4. CÀI ĐẶT'!$A$2:$H$32,4,FALSE)))</f>
        <v/>
      </c>
      <c r="H1288" s="67">
        <f>IF($B1288="",0,IF(LEFT($B1288,1)="━",0,$C1288*VLOOKUP($B1288,'4. CÀI ĐẶT'!$A$2:$H$32,5,FALSE)))</f>
        <v/>
      </c>
      <c r="I1288">
        <f>IF($B1288="","",IF(LEFT($B1288,1)="━","",VLOOKUP($B1288,'4. CÀI ĐẶT'!$A$2:$H$32,6,FALSE)))</f>
        <v/>
      </c>
      <c r="J1288" s="13">
        <f>IF($A1288="","",EOMONTH($A1288,0))</f>
        <v/>
      </c>
      <c r="K1288" s="67">
        <f>IF($B1288="",0,IF(LEFT($B1288,1)="━",0,$C1288*VLOOKUP($B1288,'4. CÀI ĐẶT'!$A$2:$H$32,7,FALSE)))</f>
        <v/>
      </c>
    </row>
    <row r="1289">
      <c r="A1289" s="8" t="n"/>
      <c r="B1289" s="9" t="n"/>
      <c r="C1289" s="65" t="n"/>
      <c r="D1289" s="9" t="n"/>
      <c r="E1289" s="66">
        <f>IF($B1289="","",IF(LEFT($B1289,1)="━","⚠️ Chọn hạng mục cụ thể",$C1289*VLOOKUP($B1289,'4. CÀI ĐẶT'!$A$2:$H$32,2,FALSE)))</f>
        <v/>
      </c>
      <c r="F1289" s="67">
        <f>IF($B1289="",0,IF(LEFT($B1289,1)="━",0,$C1289*VLOOKUP($B1289,'4. CÀI ĐẶT'!$A$2:$H$32,3,FALSE)))</f>
        <v/>
      </c>
      <c r="G1289" s="67">
        <f>IF($B1289="",0,IF(LEFT($B1289,1)="━",0,$C1289*VLOOKUP($B1289,'4. CÀI ĐẶT'!$A$2:$H$32,4,FALSE)))</f>
        <v/>
      </c>
      <c r="H1289" s="67">
        <f>IF($B1289="",0,IF(LEFT($B1289,1)="━",0,$C1289*VLOOKUP($B1289,'4. CÀI ĐẶT'!$A$2:$H$32,5,FALSE)))</f>
        <v/>
      </c>
      <c r="I1289">
        <f>IF($B1289="","",IF(LEFT($B1289,1)="━","",VLOOKUP($B1289,'4. CÀI ĐẶT'!$A$2:$H$32,6,FALSE)))</f>
        <v/>
      </c>
      <c r="J1289" s="13">
        <f>IF($A1289="","",EOMONTH($A1289,0))</f>
        <v/>
      </c>
      <c r="K1289" s="67">
        <f>IF($B1289="",0,IF(LEFT($B1289,1)="━",0,$C1289*VLOOKUP($B1289,'4. CÀI ĐẶT'!$A$2:$H$32,7,FALSE)))</f>
        <v/>
      </c>
    </row>
    <row r="1290">
      <c r="A1290" s="8" t="n"/>
      <c r="B1290" s="9" t="n"/>
      <c r="C1290" s="65" t="n"/>
      <c r="D1290" s="9" t="n"/>
      <c r="E1290" s="66">
        <f>IF($B1290="","",IF(LEFT($B1290,1)="━","⚠️ Chọn hạng mục cụ thể",$C1290*VLOOKUP($B1290,'4. CÀI ĐẶT'!$A$2:$H$32,2,FALSE)))</f>
        <v/>
      </c>
      <c r="F1290" s="67">
        <f>IF($B1290="",0,IF(LEFT($B1290,1)="━",0,$C1290*VLOOKUP($B1290,'4. CÀI ĐẶT'!$A$2:$H$32,3,FALSE)))</f>
        <v/>
      </c>
      <c r="G1290" s="67">
        <f>IF($B1290="",0,IF(LEFT($B1290,1)="━",0,$C1290*VLOOKUP($B1290,'4. CÀI ĐẶT'!$A$2:$H$32,4,FALSE)))</f>
        <v/>
      </c>
      <c r="H1290" s="67">
        <f>IF($B1290="",0,IF(LEFT($B1290,1)="━",0,$C1290*VLOOKUP($B1290,'4. CÀI ĐẶT'!$A$2:$H$32,5,FALSE)))</f>
        <v/>
      </c>
      <c r="I1290">
        <f>IF($B1290="","",IF(LEFT($B1290,1)="━","",VLOOKUP($B1290,'4. CÀI ĐẶT'!$A$2:$H$32,6,FALSE)))</f>
        <v/>
      </c>
      <c r="J1290" s="13">
        <f>IF($A1290="","",EOMONTH($A1290,0))</f>
        <v/>
      </c>
      <c r="K1290" s="67">
        <f>IF($B1290="",0,IF(LEFT($B1290,1)="━",0,$C1290*VLOOKUP($B1290,'4. CÀI ĐẶT'!$A$2:$H$32,7,FALSE)))</f>
        <v/>
      </c>
    </row>
    <row r="1291">
      <c r="A1291" s="8" t="n"/>
      <c r="B1291" s="9" t="n"/>
      <c r="C1291" s="65" t="n"/>
      <c r="D1291" s="9" t="n"/>
      <c r="E1291" s="66">
        <f>IF($B1291="","",IF(LEFT($B1291,1)="━","⚠️ Chọn hạng mục cụ thể",$C1291*VLOOKUP($B1291,'4. CÀI ĐẶT'!$A$2:$H$32,2,FALSE)))</f>
        <v/>
      </c>
      <c r="F1291" s="67">
        <f>IF($B1291="",0,IF(LEFT($B1291,1)="━",0,$C1291*VLOOKUP($B1291,'4. CÀI ĐẶT'!$A$2:$H$32,3,FALSE)))</f>
        <v/>
      </c>
      <c r="G1291" s="67">
        <f>IF($B1291="",0,IF(LEFT($B1291,1)="━",0,$C1291*VLOOKUP($B1291,'4. CÀI ĐẶT'!$A$2:$H$32,4,FALSE)))</f>
        <v/>
      </c>
      <c r="H1291" s="67">
        <f>IF($B1291="",0,IF(LEFT($B1291,1)="━",0,$C1291*VLOOKUP($B1291,'4. CÀI ĐẶT'!$A$2:$H$32,5,FALSE)))</f>
        <v/>
      </c>
      <c r="I1291">
        <f>IF($B1291="","",IF(LEFT($B1291,1)="━","",VLOOKUP($B1291,'4. CÀI ĐẶT'!$A$2:$H$32,6,FALSE)))</f>
        <v/>
      </c>
      <c r="J1291" s="13">
        <f>IF($A1291="","",EOMONTH($A1291,0))</f>
        <v/>
      </c>
      <c r="K1291" s="67">
        <f>IF($B1291="",0,IF(LEFT($B1291,1)="━",0,$C1291*VLOOKUP($B1291,'4. CÀI ĐẶT'!$A$2:$H$32,7,FALSE)))</f>
        <v/>
      </c>
    </row>
    <row r="1292">
      <c r="A1292" s="8" t="n"/>
      <c r="B1292" s="9" t="n"/>
      <c r="C1292" s="65" t="n"/>
      <c r="D1292" s="9" t="n"/>
      <c r="E1292" s="66">
        <f>IF($B1292="","",IF(LEFT($B1292,1)="━","⚠️ Chọn hạng mục cụ thể",$C1292*VLOOKUP($B1292,'4. CÀI ĐẶT'!$A$2:$H$32,2,FALSE)))</f>
        <v/>
      </c>
      <c r="F1292" s="67">
        <f>IF($B1292="",0,IF(LEFT($B1292,1)="━",0,$C1292*VLOOKUP($B1292,'4. CÀI ĐẶT'!$A$2:$H$32,3,FALSE)))</f>
        <v/>
      </c>
      <c r="G1292" s="67">
        <f>IF($B1292="",0,IF(LEFT($B1292,1)="━",0,$C1292*VLOOKUP($B1292,'4. CÀI ĐẶT'!$A$2:$H$32,4,FALSE)))</f>
        <v/>
      </c>
      <c r="H1292" s="67">
        <f>IF($B1292="",0,IF(LEFT($B1292,1)="━",0,$C1292*VLOOKUP($B1292,'4. CÀI ĐẶT'!$A$2:$H$32,5,FALSE)))</f>
        <v/>
      </c>
      <c r="I1292">
        <f>IF($B1292="","",IF(LEFT($B1292,1)="━","",VLOOKUP($B1292,'4. CÀI ĐẶT'!$A$2:$H$32,6,FALSE)))</f>
        <v/>
      </c>
      <c r="J1292" s="13">
        <f>IF($A1292="","",EOMONTH($A1292,0))</f>
        <v/>
      </c>
      <c r="K1292" s="67">
        <f>IF($B1292="",0,IF(LEFT($B1292,1)="━",0,$C1292*VLOOKUP($B1292,'4. CÀI ĐẶT'!$A$2:$H$32,7,FALSE)))</f>
        <v/>
      </c>
    </row>
    <row r="1293">
      <c r="A1293" s="8" t="n"/>
      <c r="B1293" s="9" t="n"/>
      <c r="C1293" s="65" t="n"/>
      <c r="D1293" s="9" t="n"/>
      <c r="E1293" s="66">
        <f>IF($B1293="","",IF(LEFT($B1293,1)="━","⚠️ Chọn hạng mục cụ thể",$C1293*VLOOKUP($B1293,'4. CÀI ĐẶT'!$A$2:$H$32,2,FALSE)))</f>
        <v/>
      </c>
      <c r="F1293" s="67">
        <f>IF($B1293="",0,IF(LEFT($B1293,1)="━",0,$C1293*VLOOKUP($B1293,'4. CÀI ĐẶT'!$A$2:$H$32,3,FALSE)))</f>
        <v/>
      </c>
      <c r="G1293" s="67">
        <f>IF($B1293="",0,IF(LEFT($B1293,1)="━",0,$C1293*VLOOKUP($B1293,'4. CÀI ĐẶT'!$A$2:$H$32,4,FALSE)))</f>
        <v/>
      </c>
      <c r="H1293" s="67">
        <f>IF($B1293="",0,IF(LEFT($B1293,1)="━",0,$C1293*VLOOKUP($B1293,'4. CÀI ĐẶT'!$A$2:$H$32,5,FALSE)))</f>
        <v/>
      </c>
      <c r="I1293">
        <f>IF($B1293="","",IF(LEFT($B1293,1)="━","",VLOOKUP($B1293,'4. CÀI ĐẶT'!$A$2:$H$32,6,FALSE)))</f>
        <v/>
      </c>
      <c r="J1293" s="13">
        <f>IF($A1293="","",EOMONTH($A1293,0))</f>
        <v/>
      </c>
      <c r="K1293" s="67">
        <f>IF($B1293="",0,IF(LEFT($B1293,1)="━",0,$C1293*VLOOKUP($B1293,'4. CÀI ĐẶT'!$A$2:$H$32,7,FALSE)))</f>
        <v/>
      </c>
    </row>
    <row r="1294">
      <c r="A1294" s="8" t="n"/>
      <c r="B1294" s="9" t="n"/>
      <c r="C1294" s="65" t="n"/>
      <c r="D1294" s="9" t="n"/>
      <c r="E1294" s="66">
        <f>IF($B1294="","",IF(LEFT($B1294,1)="━","⚠️ Chọn hạng mục cụ thể",$C1294*VLOOKUP($B1294,'4. CÀI ĐẶT'!$A$2:$H$32,2,FALSE)))</f>
        <v/>
      </c>
      <c r="F1294" s="67">
        <f>IF($B1294="",0,IF(LEFT($B1294,1)="━",0,$C1294*VLOOKUP($B1294,'4. CÀI ĐẶT'!$A$2:$H$32,3,FALSE)))</f>
        <v/>
      </c>
      <c r="G1294" s="67">
        <f>IF($B1294="",0,IF(LEFT($B1294,1)="━",0,$C1294*VLOOKUP($B1294,'4. CÀI ĐẶT'!$A$2:$H$32,4,FALSE)))</f>
        <v/>
      </c>
      <c r="H1294" s="67">
        <f>IF($B1294="",0,IF(LEFT($B1294,1)="━",0,$C1294*VLOOKUP($B1294,'4. CÀI ĐẶT'!$A$2:$H$32,5,FALSE)))</f>
        <v/>
      </c>
      <c r="I1294">
        <f>IF($B1294="","",IF(LEFT($B1294,1)="━","",VLOOKUP($B1294,'4. CÀI ĐẶT'!$A$2:$H$32,6,FALSE)))</f>
        <v/>
      </c>
      <c r="J1294" s="13">
        <f>IF($A1294="","",EOMONTH($A1294,0))</f>
        <v/>
      </c>
      <c r="K1294" s="67">
        <f>IF($B1294="",0,IF(LEFT($B1294,1)="━",0,$C1294*VLOOKUP($B1294,'4. CÀI ĐẶT'!$A$2:$H$32,7,FALSE)))</f>
        <v/>
      </c>
    </row>
    <row r="1295">
      <c r="A1295" s="8" t="n"/>
      <c r="B1295" s="9" t="n"/>
      <c r="C1295" s="65" t="n"/>
      <c r="D1295" s="9" t="n"/>
      <c r="E1295" s="66">
        <f>IF($B1295="","",IF(LEFT($B1295,1)="━","⚠️ Chọn hạng mục cụ thể",$C1295*VLOOKUP($B1295,'4. CÀI ĐẶT'!$A$2:$H$32,2,FALSE)))</f>
        <v/>
      </c>
      <c r="F1295" s="67">
        <f>IF($B1295="",0,IF(LEFT($B1295,1)="━",0,$C1295*VLOOKUP($B1295,'4. CÀI ĐẶT'!$A$2:$H$32,3,FALSE)))</f>
        <v/>
      </c>
      <c r="G1295" s="67">
        <f>IF($B1295="",0,IF(LEFT($B1295,1)="━",0,$C1295*VLOOKUP($B1295,'4. CÀI ĐẶT'!$A$2:$H$32,4,FALSE)))</f>
        <v/>
      </c>
      <c r="H1295" s="67">
        <f>IF($B1295="",0,IF(LEFT($B1295,1)="━",0,$C1295*VLOOKUP($B1295,'4. CÀI ĐẶT'!$A$2:$H$32,5,FALSE)))</f>
        <v/>
      </c>
      <c r="I1295">
        <f>IF($B1295="","",IF(LEFT($B1295,1)="━","",VLOOKUP($B1295,'4. CÀI ĐẶT'!$A$2:$H$32,6,FALSE)))</f>
        <v/>
      </c>
      <c r="J1295" s="13">
        <f>IF($A1295="","",EOMONTH($A1295,0))</f>
        <v/>
      </c>
      <c r="K1295" s="67">
        <f>IF($B1295="",0,IF(LEFT($B1295,1)="━",0,$C1295*VLOOKUP($B1295,'4. CÀI ĐẶT'!$A$2:$H$32,7,FALSE)))</f>
        <v/>
      </c>
    </row>
    <row r="1296">
      <c r="A1296" s="8" t="n"/>
      <c r="B1296" s="9" t="n"/>
      <c r="C1296" s="65" t="n"/>
      <c r="D1296" s="9" t="n"/>
      <c r="E1296" s="66">
        <f>IF($B1296="","",IF(LEFT($B1296,1)="━","⚠️ Chọn hạng mục cụ thể",$C1296*VLOOKUP($B1296,'4. CÀI ĐẶT'!$A$2:$H$32,2,FALSE)))</f>
        <v/>
      </c>
      <c r="F1296" s="67">
        <f>IF($B1296="",0,IF(LEFT($B1296,1)="━",0,$C1296*VLOOKUP($B1296,'4. CÀI ĐẶT'!$A$2:$H$32,3,FALSE)))</f>
        <v/>
      </c>
      <c r="G1296" s="67">
        <f>IF($B1296="",0,IF(LEFT($B1296,1)="━",0,$C1296*VLOOKUP($B1296,'4. CÀI ĐẶT'!$A$2:$H$32,4,FALSE)))</f>
        <v/>
      </c>
      <c r="H1296" s="67">
        <f>IF($B1296="",0,IF(LEFT($B1296,1)="━",0,$C1296*VLOOKUP($B1296,'4. CÀI ĐẶT'!$A$2:$H$32,5,FALSE)))</f>
        <v/>
      </c>
      <c r="I1296">
        <f>IF($B1296="","",IF(LEFT($B1296,1)="━","",VLOOKUP($B1296,'4. CÀI ĐẶT'!$A$2:$H$32,6,FALSE)))</f>
        <v/>
      </c>
      <c r="J1296" s="13">
        <f>IF($A1296="","",EOMONTH($A1296,0))</f>
        <v/>
      </c>
      <c r="K1296" s="67">
        <f>IF($B1296="",0,IF(LEFT($B1296,1)="━",0,$C1296*VLOOKUP($B1296,'4. CÀI ĐẶT'!$A$2:$H$32,7,FALSE)))</f>
        <v/>
      </c>
    </row>
    <row r="1297">
      <c r="A1297" s="8" t="n"/>
      <c r="B1297" s="9" t="n"/>
      <c r="C1297" s="65" t="n"/>
      <c r="D1297" s="9" t="n"/>
      <c r="E1297" s="66">
        <f>IF($B1297="","",IF(LEFT($B1297,1)="━","⚠️ Chọn hạng mục cụ thể",$C1297*VLOOKUP($B1297,'4. CÀI ĐẶT'!$A$2:$H$32,2,FALSE)))</f>
        <v/>
      </c>
      <c r="F1297" s="67">
        <f>IF($B1297="",0,IF(LEFT($B1297,1)="━",0,$C1297*VLOOKUP($B1297,'4. CÀI ĐẶT'!$A$2:$H$32,3,FALSE)))</f>
        <v/>
      </c>
      <c r="G1297" s="67">
        <f>IF($B1297="",0,IF(LEFT($B1297,1)="━",0,$C1297*VLOOKUP($B1297,'4. CÀI ĐẶT'!$A$2:$H$32,4,FALSE)))</f>
        <v/>
      </c>
      <c r="H1297" s="67">
        <f>IF($B1297="",0,IF(LEFT($B1297,1)="━",0,$C1297*VLOOKUP($B1297,'4. CÀI ĐẶT'!$A$2:$H$32,5,FALSE)))</f>
        <v/>
      </c>
      <c r="I1297">
        <f>IF($B1297="","",IF(LEFT($B1297,1)="━","",VLOOKUP($B1297,'4. CÀI ĐẶT'!$A$2:$H$32,6,FALSE)))</f>
        <v/>
      </c>
      <c r="J1297" s="13">
        <f>IF($A1297="","",EOMONTH($A1297,0))</f>
        <v/>
      </c>
      <c r="K1297" s="67">
        <f>IF($B1297="",0,IF(LEFT($B1297,1)="━",0,$C1297*VLOOKUP($B1297,'4. CÀI ĐẶT'!$A$2:$H$32,7,FALSE)))</f>
        <v/>
      </c>
    </row>
    <row r="1298">
      <c r="A1298" s="8" t="n"/>
      <c r="B1298" s="9" t="n"/>
      <c r="C1298" s="65" t="n"/>
      <c r="D1298" s="9" t="n"/>
      <c r="E1298" s="66">
        <f>IF($B1298="","",IF(LEFT($B1298,1)="━","⚠️ Chọn hạng mục cụ thể",$C1298*VLOOKUP($B1298,'4. CÀI ĐẶT'!$A$2:$H$32,2,FALSE)))</f>
        <v/>
      </c>
      <c r="F1298" s="67">
        <f>IF($B1298="",0,IF(LEFT($B1298,1)="━",0,$C1298*VLOOKUP($B1298,'4. CÀI ĐẶT'!$A$2:$H$32,3,FALSE)))</f>
        <v/>
      </c>
      <c r="G1298" s="67">
        <f>IF($B1298="",0,IF(LEFT($B1298,1)="━",0,$C1298*VLOOKUP($B1298,'4. CÀI ĐẶT'!$A$2:$H$32,4,FALSE)))</f>
        <v/>
      </c>
      <c r="H1298" s="67">
        <f>IF($B1298="",0,IF(LEFT($B1298,1)="━",0,$C1298*VLOOKUP($B1298,'4. CÀI ĐẶT'!$A$2:$H$32,5,FALSE)))</f>
        <v/>
      </c>
      <c r="I1298">
        <f>IF($B1298="","",IF(LEFT($B1298,1)="━","",VLOOKUP($B1298,'4. CÀI ĐẶT'!$A$2:$H$32,6,FALSE)))</f>
        <v/>
      </c>
      <c r="J1298" s="13">
        <f>IF($A1298="","",EOMONTH($A1298,0))</f>
        <v/>
      </c>
      <c r="K1298" s="67">
        <f>IF($B1298="",0,IF(LEFT($B1298,1)="━",0,$C1298*VLOOKUP($B1298,'4. CÀI ĐẶT'!$A$2:$H$32,7,FALSE)))</f>
        <v/>
      </c>
    </row>
    <row r="1299">
      <c r="A1299" s="8" t="n"/>
      <c r="B1299" s="9" t="n"/>
      <c r="C1299" s="65" t="n"/>
      <c r="D1299" s="9" t="n"/>
      <c r="E1299" s="66">
        <f>IF($B1299="","",IF(LEFT($B1299,1)="━","⚠️ Chọn hạng mục cụ thể",$C1299*VLOOKUP($B1299,'4. CÀI ĐẶT'!$A$2:$H$32,2,FALSE)))</f>
        <v/>
      </c>
      <c r="F1299" s="67">
        <f>IF($B1299="",0,IF(LEFT($B1299,1)="━",0,$C1299*VLOOKUP($B1299,'4. CÀI ĐẶT'!$A$2:$H$32,3,FALSE)))</f>
        <v/>
      </c>
      <c r="G1299" s="67">
        <f>IF($B1299="",0,IF(LEFT($B1299,1)="━",0,$C1299*VLOOKUP($B1299,'4. CÀI ĐẶT'!$A$2:$H$32,4,FALSE)))</f>
        <v/>
      </c>
      <c r="H1299" s="67">
        <f>IF($B1299="",0,IF(LEFT($B1299,1)="━",0,$C1299*VLOOKUP($B1299,'4. CÀI ĐẶT'!$A$2:$H$32,5,FALSE)))</f>
        <v/>
      </c>
      <c r="I1299">
        <f>IF($B1299="","",IF(LEFT($B1299,1)="━","",VLOOKUP($B1299,'4. CÀI ĐẶT'!$A$2:$H$32,6,FALSE)))</f>
        <v/>
      </c>
      <c r="J1299" s="13">
        <f>IF($A1299="","",EOMONTH($A1299,0))</f>
        <v/>
      </c>
      <c r="K1299" s="67">
        <f>IF($B1299="",0,IF(LEFT($B1299,1)="━",0,$C1299*VLOOKUP($B1299,'4. CÀI ĐẶT'!$A$2:$H$32,7,FALSE)))</f>
        <v/>
      </c>
    </row>
    <row r="1300">
      <c r="A1300" s="8" t="n"/>
      <c r="B1300" s="9" t="n"/>
      <c r="C1300" s="65" t="n"/>
      <c r="D1300" s="9" t="n"/>
      <c r="E1300" s="66">
        <f>IF($B1300="","",IF(LEFT($B1300,1)="━","⚠️ Chọn hạng mục cụ thể",$C1300*VLOOKUP($B1300,'4. CÀI ĐẶT'!$A$2:$H$32,2,FALSE)))</f>
        <v/>
      </c>
      <c r="F1300" s="67">
        <f>IF($B1300="",0,IF(LEFT($B1300,1)="━",0,$C1300*VLOOKUP($B1300,'4. CÀI ĐẶT'!$A$2:$H$32,3,FALSE)))</f>
        <v/>
      </c>
      <c r="G1300" s="67">
        <f>IF($B1300="",0,IF(LEFT($B1300,1)="━",0,$C1300*VLOOKUP($B1300,'4. CÀI ĐẶT'!$A$2:$H$32,4,FALSE)))</f>
        <v/>
      </c>
      <c r="H1300" s="67">
        <f>IF($B1300="",0,IF(LEFT($B1300,1)="━",0,$C1300*VLOOKUP($B1300,'4. CÀI ĐẶT'!$A$2:$H$32,5,FALSE)))</f>
        <v/>
      </c>
      <c r="I1300">
        <f>IF($B1300="","",IF(LEFT($B1300,1)="━","",VLOOKUP($B1300,'4. CÀI ĐẶT'!$A$2:$H$32,6,FALSE)))</f>
        <v/>
      </c>
      <c r="J1300" s="13">
        <f>IF($A1300="","",EOMONTH($A1300,0))</f>
        <v/>
      </c>
      <c r="K1300" s="67">
        <f>IF($B1300="",0,IF(LEFT($B1300,1)="━",0,$C1300*VLOOKUP($B1300,'4. CÀI ĐẶT'!$A$2:$H$32,7,FALSE)))</f>
        <v/>
      </c>
    </row>
    <row r="1301">
      <c r="A1301" s="8" t="n"/>
      <c r="B1301" s="9" t="n"/>
      <c r="C1301" s="65" t="n"/>
      <c r="D1301" s="9" t="n"/>
      <c r="E1301" s="66">
        <f>IF($B1301="","",IF(LEFT($B1301,1)="━","⚠️ Chọn hạng mục cụ thể",$C1301*VLOOKUP($B1301,'4. CÀI ĐẶT'!$A$2:$H$32,2,FALSE)))</f>
        <v/>
      </c>
      <c r="F1301" s="67">
        <f>IF($B1301="",0,IF(LEFT($B1301,1)="━",0,$C1301*VLOOKUP($B1301,'4. CÀI ĐẶT'!$A$2:$H$32,3,FALSE)))</f>
        <v/>
      </c>
      <c r="G1301" s="67">
        <f>IF($B1301="",0,IF(LEFT($B1301,1)="━",0,$C1301*VLOOKUP($B1301,'4. CÀI ĐẶT'!$A$2:$H$32,4,FALSE)))</f>
        <v/>
      </c>
      <c r="H1301" s="67">
        <f>IF($B1301="",0,IF(LEFT($B1301,1)="━",0,$C1301*VLOOKUP($B1301,'4. CÀI ĐẶT'!$A$2:$H$32,5,FALSE)))</f>
        <v/>
      </c>
      <c r="I1301">
        <f>IF($B1301="","",IF(LEFT($B1301,1)="━","",VLOOKUP($B1301,'4. CÀI ĐẶT'!$A$2:$H$32,6,FALSE)))</f>
        <v/>
      </c>
      <c r="J1301" s="13">
        <f>IF($A1301="","",EOMONTH($A1301,0))</f>
        <v/>
      </c>
      <c r="K1301" s="67">
        <f>IF($B1301="",0,IF(LEFT($B1301,1)="━",0,$C1301*VLOOKUP($B1301,'4. CÀI ĐẶT'!$A$2:$H$32,7,FALSE)))</f>
        <v/>
      </c>
    </row>
    <row r="1302">
      <c r="A1302" s="8" t="n"/>
      <c r="B1302" s="9" t="n"/>
      <c r="C1302" s="65" t="n"/>
      <c r="D1302" s="9" t="n"/>
      <c r="E1302" s="66">
        <f>IF($B1302="","",IF(LEFT($B1302,1)="━","⚠️ Chọn hạng mục cụ thể",$C1302*VLOOKUP($B1302,'4. CÀI ĐẶT'!$A$2:$H$32,2,FALSE)))</f>
        <v/>
      </c>
      <c r="F1302" s="67">
        <f>IF($B1302="",0,IF(LEFT($B1302,1)="━",0,$C1302*VLOOKUP($B1302,'4. CÀI ĐẶT'!$A$2:$H$32,3,FALSE)))</f>
        <v/>
      </c>
      <c r="G1302" s="67">
        <f>IF($B1302="",0,IF(LEFT($B1302,1)="━",0,$C1302*VLOOKUP($B1302,'4. CÀI ĐẶT'!$A$2:$H$32,4,FALSE)))</f>
        <v/>
      </c>
      <c r="H1302" s="67">
        <f>IF($B1302="",0,IF(LEFT($B1302,1)="━",0,$C1302*VLOOKUP($B1302,'4. CÀI ĐẶT'!$A$2:$H$32,5,FALSE)))</f>
        <v/>
      </c>
      <c r="I1302">
        <f>IF($B1302="","",IF(LEFT($B1302,1)="━","",VLOOKUP($B1302,'4. CÀI ĐẶT'!$A$2:$H$32,6,FALSE)))</f>
        <v/>
      </c>
      <c r="J1302" s="13">
        <f>IF($A1302="","",EOMONTH($A1302,0))</f>
        <v/>
      </c>
      <c r="K1302" s="67">
        <f>IF($B1302="",0,IF(LEFT($B1302,1)="━",0,$C1302*VLOOKUP($B1302,'4. CÀI ĐẶT'!$A$2:$H$32,7,FALSE)))</f>
        <v/>
      </c>
    </row>
    <row r="1303">
      <c r="A1303" s="8" t="n"/>
      <c r="B1303" s="9" t="n"/>
      <c r="C1303" s="65" t="n"/>
      <c r="D1303" s="9" t="n"/>
      <c r="E1303" s="66">
        <f>IF($B1303="","",IF(LEFT($B1303,1)="━","⚠️ Chọn hạng mục cụ thể",$C1303*VLOOKUP($B1303,'4. CÀI ĐẶT'!$A$2:$H$32,2,FALSE)))</f>
        <v/>
      </c>
      <c r="F1303" s="67">
        <f>IF($B1303="",0,IF(LEFT($B1303,1)="━",0,$C1303*VLOOKUP($B1303,'4. CÀI ĐẶT'!$A$2:$H$32,3,FALSE)))</f>
        <v/>
      </c>
      <c r="G1303" s="67">
        <f>IF($B1303="",0,IF(LEFT($B1303,1)="━",0,$C1303*VLOOKUP($B1303,'4. CÀI ĐẶT'!$A$2:$H$32,4,FALSE)))</f>
        <v/>
      </c>
      <c r="H1303" s="67">
        <f>IF($B1303="",0,IF(LEFT($B1303,1)="━",0,$C1303*VLOOKUP($B1303,'4. CÀI ĐẶT'!$A$2:$H$32,5,FALSE)))</f>
        <v/>
      </c>
      <c r="I1303">
        <f>IF($B1303="","",IF(LEFT($B1303,1)="━","",VLOOKUP($B1303,'4. CÀI ĐẶT'!$A$2:$H$32,6,FALSE)))</f>
        <v/>
      </c>
      <c r="J1303" s="13">
        <f>IF($A1303="","",EOMONTH($A1303,0))</f>
        <v/>
      </c>
      <c r="K1303" s="67">
        <f>IF($B1303="",0,IF(LEFT($B1303,1)="━",0,$C1303*VLOOKUP($B1303,'4. CÀI ĐẶT'!$A$2:$H$32,7,FALSE)))</f>
        <v/>
      </c>
    </row>
    <row r="1304">
      <c r="A1304" s="8" t="n"/>
      <c r="B1304" s="9" t="n"/>
      <c r="C1304" s="65" t="n"/>
      <c r="D1304" s="9" t="n"/>
      <c r="E1304" s="66">
        <f>IF($B1304="","",IF(LEFT($B1304,1)="━","⚠️ Chọn hạng mục cụ thể",$C1304*VLOOKUP($B1304,'4. CÀI ĐẶT'!$A$2:$H$32,2,FALSE)))</f>
        <v/>
      </c>
      <c r="F1304" s="67">
        <f>IF($B1304="",0,IF(LEFT($B1304,1)="━",0,$C1304*VLOOKUP($B1304,'4. CÀI ĐẶT'!$A$2:$H$32,3,FALSE)))</f>
        <v/>
      </c>
      <c r="G1304" s="67">
        <f>IF($B1304="",0,IF(LEFT($B1304,1)="━",0,$C1304*VLOOKUP($B1304,'4. CÀI ĐẶT'!$A$2:$H$32,4,FALSE)))</f>
        <v/>
      </c>
      <c r="H1304" s="67">
        <f>IF($B1304="",0,IF(LEFT($B1304,1)="━",0,$C1304*VLOOKUP($B1304,'4. CÀI ĐẶT'!$A$2:$H$32,5,FALSE)))</f>
        <v/>
      </c>
      <c r="I1304">
        <f>IF($B1304="","",IF(LEFT($B1304,1)="━","",VLOOKUP($B1304,'4. CÀI ĐẶT'!$A$2:$H$32,6,FALSE)))</f>
        <v/>
      </c>
      <c r="J1304" s="13">
        <f>IF($A1304="","",EOMONTH($A1304,0))</f>
        <v/>
      </c>
      <c r="K1304" s="67">
        <f>IF($B1304="",0,IF(LEFT($B1304,1)="━",0,$C1304*VLOOKUP($B1304,'4. CÀI ĐẶT'!$A$2:$H$32,7,FALSE)))</f>
        <v/>
      </c>
    </row>
    <row r="1305">
      <c r="A1305" s="8" t="n"/>
      <c r="B1305" s="9" t="n"/>
      <c r="C1305" s="65" t="n"/>
      <c r="D1305" s="9" t="n"/>
      <c r="E1305" s="66">
        <f>IF($B1305="","",IF(LEFT($B1305,1)="━","⚠️ Chọn hạng mục cụ thể",$C1305*VLOOKUP($B1305,'4. CÀI ĐẶT'!$A$2:$H$32,2,FALSE)))</f>
        <v/>
      </c>
      <c r="F1305" s="67">
        <f>IF($B1305="",0,IF(LEFT($B1305,1)="━",0,$C1305*VLOOKUP($B1305,'4. CÀI ĐẶT'!$A$2:$H$32,3,FALSE)))</f>
        <v/>
      </c>
      <c r="G1305" s="67">
        <f>IF($B1305="",0,IF(LEFT($B1305,1)="━",0,$C1305*VLOOKUP($B1305,'4. CÀI ĐẶT'!$A$2:$H$32,4,FALSE)))</f>
        <v/>
      </c>
      <c r="H1305" s="67">
        <f>IF($B1305="",0,IF(LEFT($B1305,1)="━",0,$C1305*VLOOKUP($B1305,'4. CÀI ĐẶT'!$A$2:$H$32,5,FALSE)))</f>
        <v/>
      </c>
      <c r="I1305">
        <f>IF($B1305="","",IF(LEFT($B1305,1)="━","",VLOOKUP($B1305,'4. CÀI ĐẶT'!$A$2:$H$32,6,FALSE)))</f>
        <v/>
      </c>
      <c r="J1305" s="13">
        <f>IF($A1305="","",EOMONTH($A1305,0))</f>
        <v/>
      </c>
      <c r="K1305" s="67">
        <f>IF($B1305="",0,IF(LEFT($B1305,1)="━",0,$C1305*VLOOKUP($B1305,'4. CÀI ĐẶT'!$A$2:$H$32,7,FALSE)))</f>
        <v/>
      </c>
    </row>
    <row r="1306">
      <c r="A1306" s="8" t="n"/>
      <c r="B1306" s="9" t="n"/>
      <c r="C1306" s="65" t="n"/>
      <c r="D1306" s="9" t="n"/>
      <c r="E1306" s="66">
        <f>IF($B1306="","",IF(LEFT($B1306,1)="━","⚠️ Chọn hạng mục cụ thể",$C1306*VLOOKUP($B1306,'4. CÀI ĐẶT'!$A$2:$H$32,2,FALSE)))</f>
        <v/>
      </c>
      <c r="F1306" s="67">
        <f>IF($B1306="",0,IF(LEFT($B1306,1)="━",0,$C1306*VLOOKUP($B1306,'4. CÀI ĐẶT'!$A$2:$H$32,3,FALSE)))</f>
        <v/>
      </c>
      <c r="G1306" s="67">
        <f>IF($B1306="",0,IF(LEFT($B1306,1)="━",0,$C1306*VLOOKUP($B1306,'4. CÀI ĐẶT'!$A$2:$H$32,4,FALSE)))</f>
        <v/>
      </c>
      <c r="H1306" s="67">
        <f>IF($B1306="",0,IF(LEFT($B1306,1)="━",0,$C1306*VLOOKUP($B1306,'4. CÀI ĐẶT'!$A$2:$H$32,5,FALSE)))</f>
        <v/>
      </c>
      <c r="I1306">
        <f>IF($B1306="","",IF(LEFT($B1306,1)="━","",VLOOKUP($B1306,'4. CÀI ĐẶT'!$A$2:$H$32,6,FALSE)))</f>
        <v/>
      </c>
      <c r="J1306" s="13">
        <f>IF($A1306="","",EOMONTH($A1306,0))</f>
        <v/>
      </c>
      <c r="K1306" s="67">
        <f>IF($B1306="",0,IF(LEFT($B1306,1)="━",0,$C1306*VLOOKUP($B1306,'4. CÀI ĐẶT'!$A$2:$H$32,7,FALSE)))</f>
        <v/>
      </c>
    </row>
    <row r="1307">
      <c r="A1307" s="8" t="n"/>
      <c r="B1307" s="9" t="n"/>
      <c r="C1307" s="65" t="n"/>
      <c r="D1307" s="9" t="n"/>
      <c r="E1307" s="66">
        <f>IF($B1307="","",IF(LEFT($B1307,1)="━","⚠️ Chọn hạng mục cụ thể",$C1307*VLOOKUP($B1307,'4. CÀI ĐẶT'!$A$2:$H$32,2,FALSE)))</f>
        <v/>
      </c>
      <c r="F1307" s="67">
        <f>IF($B1307="",0,IF(LEFT($B1307,1)="━",0,$C1307*VLOOKUP($B1307,'4. CÀI ĐẶT'!$A$2:$H$32,3,FALSE)))</f>
        <v/>
      </c>
      <c r="G1307" s="67">
        <f>IF($B1307="",0,IF(LEFT($B1307,1)="━",0,$C1307*VLOOKUP($B1307,'4. CÀI ĐẶT'!$A$2:$H$32,4,FALSE)))</f>
        <v/>
      </c>
      <c r="H1307" s="67">
        <f>IF($B1307="",0,IF(LEFT($B1307,1)="━",0,$C1307*VLOOKUP($B1307,'4. CÀI ĐẶT'!$A$2:$H$32,5,FALSE)))</f>
        <v/>
      </c>
      <c r="I1307">
        <f>IF($B1307="","",IF(LEFT($B1307,1)="━","",VLOOKUP($B1307,'4. CÀI ĐẶT'!$A$2:$H$32,6,FALSE)))</f>
        <v/>
      </c>
      <c r="J1307" s="13">
        <f>IF($A1307="","",EOMONTH($A1307,0))</f>
        <v/>
      </c>
      <c r="K1307" s="67">
        <f>IF($B1307="",0,IF(LEFT($B1307,1)="━",0,$C1307*VLOOKUP($B1307,'4. CÀI ĐẶT'!$A$2:$H$32,7,FALSE)))</f>
        <v/>
      </c>
    </row>
    <row r="1308">
      <c r="A1308" s="8" t="n"/>
      <c r="B1308" s="9" t="n"/>
      <c r="C1308" s="65" t="n"/>
      <c r="D1308" s="9" t="n"/>
      <c r="E1308" s="66">
        <f>IF($B1308="","",IF(LEFT($B1308,1)="━","⚠️ Chọn hạng mục cụ thể",$C1308*VLOOKUP($B1308,'4. CÀI ĐẶT'!$A$2:$H$32,2,FALSE)))</f>
        <v/>
      </c>
      <c r="F1308" s="67">
        <f>IF($B1308="",0,IF(LEFT($B1308,1)="━",0,$C1308*VLOOKUP($B1308,'4. CÀI ĐẶT'!$A$2:$H$32,3,FALSE)))</f>
        <v/>
      </c>
      <c r="G1308" s="67">
        <f>IF($B1308="",0,IF(LEFT($B1308,1)="━",0,$C1308*VLOOKUP($B1308,'4. CÀI ĐẶT'!$A$2:$H$32,4,FALSE)))</f>
        <v/>
      </c>
      <c r="H1308" s="67">
        <f>IF($B1308="",0,IF(LEFT($B1308,1)="━",0,$C1308*VLOOKUP($B1308,'4. CÀI ĐẶT'!$A$2:$H$32,5,FALSE)))</f>
        <v/>
      </c>
      <c r="I1308">
        <f>IF($B1308="","",IF(LEFT($B1308,1)="━","",VLOOKUP($B1308,'4. CÀI ĐẶT'!$A$2:$H$32,6,FALSE)))</f>
        <v/>
      </c>
      <c r="J1308" s="13">
        <f>IF($A1308="","",EOMONTH($A1308,0))</f>
        <v/>
      </c>
      <c r="K1308" s="67">
        <f>IF($B1308="",0,IF(LEFT($B1308,1)="━",0,$C1308*VLOOKUP($B1308,'4. CÀI ĐẶT'!$A$2:$H$32,7,FALSE)))</f>
        <v/>
      </c>
    </row>
    <row r="1309">
      <c r="A1309" s="8" t="n"/>
      <c r="B1309" s="9" t="n"/>
      <c r="C1309" s="65" t="n"/>
      <c r="D1309" s="9" t="n"/>
      <c r="E1309" s="66">
        <f>IF($B1309="","",IF(LEFT($B1309,1)="━","⚠️ Chọn hạng mục cụ thể",$C1309*VLOOKUP($B1309,'4. CÀI ĐẶT'!$A$2:$H$32,2,FALSE)))</f>
        <v/>
      </c>
      <c r="F1309" s="67">
        <f>IF($B1309="",0,IF(LEFT($B1309,1)="━",0,$C1309*VLOOKUP($B1309,'4. CÀI ĐẶT'!$A$2:$H$32,3,FALSE)))</f>
        <v/>
      </c>
      <c r="G1309" s="67">
        <f>IF($B1309="",0,IF(LEFT($B1309,1)="━",0,$C1309*VLOOKUP($B1309,'4. CÀI ĐẶT'!$A$2:$H$32,4,FALSE)))</f>
        <v/>
      </c>
      <c r="H1309" s="67">
        <f>IF($B1309="",0,IF(LEFT($B1309,1)="━",0,$C1309*VLOOKUP($B1309,'4. CÀI ĐẶT'!$A$2:$H$32,5,FALSE)))</f>
        <v/>
      </c>
      <c r="I1309">
        <f>IF($B1309="","",IF(LEFT($B1309,1)="━","",VLOOKUP($B1309,'4. CÀI ĐẶT'!$A$2:$H$32,6,FALSE)))</f>
        <v/>
      </c>
      <c r="J1309" s="13">
        <f>IF($A1309="","",EOMONTH($A1309,0))</f>
        <v/>
      </c>
      <c r="K1309" s="67">
        <f>IF($B1309="",0,IF(LEFT($B1309,1)="━",0,$C1309*VLOOKUP($B1309,'4. CÀI ĐẶT'!$A$2:$H$32,7,FALSE)))</f>
        <v/>
      </c>
    </row>
    <row r="1310">
      <c r="A1310" s="8" t="n"/>
      <c r="B1310" s="9" t="n"/>
      <c r="C1310" s="65" t="n"/>
      <c r="D1310" s="9" t="n"/>
      <c r="E1310" s="66">
        <f>IF($B1310="","",IF(LEFT($B1310,1)="━","⚠️ Chọn hạng mục cụ thể",$C1310*VLOOKUP($B1310,'4. CÀI ĐẶT'!$A$2:$H$32,2,FALSE)))</f>
        <v/>
      </c>
      <c r="F1310" s="67">
        <f>IF($B1310="",0,IF(LEFT($B1310,1)="━",0,$C1310*VLOOKUP($B1310,'4. CÀI ĐẶT'!$A$2:$H$32,3,FALSE)))</f>
        <v/>
      </c>
      <c r="G1310" s="67">
        <f>IF($B1310="",0,IF(LEFT($B1310,1)="━",0,$C1310*VLOOKUP($B1310,'4. CÀI ĐẶT'!$A$2:$H$32,4,FALSE)))</f>
        <v/>
      </c>
      <c r="H1310" s="67">
        <f>IF($B1310="",0,IF(LEFT($B1310,1)="━",0,$C1310*VLOOKUP($B1310,'4. CÀI ĐẶT'!$A$2:$H$32,5,FALSE)))</f>
        <v/>
      </c>
      <c r="I1310">
        <f>IF($B1310="","",IF(LEFT($B1310,1)="━","",VLOOKUP($B1310,'4. CÀI ĐẶT'!$A$2:$H$32,6,FALSE)))</f>
        <v/>
      </c>
      <c r="J1310" s="13">
        <f>IF($A1310="","",EOMONTH($A1310,0))</f>
        <v/>
      </c>
      <c r="K1310" s="67">
        <f>IF($B1310="",0,IF(LEFT($B1310,1)="━",0,$C1310*VLOOKUP($B1310,'4. CÀI ĐẶT'!$A$2:$H$32,7,FALSE)))</f>
        <v/>
      </c>
    </row>
    <row r="1311">
      <c r="A1311" s="8" t="n"/>
      <c r="B1311" s="9" t="n"/>
      <c r="C1311" s="65" t="n"/>
      <c r="D1311" s="9" t="n"/>
      <c r="E1311" s="66">
        <f>IF($B1311="","",IF(LEFT($B1311,1)="━","⚠️ Chọn hạng mục cụ thể",$C1311*VLOOKUP($B1311,'4. CÀI ĐẶT'!$A$2:$H$32,2,FALSE)))</f>
        <v/>
      </c>
      <c r="F1311" s="67">
        <f>IF($B1311="",0,IF(LEFT($B1311,1)="━",0,$C1311*VLOOKUP($B1311,'4. CÀI ĐẶT'!$A$2:$H$32,3,FALSE)))</f>
        <v/>
      </c>
      <c r="G1311" s="67">
        <f>IF($B1311="",0,IF(LEFT($B1311,1)="━",0,$C1311*VLOOKUP($B1311,'4. CÀI ĐẶT'!$A$2:$H$32,4,FALSE)))</f>
        <v/>
      </c>
      <c r="H1311" s="67">
        <f>IF($B1311="",0,IF(LEFT($B1311,1)="━",0,$C1311*VLOOKUP($B1311,'4. CÀI ĐẶT'!$A$2:$H$32,5,FALSE)))</f>
        <v/>
      </c>
      <c r="I1311">
        <f>IF($B1311="","",IF(LEFT($B1311,1)="━","",VLOOKUP($B1311,'4. CÀI ĐẶT'!$A$2:$H$32,6,FALSE)))</f>
        <v/>
      </c>
      <c r="J1311" s="13">
        <f>IF($A1311="","",EOMONTH($A1311,0))</f>
        <v/>
      </c>
      <c r="K1311" s="67">
        <f>IF($B1311="",0,IF(LEFT($B1311,1)="━",0,$C1311*VLOOKUP($B1311,'4. CÀI ĐẶT'!$A$2:$H$32,7,FALSE)))</f>
        <v/>
      </c>
    </row>
    <row r="1312">
      <c r="A1312" s="8" t="n"/>
      <c r="B1312" s="9" t="n"/>
      <c r="C1312" s="65" t="n"/>
      <c r="D1312" s="9" t="n"/>
      <c r="E1312" s="66">
        <f>IF($B1312="","",IF(LEFT($B1312,1)="━","⚠️ Chọn hạng mục cụ thể",$C1312*VLOOKUP($B1312,'4. CÀI ĐẶT'!$A$2:$H$32,2,FALSE)))</f>
        <v/>
      </c>
      <c r="F1312" s="67">
        <f>IF($B1312="",0,IF(LEFT($B1312,1)="━",0,$C1312*VLOOKUP($B1312,'4. CÀI ĐẶT'!$A$2:$H$32,3,FALSE)))</f>
        <v/>
      </c>
      <c r="G1312" s="67">
        <f>IF($B1312="",0,IF(LEFT($B1312,1)="━",0,$C1312*VLOOKUP($B1312,'4. CÀI ĐẶT'!$A$2:$H$32,4,FALSE)))</f>
        <v/>
      </c>
      <c r="H1312" s="67">
        <f>IF($B1312="",0,IF(LEFT($B1312,1)="━",0,$C1312*VLOOKUP($B1312,'4. CÀI ĐẶT'!$A$2:$H$32,5,FALSE)))</f>
        <v/>
      </c>
      <c r="I1312">
        <f>IF($B1312="","",IF(LEFT($B1312,1)="━","",VLOOKUP($B1312,'4. CÀI ĐẶT'!$A$2:$H$32,6,FALSE)))</f>
        <v/>
      </c>
      <c r="J1312" s="13">
        <f>IF($A1312="","",EOMONTH($A1312,0))</f>
        <v/>
      </c>
      <c r="K1312" s="67">
        <f>IF($B1312="",0,IF(LEFT($B1312,1)="━",0,$C1312*VLOOKUP($B1312,'4. CÀI ĐẶT'!$A$2:$H$32,7,FALSE)))</f>
        <v/>
      </c>
    </row>
    <row r="1313">
      <c r="A1313" s="8" t="n"/>
      <c r="B1313" s="9" t="n"/>
      <c r="C1313" s="65" t="n"/>
      <c r="D1313" s="9" t="n"/>
      <c r="E1313" s="66">
        <f>IF($B1313="","",IF(LEFT($B1313,1)="━","⚠️ Chọn hạng mục cụ thể",$C1313*VLOOKUP($B1313,'4. CÀI ĐẶT'!$A$2:$H$32,2,FALSE)))</f>
        <v/>
      </c>
      <c r="F1313" s="67">
        <f>IF($B1313="",0,IF(LEFT($B1313,1)="━",0,$C1313*VLOOKUP($B1313,'4. CÀI ĐẶT'!$A$2:$H$32,3,FALSE)))</f>
        <v/>
      </c>
      <c r="G1313" s="67">
        <f>IF($B1313="",0,IF(LEFT($B1313,1)="━",0,$C1313*VLOOKUP($B1313,'4. CÀI ĐẶT'!$A$2:$H$32,4,FALSE)))</f>
        <v/>
      </c>
      <c r="H1313" s="67">
        <f>IF($B1313="",0,IF(LEFT($B1313,1)="━",0,$C1313*VLOOKUP($B1313,'4. CÀI ĐẶT'!$A$2:$H$32,5,FALSE)))</f>
        <v/>
      </c>
      <c r="I1313">
        <f>IF($B1313="","",IF(LEFT($B1313,1)="━","",VLOOKUP($B1313,'4. CÀI ĐẶT'!$A$2:$H$32,6,FALSE)))</f>
        <v/>
      </c>
      <c r="J1313" s="13">
        <f>IF($A1313="","",EOMONTH($A1313,0))</f>
        <v/>
      </c>
      <c r="K1313" s="67">
        <f>IF($B1313="",0,IF(LEFT($B1313,1)="━",0,$C1313*VLOOKUP($B1313,'4. CÀI ĐẶT'!$A$2:$H$32,7,FALSE)))</f>
        <v/>
      </c>
    </row>
    <row r="1314">
      <c r="A1314" s="8" t="n"/>
      <c r="B1314" s="9" t="n"/>
      <c r="C1314" s="65" t="n"/>
      <c r="D1314" s="9" t="n"/>
      <c r="E1314" s="66">
        <f>IF($B1314="","",IF(LEFT($B1314,1)="━","⚠️ Chọn hạng mục cụ thể",$C1314*VLOOKUP($B1314,'4. CÀI ĐẶT'!$A$2:$H$32,2,FALSE)))</f>
        <v/>
      </c>
      <c r="F1314" s="67">
        <f>IF($B1314="",0,IF(LEFT($B1314,1)="━",0,$C1314*VLOOKUP($B1314,'4. CÀI ĐẶT'!$A$2:$H$32,3,FALSE)))</f>
        <v/>
      </c>
      <c r="G1314" s="67">
        <f>IF($B1314="",0,IF(LEFT($B1314,1)="━",0,$C1314*VLOOKUP($B1314,'4. CÀI ĐẶT'!$A$2:$H$32,4,FALSE)))</f>
        <v/>
      </c>
      <c r="H1314" s="67">
        <f>IF($B1314="",0,IF(LEFT($B1314,1)="━",0,$C1314*VLOOKUP($B1314,'4. CÀI ĐẶT'!$A$2:$H$32,5,FALSE)))</f>
        <v/>
      </c>
      <c r="I1314">
        <f>IF($B1314="","",IF(LEFT($B1314,1)="━","",VLOOKUP($B1314,'4. CÀI ĐẶT'!$A$2:$H$32,6,FALSE)))</f>
        <v/>
      </c>
      <c r="J1314" s="13">
        <f>IF($A1314="","",EOMONTH($A1314,0))</f>
        <v/>
      </c>
      <c r="K1314" s="67">
        <f>IF($B1314="",0,IF(LEFT($B1314,1)="━",0,$C1314*VLOOKUP($B1314,'4. CÀI ĐẶT'!$A$2:$H$32,7,FALSE)))</f>
        <v/>
      </c>
    </row>
    <row r="1315">
      <c r="A1315" s="8" t="n"/>
      <c r="B1315" s="9" t="n"/>
      <c r="C1315" s="65" t="n"/>
      <c r="D1315" s="9" t="n"/>
      <c r="E1315" s="66">
        <f>IF($B1315="","",IF(LEFT($B1315,1)="━","⚠️ Chọn hạng mục cụ thể",$C1315*VLOOKUP($B1315,'4. CÀI ĐẶT'!$A$2:$H$32,2,FALSE)))</f>
        <v/>
      </c>
      <c r="F1315" s="67">
        <f>IF($B1315="",0,IF(LEFT($B1315,1)="━",0,$C1315*VLOOKUP($B1315,'4. CÀI ĐẶT'!$A$2:$H$32,3,FALSE)))</f>
        <v/>
      </c>
      <c r="G1315" s="67">
        <f>IF($B1315="",0,IF(LEFT($B1315,1)="━",0,$C1315*VLOOKUP($B1315,'4. CÀI ĐẶT'!$A$2:$H$32,4,FALSE)))</f>
        <v/>
      </c>
      <c r="H1315" s="67">
        <f>IF($B1315="",0,IF(LEFT($B1315,1)="━",0,$C1315*VLOOKUP($B1315,'4. CÀI ĐẶT'!$A$2:$H$32,5,FALSE)))</f>
        <v/>
      </c>
      <c r="I1315">
        <f>IF($B1315="","",IF(LEFT($B1315,1)="━","",VLOOKUP($B1315,'4. CÀI ĐẶT'!$A$2:$H$32,6,FALSE)))</f>
        <v/>
      </c>
      <c r="J1315" s="13">
        <f>IF($A1315="","",EOMONTH($A1315,0))</f>
        <v/>
      </c>
      <c r="K1315" s="67">
        <f>IF($B1315="",0,IF(LEFT($B1315,1)="━",0,$C1315*VLOOKUP($B1315,'4. CÀI ĐẶT'!$A$2:$H$32,7,FALSE)))</f>
        <v/>
      </c>
    </row>
    <row r="1316">
      <c r="A1316" s="8" t="n"/>
      <c r="B1316" s="9" t="n"/>
      <c r="C1316" s="65" t="n"/>
      <c r="D1316" s="9" t="n"/>
      <c r="E1316" s="66">
        <f>IF($B1316="","",IF(LEFT($B1316,1)="━","⚠️ Chọn hạng mục cụ thể",$C1316*VLOOKUP($B1316,'4. CÀI ĐẶT'!$A$2:$H$32,2,FALSE)))</f>
        <v/>
      </c>
      <c r="F1316" s="67">
        <f>IF($B1316="",0,IF(LEFT($B1316,1)="━",0,$C1316*VLOOKUP($B1316,'4. CÀI ĐẶT'!$A$2:$H$32,3,FALSE)))</f>
        <v/>
      </c>
      <c r="G1316" s="67">
        <f>IF($B1316="",0,IF(LEFT($B1316,1)="━",0,$C1316*VLOOKUP($B1316,'4. CÀI ĐẶT'!$A$2:$H$32,4,FALSE)))</f>
        <v/>
      </c>
      <c r="H1316" s="67">
        <f>IF($B1316="",0,IF(LEFT($B1316,1)="━",0,$C1316*VLOOKUP($B1316,'4. CÀI ĐẶT'!$A$2:$H$32,5,FALSE)))</f>
        <v/>
      </c>
      <c r="I1316">
        <f>IF($B1316="","",IF(LEFT($B1316,1)="━","",VLOOKUP($B1316,'4. CÀI ĐẶT'!$A$2:$H$32,6,FALSE)))</f>
        <v/>
      </c>
      <c r="J1316" s="13">
        <f>IF($A1316="","",EOMONTH($A1316,0))</f>
        <v/>
      </c>
      <c r="K1316" s="67">
        <f>IF($B1316="",0,IF(LEFT($B1316,1)="━",0,$C1316*VLOOKUP($B1316,'4. CÀI ĐẶT'!$A$2:$H$32,7,FALSE)))</f>
        <v/>
      </c>
    </row>
    <row r="1317">
      <c r="A1317" s="8" t="n"/>
      <c r="B1317" s="9" t="n"/>
      <c r="C1317" s="65" t="n"/>
      <c r="D1317" s="9" t="n"/>
      <c r="E1317" s="66">
        <f>IF($B1317="","",IF(LEFT($B1317,1)="━","⚠️ Chọn hạng mục cụ thể",$C1317*VLOOKUP($B1317,'4. CÀI ĐẶT'!$A$2:$H$32,2,FALSE)))</f>
        <v/>
      </c>
      <c r="F1317" s="67">
        <f>IF($B1317="",0,IF(LEFT($B1317,1)="━",0,$C1317*VLOOKUP($B1317,'4. CÀI ĐẶT'!$A$2:$H$32,3,FALSE)))</f>
        <v/>
      </c>
      <c r="G1317" s="67">
        <f>IF($B1317="",0,IF(LEFT($B1317,1)="━",0,$C1317*VLOOKUP($B1317,'4. CÀI ĐẶT'!$A$2:$H$32,4,FALSE)))</f>
        <v/>
      </c>
      <c r="H1317" s="67">
        <f>IF($B1317="",0,IF(LEFT($B1317,1)="━",0,$C1317*VLOOKUP($B1317,'4. CÀI ĐẶT'!$A$2:$H$32,5,FALSE)))</f>
        <v/>
      </c>
      <c r="I1317">
        <f>IF($B1317="","",IF(LEFT($B1317,1)="━","",VLOOKUP($B1317,'4. CÀI ĐẶT'!$A$2:$H$32,6,FALSE)))</f>
        <v/>
      </c>
      <c r="J1317" s="13">
        <f>IF($A1317="","",EOMONTH($A1317,0))</f>
        <v/>
      </c>
      <c r="K1317" s="67">
        <f>IF($B1317="",0,IF(LEFT($B1317,1)="━",0,$C1317*VLOOKUP($B1317,'4. CÀI ĐẶT'!$A$2:$H$32,7,FALSE)))</f>
        <v/>
      </c>
    </row>
    <row r="1318">
      <c r="A1318" s="8" t="n"/>
      <c r="B1318" s="9" t="n"/>
      <c r="C1318" s="65" t="n"/>
      <c r="D1318" s="9" t="n"/>
      <c r="E1318" s="66">
        <f>IF($B1318="","",IF(LEFT($B1318,1)="━","⚠️ Chọn hạng mục cụ thể",$C1318*VLOOKUP($B1318,'4. CÀI ĐẶT'!$A$2:$H$32,2,FALSE)))</f>
        <v/>
      </c>
      <c r="F1318" s="67">
        <f>IF($B1318="",0,IF(LEFT($B1318,1)="━",0,$C1318*VLOOKUP($B1318,'4. CÀI ĐẶT'!$A$2:$H$32,3,FALSE)))</f>
        <v/>
      </c>
      <c r="G1318" s="67">
        <f>IF($B1318="",0,IF(LEFT($B1318,1)="━",0,$C1318*VLOOKUP($B1318,'4. CÀI ĐẶT'!$A$2:$H$32,4,FALSE)))</f>
        <v/>
      </c>
      <c r="H1318" s="67">
        <f>IF($B1318="",0,IF(LEFT($B1318,1)="━",0,$C1318*VLOOKUP($B1318,'4. CÀI ĐẶT'!$A$2:$H$32,5,FALSE)))</f>
        <v/>
      </c>
      <c r="I1318">
        <f>IF($B1318="","",IF(LEFT($B1318,1)="━","",VLOOKUP($B1318,'4. CÀI ĐẶT'!$A$2:$H$32,6,FALSE)))</f>
        <v/>
      </c>
      <c r="J1318" s="13">
        <f>IF($A1318="","",EOMONTH($A1318,0))</f>
        <v/>
      </c>
      <c r="K1318" s="67">
        <f>IF($B1318="",0,IF(LEFT($B1318,1)="━",0,$C1318*VLOOKUP($B1318,'4. CÀI ĐẶT'!$A$2:$H$32,7,FALSE)))</f>
        <v/>
      </c>
    </row>
    <row r="1319">
      <c r="A1319" s="8" t="n"/>
      <c r="B1319" s="9" t="n"/>
      <c r="C1319" s="65" t="n"/>
      <c r="D1319" s="9" t="n"/>
      <c r="E1319" s="66">
        <f>IF($B1319="","",IF(LEFT($B1319,1)="━","⚠️ Chọn hạng mục cụ thể",$C1319*VLOOKUP($B1319,'4. CÀI ĐẶT'!$A$2:$H$32,2,FALSE)))</f>
        <v/>
      </c>
      <c r="F1319" s="67">
        <f>IF($B1319="",0,IF(LEFT($B1319,1)="━",0,$C1319*VLOOKUP($B1319,'4. CÀI ĐẶT'!$A$2:$H$32,3,FALSE)))</f>
        <v/>
      </c>
      <c r="G1319" s="67">
        <f>IF($B1319="",0,IF(LEFT($B1319,1)="━",0,$C1319*VLOOKUP($B1319,'4. CÀI ĐẶT'!$A$2:$H$32,4,FALSE)))</f>
        <v/>
      </c>
      <c r="H1319" s="67">
        <f>IF($B1319="",0,IF(LEFT($B1319,1)="━",0,$C1319*VLOOKUP($B1319,'4. CÀI ĐẶT'!$A$2:$H$32,5,FALSE)))</f>
        <v/>
      </c>
      <c r="I1319">
        <f>IF($B1319="","",IF(LEFT($B1319,1)="━","",VLOOKUP($B1319,'4. CÀI ĐẶT'!$A$2:$H$32,6,FALSE)))</f>
        <v/>
      </c>
      <c r="J1319" s="13">
        <f>IF($A1319="","",EOMONTH($A1319,0))</f>
        <v/>
      </c>
      <c r="K1319" s="67">
        <f>IF($B1319="",0,IF(LEFT($B1319,1)="━",0,$C1319*VLOOKUP($B1319,'4. CÀI ĐẶT'!$A$2:$H$32,7,FALSE)))</f>
        <v/>
      </c>
    </row>
    <row r="1320">
      <c r="A1320" s="8" t="n"/>
      <c r="B1320" s="9" t="n"/>
      <c r="C1320" s="65" t="n"/>
      <c r="D1320" s="9" t="n"/>
      <c r="E1320" s="66">
        <f>IF($B1320="","",IF(LEFT($B1320,1)="━","⚠️ Chọn hạng mục cụ thể",$C1320*VLOOKUP($B1320,'4. CÀI ĐẶT'!$A$2:$H$32,2,FALSE)))</f>
        <v/>
      </c>
      <c r="F1320" s="67">
        <f>IF($B1320="",0,IF(LEFT($B1320,1)="━",0,$C1320*VLOOKUP($B1320,'4. CÀI ĐẶT'!$A$2:$H$32,3,FALSE)))</f>
        <v/>
      </c>
      <c r="G1320" s="67">
        <f>IF($B1320="",0,IF(LEFT($B1320,1)="━",0,$C1320*VLOOKUP($B1320,'4. CÀI ĐẶT'!$A$2:$H$32,4,FALSE)))</f>
        <v/>
      </c>
      <c r="H1320" s="67">
        <f>IF($B1320="",0,IF(LEFT($B1320,1)="━",0,$C1320*VLOOKUP($B1320,'4. CÀI ĐẶT'!$A$2:$H$32,5,FALSE)))</f>
        <v/>
      </c>
      <c r="I1320">
        <f>IF($B1320="","",IF(LEFT($B1320,1)="━","",VLOOKUP($B1320,'4. CÀI ĐẶT'!$A$2:$H$32,6,FALSE)))</f>
        <v/>
      </c>
      <c r="J1320" s="13">
        <f>IF($A1320="","",EOMONTH($A1320,0))</f>
        <v/>
      </c>
      <c r="K1320" s="67">
        <f>IF($B1320="",0,IF(LEFT($B1320,1)="━",0,$C1320*VLOOKUP($B1320,'4. CÀI ĐẶT'!$A$2:$H$32,7,FALSE)))</f>
        <v/>
      </c>
    </row>
    <row r="1321">
      <c r="A1321" s="8" t="n"/>
      <c r="B1321" s="9" t="n"/>
      <c r="C1321" s="65" t="n"/>
      <c r="D1321" s="9" t="n"/>
      <c r="E1321" s="66">
        <f>IF($B1321="","",IF(LEFT($B1321,1)="━","⚠️ Chọn hạng mục cụ thể",$C1321*VLOOKUP($B1321,'4. CÀI ĐẶT'!$A$2:$H$32,2,FALSE)))</f>
        <v/>
      </c>
      <c r="F1321" s="67">
        <f>IF($B1321="",0,IF(LEFT($B1321,1)="━",0,$C1321*VLOOKUP($B1321,'4. CÀI ĐẶT'!$A$2:$H$32,3,FALSE)))</f>
        <v/>
      </c>
      <c r="G1321" s="67">
        <f>IF($B1321="",0,IF(LEFT($B1321,1)="━",0,$C1321*VLOOKUP($B1321,'4. CÀI ĐẶT'!$A$2:$H$32,4,FALSE)))</f>
        <v/>
      </c>
      <c r="H1321" s="67">
        <f>IF($B1321="",0,IF(LEFT($B1321,1)="━",0,$C1321*VLOOKUP($B1321,'4. CÀI ĐẶT'!$A$2:$H$32,5,FALSE)))</f>
        <v/>
      </c>
      <c r="I1321">
        <f>IF($B1321="","",IF(LEFT($B1321,1)="━","",VLOOKUP($B1321,'4. CÀI ĐẶT'!$A$2:$H$32,6,FALSE)))</f>
        <v/>
      </c>
      <c r="J1321" s="13">
        <f>IF($A1321="","",EOMONTH($A1321,0))</f>
        <v/>
      </c>
      <c r="K1321" s="67">
        <f>IF($B1321="",0,IF(LEFT($B1321,1)="━",0,$C1321*VLOOKUP($B1321,'4. CÀI ĐẶT'!$A$2:$H$32,7,FALSE)))</f>
        <v/>
      </c>
    </row>
    <row r="1322">
      <c r="A1322" s="8" t="n"/>
      <c r="B1322" s="9" t="n"/>
      <c r="C1322" s="65" t="n"/>
      <c r="D1322" s="9" t="n"/>
      <c r="E1322" s="66">
        <f>IF($B1322="","",IF(LEFT($B1322,1)="━","⚠️ Chọn hạng mục cụ thể",$C1322*VLOOKUP($B1322,'4. CÀI ĐẶT'!$A$2:$H$32,2,FALSE)))</f>
        <v/>
      </c>
      <c r="F1322" s="67">
        <f>IF($B1322="",0,IF(LEFT($B1322,1)="━",0,$C1322*VLOOKUP($B1322,'4. CÀI ĐẶT'!$A$2:$H$32,3,FALSE)))</f>
        <v/>
      </c>
      <c r="G1322" s="67">
        <f>IF($B1322="",0,IF(LEFT($B1322,1)="━",0,$C1322*VLOOKUP($B1322,'4. CÀI ĐẶT'!$A$2:$H$32,4,FALSE)))</f>
        <v/>
      </c>
      <c r="H1322" s="67">
        <f>IF($B1322="",0,IF(LEFT($B1322,1)="━",0,$C1322*VLOOKUP($B1322,'4. CÀI ĐẶT'!$A$2:$H$32,5,FALSE)))</f>
        <v/>
      </c>
      <c r="I1322">
        <f>IF($B1322="","",IF(LEFT($B1322,1)="━","",VLOOKUP($B1322,'4. CÀI ĐẶT'!$A$2:$H$32,6,FALSE)))</f>
        <v/>
      </c>
      <c r="J1322" s="13">
        <f>IF($A1322="","",EOMONTH($A1322,0))</f>
        <v/>
      </c>
      <c r="K1322" s="67">
        <f>IF($B1322="",0,IF(LEFT($B1322,1)="━",0,$C1322*VLOOKUP($B1322,'4. CÀI ĐẶT'!$A$2:$H$32,7,FALSE)))</f>
        <v/>
      </c>
    </row>
    <row r="1323">
      <c r="A1323" s="8" t="n"/>
      <c r="B1323" s="9" t="n"/>
      <c r="C1323" s="65" t="n"/>
      <c r="D1323" s="9" t="n"/>
      <c r="E1323" s="66">
        <f>IF($B1323="","",IF(LEFT($B1323,1)="━","⚠️ Chọn hạng mục cụ thể",$C1323*VLOOKUP($B1323,'4. CÀI ĐẶT'!$A$2:$H$32,2,FALSE)))</f>
        <v/>
      </c>
      <c r="F1323" s="67">
        <f>IF($B1323="",0,IF(LEFT($B1323,1)="━",0,$C1323*VLOOKUP($B1323,'4. CÀI ĐẶT'!$A$2:$H$32,3,FALSE)))</f>
        <v/>
      </c>
      <c r="G1323" s="67">
        <f>IF($B1323="",0,IF(LEFT($B1323,1)="━",0,$C1323*VLOOKUP($B1323,'4. CÀI ĐẶT'!$A$2:$H$32,4,FALSE)))</f>
        <v/>
      </c>
      <c r="H1323" s="67">
        <f>IF($B1323="",0,IF(LEFT($B1323,1)="━",0,$C1323*VLOOKUP($B1323,'4. CÀI ĐẶT'!$A$2:$H$32,5,FALSE)))</f>
        <v/>
      </c>
      <c r="I1323">
        <f>IF($B1323="","",IF(LEFT($B1323,1)="━","",VLOOKUP($B1323,'4. CÀI ĐẶT'!$A$2:$H$32,6,FALSE)))</f>
        <v/>
      </c>
      <c r="J1323" s="13">
        <f>IF($A1323="","",EOMONTH($A1323,0))</f>
        <v/>
      </c>
      <c r="K1323" s="67">
        <f>IF($B1323="",0,IF(LEFT($B1323,1)="━",0,$C1323*VLOOKUP($B1323,'4. CÀI ĐẶT'!$A$2:$H$32,7,FALSE)))</f>
        <v/>
      </c>
    </row>
    <row r="1324">
      <c r="A1324" s="8" t="n"/>
      <c r="B1324" s="9" t="n"/>
      <c r="C1324" s="65" t="n"/>
      <c r="D1324" s="9" t="n"/>
      <c r="E1324" s="66">
        <f>IF($B1324="","",IF(LEFT($B1324,1)="━","⚠️ Chọn hạng mục cụ thể",$C1324*VLOOKUP($B1324,'4. CÀI ĐẶT'!$A$2:$H$32,2,FALSE)))</f>
        <v/>
      </c>
      <c r="F1324" s="67">
        <f>IF($B1324="",0,IF(LEFT($B1324,1)="━",0,$C1324*VLOOKUP($B1324,'4. CÀI ĐẶT'!$A$2:$H$32,3,FALSE)))</f>
        <v/>
      </c>
      <c r="G1324" s="67">
        <f>IF($B1324="",0,IF(LEFT($B1324,1)="━",0,$C1324*VLOOKUP($B1324,'4. CÀI ĐẶT'!$A$2:$H$32,4,FALSE)))</f>
        <v/>
      </c>
      <c r="H1324" s="67">
        <f>IF($B1324="",0,IF(LEFT($B1324,1)="━",0,$C1324*VLOOKUP($B1324,'4. CÀI ĐẶT'!$A$2:$H$32,5,FALSE)))</f>
        <v/>
      </c>
      <c r="I1324">
        <f>IF($B1324="","",IF(LEFT($B1324,1)="━","",VLOOKUP($B1324,'4. CÀI ĐẶT'!$A$2:$H$32,6,FALSE)))</f>
        <v/>
      </c>
      <c r="J1324" s="13">
        <f>IF($A1324="","",EOMONTH($A1324,0))</f>
        <v/>
      </c>
      <c r="K1324" s="67">
        <f>IF($B1324="",0,IF(LEFT($B1324,1)="━",0,$C1324*VLOOKUP($B1324,'4. CÀI ĐẶT'!$A$2:$H$32,7,FALSE)))</f>
        <v/>
      </c>
    </row>
    <row r="1325">
      <c r="A1325" s="8" t="n"/>
      <c r="B1325" s="9" t="n"/>
      <c r="C1325" s="65" t="n"/>
      <c r="D1325" s="9" t="n"/>
      <c r="E1325" s="66">
        <f>IF($B1325="","",IF(LEFT($B1325,1)="━","⚠️ Chọn hạng mục cụ thể",$C1325*VLOOKUP($B1325,'4. CÀI ĐẶT'!$A$2:$H$32,2,FALSE)))</f>
        <v/>
      </c>
      <c r="F1325" s="67">
        <f>IF($B1325="",0,IF(LEFT($B1325,1)="━",0,$C1325*VLOOKUP($B1325,'4. CÀI ĐẶT'!$A$2:$H$32,3,FALSE)))</f>
        <v/>
      </c>
      <c r="G1325" s="67">
        <f>IF($B1325="",0,IF(LEFT($B1325,1)="━",0,$C1325*VLOOKUP($B1325,'4. CÀI ĐẶT'!$A$2:$H$32,4,FALSE)))</f>
        <v/>
      </c>
      <c r="H1325" s="67">
        <f>IF($B1325="",0,IF(LEFT($B1325,1)="━",0,$C1325*VLOOKUP($B1325,'4. CÀI ĐẶT'!$A$2:$H$32,5,FALSE)))</f>
        <v/>
      </c>
      <c r="I1325">
        <f>IF($B1325="","",IF(LEFT($B1325,1)="━","",VLOOKUP($B1325,'4. CÀI ĐẶT'!$A$2:$H$32,6,FALSE)))</f>
        <v/>
      </c>
      <c r="J1325" s="13">
        <f>IF($A1325="","",EOMONTH($A1325,0))</f>
        <v/>
      </c>
      <c r="K1325" s="67">
        <f>IF($B1325="",0,IF(LEFT($B1325,1)="━",0,$C1325*VLOOKUP($B1325,'4. CÀI ĐẶT'!$A$2:$H$32,7,FALSE)))</f>
        <v/>
      </c>
    </row>
    <row r="1326">
      <c r="A1326" s="8" t="n"/>
      <c r="B1326" s="9" t="n"/>
      <c r="C1326" s="65" t="n"/>
      <c r="D1326" s="9" t="n"/>
      <c r="E1326" s="66">
        <f>IF($B1326="","",IF(LEFT($B1326,1)="━","⚠️ Chọn hạng mục cụ thể",$C1326*VLOOKUP($B1326,'4. CÀI ĐẶT'!$A$2:$H$32,2,FALSE)))</f>
        <v/>
      </c>
      <c r="F1326" s="67">
        <f>IF($B1326="",0,IF(LEFT($B1326,1)="━",0,$C1326*VLOOKUP($B1326,'4. CÀI ĐẶT'!$A$2:$H$32,3,FALSE)))</f>
        <v/>
      </c>
      <c r="G1326" s="67">
        <f>IF($B1326="",0,IF(LEFT($B1326,1)="━",0,$C1326*VLOOKUP($B1326,'4. CÀI ĐẶT'!$A$2:$H$32,4,FALSE)))</f>
        <v/>
      </c>
      <c r="H1326" s="67">
        <f>IF($B1326="",0,IF(LEFT($B1326,1)="━",0,$C1326*VLOOKUP($B1326,'4. CÀI ĐẶT'!$A$2:$H$32,5,FALSE)))</f>
        <v/>
      </c>
      <c r="I1326">
        <f>IF($B1326="","",IF(LEFT($B1326,1)="━","",VLOOKUP($B1326,'4. CÀI ĐẶT'!$A$2:$H$32,6,FALSE)))</f>
        <v/>
      </c>
      <c r="J1326" s="13">
        <f>IF($A1326="","",EOMONTH($A1326,0))</f>
        <v/>
      </c>
      <c r="K1326" s="67">
        <f>IF($B1326="",0,IF(LEFT($B1326,1)="━",0,$C1326*VLOOKUP($B1326,'4. CÀI ĐẶT'!$A$2:$H$32,7,FALSE)))</f>
        <v/>
      </c>
    </row>
    <row r="1327">
      <c r="A1327" s="8" t="n"/>
      <c r="B1327" s="9" t="n"/>
      <c r="C1327" s="65" t="n"/>
      <c r="D1327" s="9" t="n"/>
      <c r="E1327" s="66">
        <f>IF($B1327="","",IF(LEFT($B1327,1)="━","⚠️ Chọn hạng mục cụ thể",$C1327*VLOOKUP($B1327,'4. CÀI ĐẶT'!$A$2:$H$32,2,FALSE)))</f>
        <v/>
      </c>
      <c r="F1327" s="67">
        <f>IF($B1327="",0,IF(LEFT($B1327,1)="━",0,$C1327*VLOOKUP($B1327,'4. CÀI ĐẶT'!$A$2:$H$32,3,FALSE)))</f>
        <v/>
      </c>
      <c r="G1327" s="67">
        <f>IF($B1327="",0,IF(LEFT($B1327,1)="━",0,$C1327*VLOOKUP($B1327,'4. CÀI ĐẶT'!$A$2:$H$32,4,FALSE)))</f>
        <v/>
      </c>
      <c r="H1327" s="67">
        <f>IF($B1327="",0,IF(LEFT($B1327,1)="━",0,$C1327*VLOOKUP($B1327,'4. CÀI ĐẶT'!$A$2:$H$32,5,FALSE)))</f>
        <v/>
      </c>
      <c r="I1327">
        <f>IF($B1327="","",IF(LEFT($B1327,1)="━","",VLOOKUP($B1327,'4. CÀI ĐẶT'!$A$2:$H$32,6,FALSE)))</f>
        <v/>
      </c>
      <c r="J1327" s="13">
        <f>IF($A1327="","",EOMONTH($A1327,0))</f>
        <v/>
      </c>
      <c r="K1327" s="67">
        <f>IF($B1327="",0,IF(LEFT($B1327,1)="━",0,$C1327*VLOOKUP($B1327,'4. CÀI ĐẶT'!$A$2:$H$32,7,FALSE)))</f>
        <v/>
      </c>
    </row>
    <row r="1328">
      <c r="A1328" s="8" t="n"/>
      <c r="B1328" s="9" t="n"/>
      <c r="C1328" s="65" t="n"/>
      <c r="D1328" s="9" t="n"/>
      <c r="E1328" s="66">
        <f>IF($B1328="","",IF(LEFT($B1328,1)="━","⚠️ Chọn hạng mục cụ thể",$C1328*VLOOKUP($B1328,'4. CÀI ĐẶT'!$A$2:$H$32,2,FALSE)))</f>
        <v/>
      </c>
      <c r="F1328" s="67">
        <f>IF($B1328="",0,IF(LEFT($B1328,1)="━",0,$C1328*VLOOKUP($B1328,'4. CÀI ĐẶT'!$A$2:$H$32,3,FALSE)))</f>
        <v/>
      </c>
      <c r="G1328" s="67">
        <f>IF($B1328="",0,IF(LEFT($B1328,1)="━",0,$C1328*VLOOKUP($B1328,'4. CÀI ĐẶT'!$A$2:$H$32,4,FALSE)))</f>
        <v/>
      </c>
      <c r="H1328" s="67">
        <f>IF($B1328="",0,IF(LEFT($B1328,1)="━",0,$C1328*VLOOKUP($B1328,'4. CÀI ĐẶT'!$A$2:$H$32,5,FALSE)))</f>
        <v/>
      </c>
      <c r="I1328">
        <f>IF($B1328="","",IF(LEFT($B1328,1)="━","",VLOOKUP($B1328,'4. CÀI ĐẶT'!$A$2:$H$32,6,FALSE)))</f>
        <v/>
      </c>
      <c r="J1328" s="13">
        <f>IF($A1328="","",EOMONTH($A1328,0))</f>
        <v/>
      </c>
      <c r="K1328" s="67">
        <f>IF($B1328="",0,IF(LEFT($B1328,1)="━",0,$C1328*VLOOKUP($B1328,'4. CÀI ĐẶT'!$A$2:$H$32,7,FALSE)))</f>
        <v/>
      </c>
    </row>
    <row r="1329">
      <c r="A1329" s="8" t="n"/>
      <c r="B1329" s="9" t="n"/>
      <c r="C1329" s="65" t="n"/>
      <c r="D1329" s="9" t="n"/>
      <c r="E1329" s="66">
        <f>IF($B1329="","",IF(LEFT($B1329,1)="━","⚠️ Chọn hạng mục cụ thể",$C1329*VLOOKUP($B1329,'4. CÀI ĐẶT'!$A$2:$H$32,2,FALSE)))</f>
        <v/>
      </c>
      <c r="F1329" s="67">
        <f>IF($B1329="",0,IF(LEFT($B1329,1)="━",0,$C1329*VLOOKUP($B1329,'4. CÀI ĐẶT'!$A$2:$H$32,3,FALSE)))</f>
        <v/>
      </c>
      <c r="G1329" s="67">
        <f>IF($B1329="",0,IF(LEFT($B1329,1)="━",0,$C1329*VLOOKUP($B1329,'4. CÀI ĐẶT'!$A$2:$H$32,4,FALSE)))</f>
        <v/>
      </c>
      <c r="H1329" s="67">
        <f>IF($B1329="",0,IF(LEFT($B1329,1)="━",0,$C1329*VLOOKUP($B1329,'4. CÀI ĐẶT'!$A$2:$H$32,5,FALSE)))</f>
        <v/>
      </c>
      <c r="I1329">
        <f>IF($B1329="","",IF(LEFT($B1329,1)="━","",VLOOKUP($B1329,'4. CÀI ĐẶT'!$A$2:$H$32,6,FALSE)))</f>
        <v/>
      </c>
      <c r="J1329" s="13">
        <f>IF($A1329="","",EOMONTH($A1329,0))</f>
        <v/>
      </c>
      <c r="K1329" s="67">
        <f>IF($B1329="",0,IF(LEFT($B1329,1)="━",0,$C1329*VLOOKUP($B1329,'4. CÀI ĐẶT'!$A$2:$H$32,7,FALSE)))</f>
        <v/>
      </c>
    </row>
    <row r="1330">
      <c r="A1330" s="8" t="n"/>
      <c r="B1330" s="9" t="n"/>
      <c r="C1330" s="65" t="n"/>
      <c r="D1330" s="9" t="n"/>
      <c r="E1330" s="66">
        <f>IF($B1330="","",IF(LEFT($B1330,1)="━","⚠️ Chọn hạng mục cụ thể",$C1330*VLOOKUP($B1330,'4. CÀI ĐẶT'!$A$2:$H$32,2,FALSE)))</f>
        <v/>
      </c>
      <c r="F1330" s="67">
        <f>IF($B1330="",0,IF(LEFT($B1330,1)="━",0,$C1330*VLOOKUP($B1330,'4. CÀI ĐẶT'!$A$2:$H$32,3,FALSE)))</f>
        <v/>
      </c>
      <c r="G1330" s="67">
        <f>IF($B1330="",0,IF(LEFT($B1330,1)="━",0,$C1330*VLOOKUP($B1330,'4. CÀI ĐẶT'!$A$2:$H$32,4,FALSE)))</f>
        <v/>
      </c>
      <c r="H1330" s="67">
        <f>IF($B1330="",0,IF(LEFT($B1330,1)="━",0,$C1330*VLOOKUP($B1330,'4. CÀI ĐẶT'!$A$2:$H$32,5,FALSE)))</f>
        <v/>
      </c>
      <c r="I1330">
        <f>IF($B1330="","",IF(LEFT($B1330,1)="━","",VLOOKUP($B1330,'4. CÀI ĐẶT'!$A$2:$H$32,6,FALSE)))</f>
        <v/>
      </c>
      <c r="J1330" s="13">
        <f>IF($A1330="","",EOMONTH($A1330,0))</f>
        <v/>
      </c>
      <c r="K1330" s="67">
        <f>IF($B1330="",0,IF(LEFT($B1330,1)="━",0,$C1330*VLOOKUP($B1330,'4. CÀI ĐẶT'!$A$2:$H$32,7,FALSE)))</f>
        <v/>
      </c>
    </row>
    <row r="1331">
      <c r="A1331" s="8" t="n"/>
      <c r="B1331" s="9" t="n"/>
      <c r="C1331" s="65" t="n"/>
      <c r="D1331" s="9" t="n"/>
      <c r="E1331" s="66">
        <f>IF($B1331="","",IF(LEFT($B1331,1)="━","⚠️ Chọn hạng mục cụ thể",$C1331*VLOOKUP($B1331,'4. CÀI ĐẶT'!$A$2:$H$32,2,FALSE)))</f>
        <v/>
      </c>
      <c r="F1331" s="67">
        <f>IF($B1331="",0,IF(LEFT($B1331,1)="━",0,$C1331*VLOOKUP($B1331,'4. CÀI ĐẶT'!$A$2:$H$32,3,FALSE)))</f>
        <v/>
      </c>
      <c r="G1331" s="67">
        <f>IF($B1331="",0,IF(LEFT($B1331,1)="━",0,$C1331*VLOOKUP($B1331,'4. CÀI ĐẶT'!$A$2:$H$32,4,FALSE)))</f>
        <v/>
      </c>
      <c r="H1331" s="67">
        <f>IF($B1331="",0,IF(LEFT($B1331,1)="━",0,$C1331*VLOOKUP($B1331,'4. CÀI ĐẶT'!$A$2:$H$32,5,FALSE)))</f>
        <v/>
      </c>
      <c r="I1331">
        <f>IF($B1331="","",IF(LEFT($B1331,1)="━","",VLOOKUP($B1331,'4. CÀI ĐẶT'!$A$2:$H$32,6,FALSE)))</f>
        <v/>
      </c>
      <c r="J1331" s="13">
        <f>IF($A1331="","",EOMONTH($A1331,0))</f>
        <v/>
      </c>
      <c r="K1331" s="67">
        <f>IF($B1331="",0,IF(LEFT($B1331,1)="━",0,$C1331*VLOOKUP($B1331,'4. CÀI ĐẶT'!$A$2:$H$32,7,FALSE)))</f>
        <v/>
      </c>
    </row>
    <row r="1332">
      <c r="A1332" s="8" t="n"/>
      <c r="B1332" s="9" t="n"/>
      <c r="C1332" s="65" t="n"/>
      <c r="D1332" s="9" t="n"/>
      <c r="E1332" s="66">
        <f>IF($B1332="","",IF(LEFT($B1332,1)="━","⚠️ Chọn hạng mục cụ thể",$C1332*VLOOKUP($B1332,'4. CÀI ĐẶT'!$A$2:$H$32,2,FALSE)))</f>
        <v/>
      </c>
      <c r="F1332" s="67">
        <f>IF($B1332="",0,IF(LEFT($B1332,1)="━",0,$C1332*VLOOKUP($B1332,'4. CÀI ĐẶT'!$A$2:$H$32,3,FALSE)))</f>
        <v/>
      </c>
      <c r="G1332" s="67">
        <f>IF($B1332="",0,IF(LEFT($B1332,1)="━",0,$C1332*VLOOKUP($B1332,'4. CÀI ĐẶT'!$A$2:$H$32,4,FALSE)))</f>
        <v/>
      </c>
      <c r="H1332" s="67">
        <f>IF($B1332="",0,IF(LEFT($B1332,1)="━",0,$C1332*VLOOKUP($B1332,'4. CÀI ĐẶT'!$A$2:$H$32,5,FALSE)))</f>
        <v/>
      </c>
      <c r="I1332">
        <f>IF($B1332="","",IF(LEFT($B1332,1)="━","",VLOOKUP($B1332,'4. CÀI ĐẶT'!$A$2:$H$32,6,FALSE)))</f>
        <v/>
      </c>
      <c r="J1332" s="13">
        <f>IF($A1332="","",EOMONTH($A1332,0))</f>
        <v/>
      </c>
      <c r="K1332" s="67">
        <f>IF($B1332="",0,IF(LEFT($B1332,1)="━",0,$C1332*VLOOKUP($B1332,'4. CÀI ĐẶT'!$A$2:$H$32,7,FALSE)))</f>
        <v/>
      </c>
    </row>
    <row r="1333">
      <c r="A1333" s="8" t="n"/>
      <c r="B1333" s="9" t="n"/>
      <c r="C1333" s="65" t="n"/>
      <c r="D1333" s="9" t="n"/>
      <c r="E1333" s="66">
        <f>IF($B1333="","",IF(LEFT($B1333,1)="━","⚠️ Chọn hạng mục cụ thể",$C1333*VLOOKUP($B1333,'4. CÀI ĐẶT'!$A$2:$H$32,2,FALSE)))</f>
        <v/>
      </c>
      <c r="F1333" s="67">
        <f>IF($B1333="",0,IF(LEFT($B1333,1)="━",0,$C1333*VLOOKUP($B1333,'4. CÀI ĐẶT'!$A$2:$H$32,3,FALSE)))</f>
        <v/>
      </c>
      <c r="G1333" s="67">
        <f>IF($B1333="",0,IF(LEFT($B1333,1)="━",0,$C1333*VLOOKUP($B1333,'4. CÀI ĐẶT'!$A$2:$H$32,4,FALSE)))</f>
        <v/>
      </c>
      <c r="H1333" s="67">
        <f>IF($B1333="",0,IF(LEFT($B1333,1)="━",0,$C1333*VLOOKUP($B1333,'4. CÀI ĐẶT'!$A$2:$H$32,5,FALSE)))</f>
        <v/>
      </c>
      <c r="I1333">
        <f>IF($B1333="","",IF(LEFT($B1333,1)="━","",VLOOKUP($B1333,'4. CÀI ĐẶT'!$A$2:$H$32,6,FALSE)))</f>
        <v/>
      </c>
      <c r="J1333" s="13">
        <f>IF($A1333="","",EOMONTH($A1333,0))</f>
        <v/>
      </c>
      <c r="K1333" s="67">
        <f>IF($B1333="",0,IF(LEFT($B1333,1)="━",0,$C1333*VLOOKUP($B1333,'4. CÀI ĐẶT'!$A$2:$H$32,7,FALSE)))</f>
        <v/>
      </c>
    </row>
    <row r="1334">
      <c r="A1334" s="8" t="n"/>
      <c r="B1334" s="9" t="n"/>
      <c r="C1334" s="65" t="n"/>
      <c r="D1334" s="9" t="n"/>
      <c r="E1334" s="66">
        <f>IF($B1334="","",IF(LEFT($B1334,1)="━","⚠️ Chọn hạng mục cụ thể",$C1334*VLOOKUP($B1334,'4. CÀI ĐẶT'!$A$2:$H$32,2,FALSE)))</f>
        <v/>
      </c>
      <c r="F1334" s="67">
        <f>IF($B1334="",0,IF(LEFT($B1334,1)="━",0,$C1334*VLOOKUP($B1334,'4. CÀI ĐẶT'!$A$2:$H$32,3,FALSE)))</f>
        <v/>
      </c>
      <c r="G1334" s="67">
        <f>IF($B1334="",0,IF(LEFT($B1334,1)="━",0,$C1334*VLOOKUP($B1334,'4. CÀI ĐẶT'!$A$2:$H$32,4,FALSE)))</f>
        <v/>
      </c>
      <c r="H1334" s="67">
        <f>IF($B1334="",0,IF(LEFT($B1334,1)="━",0,$C1334*VLOOKUP($B1334,'4. CÀI ĐẶT'!$A$2:$H$32,5,FALSE)))</f>
        <v/>
      </c>
      <c r="I1334">
        <f>IF($B1334="","",IF(LEFT($B1334,1)="━","",VLOOKUP($B1334,'4. CÀI ĐẶT'!$A$2:$H$32,6,FALSE)))</f>
        <v/>
      </c>
      <c r="J1334" s="13">
        <f>IF($A1334="","",EOMONTH($A1334,0))</f>
        <v/>
      </c>
      <c r="K1334" s="67">
        <f>IF($B1334="",0,IF(LEFT($B1334,1)="━",0,$C1334*VLOOKUP($B1334,'4. CÀI ĐẶT'!$A$2:$H$32,7,FALSE)))</f>
        <v/>
      </c>
    </row>
    <row r="1335">
      <c r="A1335" s="8" t="n"/>
      <c r="B1335" s="9" t="n"/>
      <c r="C1335" s="65" t="n"/>
      <c r="D1335" s="9" t="n"/>
      <c r="E1335" s="66">
        <f>IF($B1335="","",IF(LEFT($B1335,1)="━","⚠️ Chọn hạng mục cụ thể",$C1335*VLOOKUP($B1335,'4. CÀI ĐẶT'!$A$2:$H$32,2,FALSE)))</f>
        <v/>
      </c>
      <c r="F1335" s="67">
        <f>IF($B1335="",0,IF(LEFT($B1335,1)="━",0,$C1335*VLOOKUP($B1335,'4. CÀI ĐẶT'!$A$2:$H$32,3,FALSE)))</f>
        <v/>
      </c>
      <c r="G1335" s="67">
        <f>IF($B1335="",0,IF(LEFT($B1335,1)="━",0,$C1335*VLOOKUP($B1335,'4. CÀI ĐẶT'!$A$2:$H$32,4,FALSE)))</f>
        <v/>
      </c>
      <c r="H1335" s="67">
        <f>IF($B1335="",0,IF(LEFT($B1335,1)="━",0,$C1335*VLOOKUP($B1335,'4. CÀI ĐẶT'!$A$2:$H$32,5,FALSE)))</f>
        <v/>
      </c>
      <c r="I1335">
        <f>IF($B1335="","",IF(LEFT($B1335,1)="━","",VLOOKUP($B1335,'4. CÀI ĐẶT'!$A$2:$H$32,6,FALSE)))</f>
        <v/>
      </c>
      <c r="J1335" s="13">
        <f>IF($A1335="","",EOMONTH($A1335,0))</f>
        <v/>
      </c>
      <c r="K1335" s="67">
        <f>IF($B1335="",0,IF(LEFT($B1335,1)="━",0,$C1335*VLOOKUP($B1335,'4. CÀI ĐẶT'!$A$2:$H$32,7,FALSE)))</f>
        <v/>
      </c>
    </row>
    <row r="1336">
      <c r="A1336" s="8" t="n"/>
      <c r="B1336" s="9" t="n"/>
      <c r="C1336" s="65" t="n"/>
      <c r="D1336" s="9" t="n"/>
      <c r="E1336" s="66">
        <f>IF($B1336="","",IF(LEFT($B1336,1)="━","⚠️ Chọn hạng mục cụ thể",$C1336*VLOOKUP($B1336,'4. CÀI ĐẶT'!$A$2:$H$32,2,FALSE)))</f>
        <v/>
      </c>
      <c r="F1336" s="67">
        <f>IF($B1336="",0,IF(LEFT($B1336,1)="━",0,$C1336*VLOOKUP($B1336,'4. CÀI ĐẶT'!$A$2:$H$32,3,FALSE)))</f>
        <v/>
      </c>
      <c r="G1336" s="67">
        <f>IF($B1336="",0,IF(LEFT($B1336,1)="━",0,$C1336*VLOOKUP($B1336,'4. CÀI ĐẶT'!$A$2:$H$32,4,FALSE)))</f>
        <v/>
      </c>
      <c r="H1336" s="67">
        <f>IF($B1336="",0,IF(LEFT($B1336,1)="━",0,$C1336*VLOOKUP($B1336,'4. CÀI ĐẶT'!$A$2:$H$32,5,FALSE)))</f>
        <v/>
      </c>
      <c r="I1336">
        <f>IF($B1336="","",IF(LEFT($B1336,1)="━","",VLOOKUP($B1336,'4. CÀI ĐẶT'!$A$2:$H$32,6,FALSE)))</f>
        <v/>
      </c>
      <c r="J1336" s="13">
        <f>IF($A1336="","",EOMONTH($A1336,0))</f>
        <v/>
      </c>
      <c r="K1336" s="67">
        <f>IF($B1336="",0,IF(LEFT($B1336,1)="━",0,$C1336*VLOOKUP($B1336,'4. CÀI ĐẶT'!$A$2:$H$32,7,FALSE)))</f>
        <v/>
      </c>
    </row>
    <row r="1337">
      <c r="A1337" s="8" t="n"/>
      <c r="B1337" s="9" t="n"/>
      <c r="C1337" s="65" t="n"/>
      <c r="D1337" s="9" t="n"/>
      <c r="E1337" s="66">
        <f>IF($B1337="","",IF(LEFT($B1337,1)="━","⚠️ Chọn hạng mục cụ thể",$C1337*VLOOKUP($B1337,'4. CÀI ĐẶT'!$A$2:$H$32,2,FALSE)))</f>
        <v/>
      </c>
      <c r="F1337" s="67">
        <f>IF($B1337="",0,IF(LEFT($B1337,1)="━",0,$C1337*VLOOKUP($B1337,'4. CÀI ĐẶT'!$A$2:$H$32,3,FALSE)))</f>
        <v/>
      </c>
      <c r="G1337" s="67">
        <f>IF($B1337="",0,IF(LEFT($B1337,1)="━",0,$C1337*VLOOKUP($B1337,'4. CÀI ĐẶT'!$A$2:$H$32,4,FALSE)))</f>
        <v/>
      </c>
      <c r="H1337" s="67">
        <f>IF($B1337="",0,IF(LEFT($B1337,1)="━",0,$C1337*VLOOKUP($B1337,'4. CÀI ĐẶT'!$A$2:$H$32,5,FALSE)))</f>
        <v/>
      </c>
      <c r="I1337">
        <f>IF($B1337="","",IF(LEFT($B1337,1)="━","",VLOOKUP($B1337,'4. CÀI ĐẶT'!$A$2:$H$32,6,FALSE)))</f>
        <v/>
      </c>
      <c r="J1337" s="13">
        <f>IF($A1337="","",EOMONTH($A1337,0))</f>
        <v/>
      </c>
      <c r="K1337" s="67">
        <f>IF($B1337="",0,IF(LEFT($B1337,1)="━",0,$C1337*VLOOKUP($B1337,'4. CÀI ĐẶT'!$A$2:$H$32,7,FALSE)))</f>
        <v/>
      </c>
    </row>
    <row r="1338">
      <c r="A1338" s="8" t="n"/>
      <c r="B1338" s="9" t="n"/>
      <c r="C1338" s="65" t="n"/>
      <c r="D1338" s="9" t="n"/>
      <c r="E1338" s="66">
        <f>IF($B1338="","",IF(LEFT($B1338,1)="━","⚠️ Chọn hạng mục cụ thể",$C1338*VLOOKUP($B1338,'4. CÀI ĐẶT'!$A$2:$H$32,2,FALSE)))</f>
        <v/>
      </c>
      <c r="F1338" s="67">
        <f>IF($B1338="",0,IF(LEFT($B1338,1)="━",0,$C1338*VLOOKUP($B1338,'4. CÀI ĐẶT'!$A$2:$H$32,3,FALSE)))</f>
        <v/>
      </c>
      <c r="G1338" s="67">
        <f>IF($B1338="",0,IF(LEFT($B1338,1)="━",0,$C1338*VLOOKUP($B1338,'4. CÀI ĐẶT'!$A$2:$H$32,4,FALSE)))</f>
        <v/>
      </c>
      <c r="H1338" s="67">
        <f>IF($B1338="",0,IF(LEFT($B1338,1)="━",0,$C1338*VLOOKUP($B1338,'4. CÀI ĐẶT'!$A$2:$H$32,5,FALSE)))</f>
        <v/>
      </c>
      <c r="I1338">
        <f>IF($B1338="","",IF(LEFT($B1338,1)="━","",VLOOKUP($B1338,'4. CÀI ĐẶT'!$A$2:$H$32,6,FALSE)))</f>
        <v/>
      </c>
      <c r="J1338" s="13">
        <f>IF($A1338="","",EOMONTH($A1338,0))</f>
        <v/>
      </c>
      <c r="K1338" s="67">
        <f>IF($B1338="",0,IF(LEFT($B1338,1)="━",0,$C1338*VLOOKUP($B1338,'4. CÀI ĐẶT'!$A$2:$H$32,7,FALSE)))</f>
        <v/>
      </c>
    </row>
    <row r="1339">
      <c r="A1339" s="8" t="n"/>
      <c r="B1339" s="9" t="n"/>
      <c r="C1339" s="65" t="n"/>
      <c r="D1339" s="9" t="n"/>
      <c r="E1339" s="66">
        <f>IF($B1339="","",IF(LEFT($B1339,1)="━","⚠️ Chọn hạng mục cụ thể",$C1339*VLOOKUP($B1339,'4. CÀI ĐẶT'!$A$2:$H$32,2,FALSE)))</f>
        <v/>
      </c>
      <c r="F1339" s="67">
        <f>IF($B1339="",0,IF(LEFT($B1339,1)="━",0,$C1339*VLOOKUP($B1339,'4. CÀI ĐẶT'!$A$2:$H$32,3,FALSE)))</f>
        <v/>
      </c>
      <c r="G1339" s="67">
        <f>IF($B1339="",0,IF(LEFT($B1339,1)="━",0,$C1339*VLOOKUP($B1339,'4. CÀI ĐẶT'!$A$2:$H$32,4,FALSE)))</f>
        <v/>
      </c>
      <c r="H1339" s="67">
        <f>IF($B1339="",0,IF(LEFT($B1339,1)="━",0,$C1339*VLOOKUP($B1339,'4. CÀI ĐẶT'!$A$2:$H$32,5,FALSE)))</f>
        <v/>
      </c>
      <c r="I1339">
        <f>IF($B1339="","",IF(LEFT($B1339,1)="━","",VLOOKUP($B1339,'4. CÀI ĐẶT'!$A$2:$H$32,6,FALSE)))</f>
        <v/>
      </c>
      <c r="J1339" s="13">
        <f>IF($A1339="","",EOMONTH($A1339,0))</f>
        <v/>
      </c>
      <c r="K1339" s="67">
        <f>IF($B1339="",0,IF(LEFT($B1339,1)="━",0,$C1339*VLOOKUP($B1339,'4. CÀI ĐẶT'!$A$2:$H$32,7,FALSE)))</f>
        <v/>
      </c>
    </row>
    <row r="1340">
      <c r="A1340" s="8" t="n"/>
      <c r="B1340" s="9" t="n"/>
      <c r="C1340" s="65" t="n"/>
      <c r="D1340" s="9" t="n"/>
      <c r="E1340" s="66">
        <f>IF($B1340="","",IF(LEFT($B1340,1)="━","⚠️ Chọn hạng mục cụ thể",$C1340*VLOOKUP($B1340,'4. CÀI ĐẶT'!$A$2:$H$32,2,FALSE)))</f>
        <v/>
      </c>
      <c r="F1340" s="67">
        <f>IF($B1340="",0,IF(LEFT($B1340,1)="━",0,$C1340*VLOOKUP($B1340,'4. CÀI ĐẶT'!$A$2:$H$32,3,FALSE)))</f>
        <v/>
      </c>
      <c r="G1340" s="67">
        <f>IF($B1340="",0,IF(LEFT($B1340,1)="━",0,$C1340*VLOOKUP($B1340,'4. CÀI ĐẶT'!$A$2:$H$32,4,FALSE)))</f>
        <v/>
      </c>
      <c r="H1340" s="67">
        <f>IF($B1340="",0,IF(LEFT($B1340,1)="━",0,$C1340*VLOOKUP($B1340,'4. CÀI ĐẶT'!$A$2:$H$32,5,FALSE)))</f>
        <v/>
      </c>
      <c r="I1340">
        <f>IF($B1340="","",IF(LEFT($B1340,1)="━","",VLOOKUP($B1340,'4. CÀI ĐẶT'!$A$2:$H$32,6,FALSE)))</f>
        <v/>
      </c>
      <c r="J1340" s="13">
        <f>IF($A1340="","",EOMONTH($A1340,0))</f>
        <v/>
      </c>
      <c r="K1340" s="67">
        <f>IF($B1340="",0,IF(LEFT($B1340,1)="━",0,$C1340*VLOOKUP($B1340,'4. CÀI ĐẶT'!$A$2:$H$32,7,FALSE)))</f>
        <v/>
      </c>
    </row>
    <row r="1341">
      <c r="A1341" s="8" t="n"/>
      <c r="B1341" s="9" t="n"/>
      <c r="C1341" s="65" t="n"/>
      <c r="D1341" s="9" t="n"/>
      <c r="E1341" s="66">
        <f>IF($B1341="","",IF(LEFT($B1341,1)="━","⚠️ Chọn hạng mục cụ thể",$C1341*VLOOKUP($B1341,'4. CÀI ĐẶT'!$A$2:$H$32,2,FALSE)))</f>
        <v/>
      </c>
      <c r="F1341" s="67">
        <f>IF($B1341="",0,IF(LEFT($B1341,1)="━",0,$C1341*VLOOKUP($B1341,'4. CÀI ĐẶT'!$A$2:$H$32,3,FALSE)))</f>
        <v/>
      </c>
      <c r="G1341" s="67">
        <f>IF($B1341="",0,IF(LEFT($B1341,1)="━",0,$C1341*VLOOKUP($B1341,'4. CÀI ĐẶT'!$A$2:$H$32,4,FALSE)))</f>
        <v/>
      </c>
      <c r="H1341" s="67">
        <f>IF($B1341="",0,IF(LEFT($B1341,1)="━",0,$C1341*VLOOKUP($B1341,'4. CÀI ĐẶT'!$A$2:$H$32,5,FALSE)))</f>
        <v/>
      </c>
      <c r="I1341">
        <f>IF($B1341="","",IF(LEFT($B1341,1)="━","",VLOOKUP($B1341,'4. CÀI ĐẶT'!$A$2:$H$32,6,FALSE)))</f>
        <v/>
      </c>
      <c r="J1341" s="13">
        <f>IF($A1341="","",EOMONTH($A1341,0))</f>
        <v/>
      </c>
      <c r="K1341" s="67">
        <f>IF($B1341="",0,IF(LEFT($B1341,1)="━",0,$C1341*VLOOKUP($B1341,'4. CÀI ĐẶT'!$A$2:$H$32,7,FALSE)))</f>
        <v/>
      </c>
    </row>
    <row r="1342">
      <c r="A1342" s="8" t="n"/>
      <c r="B1342" s="9" t="n"/>
      <c r="C1342" s="65" t="n"/>
      <c r="D1342" s="9" t="n"/>
      <c r="E1342" s="66">
        <f>IF($B1342="","",IF(LEFT($B1342,1)="━","⚠️ Chọn hạng mục cụ thể",$C1342*VLOOKUP($B1342,'4. CÀI ĐẶT'!$A$2:$H$32,2,FALSE)))</f>
        <v/>
      </c>
      <c r="F1342" s="67">
        <f>IF($B1342="",0,IF(LEFT($B1342,1)="━",0,$C1342*VLOOKUP($B1342,'4. CÀI ĐẶT'!$A$2:$H$32,3,FALSE)))</f>
        <v/>
      </c>
      <c r="G1342" s="67">
        <f>IF($B1342="",0,IF(LEFT($B1342,1)="━",0,$C1342*VLOOKUP($B1342,'4. CÀI ĐẶT'!$A$2:$H$32,4,FALSE)))</f>
        <v/>
      </c>
      <c r="H1342" s="67">
        <f>IF($B1342="",0,IF(LEFT($B1342,1)="━",0,$C1342*VLOOKUP($B1342,'4. CÀI ĐẶT'!$A$2:$H$32,5,FALSE)))</f>
        <v/>
      </c>
      <c r="I1342">
        <f>IF($B1342="","",IF(LEFT($B1342,1)="━","",VLOOKUP($B1342,'4. CÀI ĐẶT'!$A$2:$H$32,6,FALSE)))</f>
        <v/>
      </c>
      <c r="J1342" s="13">
        <f>IF($A1342="","",EOMONTH($A1342,0))</f>
        <v/>
      </c>
      <c r="K1342" s="67">
        <f>IF($B1342="",0,IF(LEFT($B1342,1)="━",0,$C1342*VLOOKUP($B1342,'4. CÀI ĐẶT'!$A$2:$H$32,7,FALSE)))</f>
        <v/>
      </c>
    </row>
    <row r="1343">
      <c r="A1343" s="8" t="n"/>
      <c r="B1343" s="9" t="n"/>
      <c r="C1343" s="65" t="n"/>
      <c r="D1343" s="9" t="n"/>
      <c r="E1343" s="66">
        <f>IF($B1343="","",IF(LEFT($B1343,1)="━","⚠️ Chọn hạng mục cụ thể",$C1343*VLOOKUP($B1343,'4. CÀI ĐẶT'!$A$2:$H$32,2,FALSE)))</f>
        <v/>
      </c>
      <c r="F1343" s="67">
        <f>IF($B1343="",0,IF(LEFT($B1343,1)="━",0,$C1343*VLOOKUP($B1343,'4. CÀI ĐẶT'!$A$2:$H$32,3,FALSE)))</f>
        <v/>
      </c>
      <c r="G1343" s="67">
        <f>IF($B1343="",0,IF(LEFT($B1343,1)="━",0,$C1343*VLOOKUP($B1343,'4. CÀI ĐẶT'!$A$2:$H$32,4,FALSE)))</f>
        <v/>
      </c>
      <c r="H1343" s="67">
        <f>IF($B1343="",0,IF(LEFT($B1343,1)="━",0,$C1343*VLOOKUP($B1343,'4. CÀI ĐẶT'!$A$2:$H$32,5,FALSE)))</f>
        <v/>
      </c>
      <c r="I1343">
        <f>IF($B1343="","",IF(LEFT($B1343,1)="━","",VLOOKUP($B1343,'4. CÀI ĐẶT'!$A$2:$H$32,6,FALSE)))</f>
        <v/>
      </c>
      <c r="J1343" s="13">
        <f>IF($A1343="","",EOMONTH($A1343,0))</f>
        <v/>
      </c>
      <c r="K1343" s="67">
        <f>IF($B1343="",0,IF(LEFT($B1343,1)="━",0,$C1343*VLOOKUP($B1343,'4. CÀI ĐẶT'!$A$2:$H$32,7,FALSE)))</f>
        <v/>
      </c>
    </row>
    <row r="1344">
      <c r="A1344" s="8" t="n"/>
      <c r="B1344" s="9" t="n"/>
      <c r="C1344" s="65" t="n"/>
      <c r="D1344" s="9" t="n"/>
      <c r="E1344" s="66">
        <f>IF($B1344="","",IF(LEFT($B1344,1)="━","⚠️ Chọn hạng mục cụ thể",$C1344*VLOOKUP($B1344,'4. CÀI ĐẶT'!$A$2:$H$32,2,FALSE)))</f>
        <v/>
      </c>
      <c r="F1344" s="67">
        <f>IF($B1344="",0,IF(LEFT($B1344,1)="━",0,$C1344*VLOOKUP($B1344,'4. CÀI ĐẶT'!$A$2:$H$32,3,FALSE)))</f>
        <v/>
      </c>
      <c r="G1344" s="67">
        <f>IF($B1344="",0,IF(LEFT($B1344,1)="━",0,$C1344*VLOOKUP($B1344,'4. CÀI ĐẶT'!$A$2:$H$32,4,FALSE)))</f>
        <v/>
      </c>
      <c r="H1344" s="67">
        <f>IF($B1344="",0,IF(LEFT($B1344,1)="━",0,$C1344*VLOOKUP($B1344,'4. CÀI ĐẶT'!$A$2:$H$32,5,FALSE)))</f>
        <v/>
      </c>
      <c r="I1344">
        <f>IF($B1344="","",IF(LEFT($B1344,1)="━","",VLOOKUP($B1344,'4. CÀI ĐẶT'!$A$2:$H$32,6,FALSE)))</f>
        <v/>
      </c>
      <c r="J1344" s="13">
        <f>IF($A1344="","",EOMONTH($A1344,0))</f>
        <v/>
      </c>
      <c r="K1344" s="67">
        <f>IF($B1344="",0,IF(LEFT($B1344,1)="━",0,$C1344*VLOOKUP($B1344,'4. CÀI ĐẶT'!$A$2:$H$32,7,FALSE)))</f>
        <v/>
      </c>
    </row>
    <row r="1345">
      <c r="A1345" s="8" t="n"/>
      <c r="B1345" s="9" t="n"/>
      <c r="C1345" s="65" t="n"/>
      <c r="D1345" s="9" t="n"/>
      <c r="E1345" s="66">
        <f>IF($B1345="","",IF(LEFT($B1345,1)="━","⚠️ Chọn hạng mục cụ thể",$C1345*VLOOKUP($B1345,'4. CÀI ĐẶT'!$A$2:$H$32,2,FALSE)))</f>
        <v/>
      </c>
      <c r="F1345" s="67">
        <f>IF($B1345="",0,IF(LEFT($B1345,1)="━",0,$C1345*VLOOKUP($B1345,'4. CÀI ĐẶT'!$A$2:$H$32,3,FALSE)))</f>
        <v/>
      </c>
      <c r="G1345" s="67">
        <f>IF($B1345="",0,IF(LEFT($B1345,1)="━",0,$C1345*VLOOKUP($B1345,'4. CÀI ĐẶT'!$A$2:$H$32,4,FALSE)))</f>
        <v/>
      </c>
      <c r="H1345" s="67">
        <f>IF($B1345="",0,IF(LEFT($B1345,1)="━",0,$C1345*VLOOKUP($B1345,'4. CÀI ĐẶT'!$A$2:$H$32,5,FALSE)))</f>
        <v/>
      </c>
      <c r="I1345">
        <f>IF($B1345="","",IF(LEFT($B1345,1)="━","",VLOOKUP($B1345,'4. CÀI ĐẶT'!$A$2:$H$32,6,FALSE)))</f>
        <v/>
      </c>
      <c r="J1345" s="13">
        <f>IF($A1345="","",EOMONTH($A1345,0))</f>
        <v/>
      </c>
      <c r="K1345" s="67">
        <f>IF($B1345="",0,IF(LEFT($B1345,1)="━",0,$C1345*VLOOKUP($B1345,'4. CÀI ĐẶT'!$A$2:$H$32,7,FALSE)))</f>
        <v/>
      </c>
    </row>
    <row r="1346">
      <c r="A1346" s="8" t="n"/>
      <c r="B1346" s="9" t="n"/>
      <c r="C1346" s="65" t="n"/>
      <c r="D1346" s="9" t="n"/>
      <c r="E1346" s="66">
        <f>IF($B1346="","",IF(LEFT($B1346,1)="━","⚠️ Chọn hạng mục cụ thể",$C1346*VLOOKUP($B1346,'4. CÀI ĐẶT'!$A$2:$H$32,2,FALSE)))</f>
        <v/>
      </c>
      <c r="F1346" s="67">
        <f>IF($B1346="",0,IF(LEFT($B1346,1)="━",0,$C1346*VLOOKUP($B1346,'4. CÀI ĐẶT'!$A$2:$H$32,3,FALSE)))</f>
        <v/>
      </c>
      <c r="G1346" s="67">
        <f>IF($B1346="",0,IF(LEFT($B1346,1)="━",0,$C1346*VLOOKUP($B1346,'4. CÀI ĐẶT'!$A$2:$H$32,4,FALSE)))</f>
        <v/>
      </c>
      <c r="H1346" s="67">
        <f>IF($B1346="",0,IF(LEFT($B1346,1)="━",0,$C1346*VLOOKUP($B1346,'4. CÀI ĐẶT'!$A$2:$H$32,5,FALSE)))</f>
        <v/>
      </c>
      <c r="I1346">
        <f>IF($B1346="","",IF(LEFT($B1346,1)="━","",VLOOKUP($B1346,'4. CÀI ĐẶT'!$A$2:$H$32,6,FALSE)))</f>
        <v/>
      </c>
      <c r="J1346" s="13">
        <f>IF($A1346="","",EOMONTH($A1346,0))</f>
        <v/>
      </c>
      <c r="K1346" s="67">
        <f>IF($B1346="",0,IF(LEFT($B1346,1)="━",0,$C1346*VLOOKUP($B1346,'4. CÀI ĐẶT'!$A$2:$H$32,7,FALSE)))</f>
        <v/>
      </c>
    </row>
    <row r="1347">
      <c r="A1347" s="8" t="n"/>
      <c r="B1347" s="9" t="n"/>
      <c r="C1347" s="65" t="n"/>
      <c r="D1347" s="9" t="n"/>
      <c r="E1347" s="66">
        <f>IF($B1347="","",IF(LEFT($B1347,1)="━","⚠️ Chọn hạng mục cụ thể",$C1347*VLOOKUP($B1347,'4. CÀI ĐẶT'!$A$2:$H$32,2,FALSE)))</f>
        <v/>
      </c>
      <c r="F1347" s="67">
        <f>IF($B1347="",0,IF(LEFT($B1347,1)="━",0,$C1347*VLOOKUP($B1347,'4. CÀI ĐẶT'!$A$2:$H$32,3,FALSE)))</f>
        <v/>
      </c>
      <c r="G1347" s="67">
        <f>IF($B1347="",0,IF(LEFT($B1347,1)="━",0,$C1347*VLOOKUP($B1347,'4. CÀI ĐẶT'!$A$2:$H$32,4,FALSE)))</f>
        <v/>
      </c>
      <c r="H1347" s="67">
        <f>IF($B1347="",0,IF(LEFT($B1347,1)="━",0,$C1347*VLOOKUP($B1347,'4. CÀI ĐẶT'!$A$2:$H$32,5,FALSE)))</f>
        <v/>
      </c>
      <c r="I1347">
        <f>IF($B1347="","",IF(LEFT($B1347,1)="━","",VLOOKUP($B1347,'4. CÀI ĐẶT'!$A$2:$H$32,6,FALSE)))</f>
        <v/>
      </c>
      <c r="J1347" s="13">
        <f>IF($A1347="","",EOMONTH($A1347,0))</f>
        <v/>
      </c>
      <c r="K1347" s="67">
        <f>IF($B1347="",0,IF(LEFT($B1347,1)="━",0,$C1347*VLOOKUP($B1347,'4. CÀI ĐẶT'!$A$2:$H$32,7,FALSE)))</f>
        <v/>
      </c>
    </row>
    <row r="1348">
      <c r="A1348" s="8" t="n"/>
      <c r="B1348" s="9" t="n"/>
      <c r="C1348" s="65" t="n"/>
      <c r="D1348" s="9" t="n"/>
      <c r="E1348" s="66">
        <f>IF($B1348="","",IF(LEFT($B1348,1)="━","⚠️ Chọn hạng mục cụ thể",$C1348*VLOOKUP($B1348,'4. CÀI ĐẶT'!$A$2:$H$32,2,FALSE)))</f>
        <v/>
      </c>
      <c r="F1348" s="67">
        <f>IF($B1348="",0,IF(LEFT($B1348,1)="━",0,$C1348*VLOOKUP($B1348,'4. CÀI ĐẶT'!$A$2:$H$32,3,FALSE)))</f>
        <v/>
      </c>
      <c r="G1348" s="67">
        <f>IF($B1348="",0,IF(LEFT($B1348,1)="━",0,$C1348*VLOOKUP($B1348,'4. CÀI ĐẶT'!$A$2:$H$32,4,FALSE)))</f>
        <v/>
      </c>
      <c r="H1348" s="67">
        <f>IF($B1348="",0,IF(LEFT($B1348,1)="━",0,$C1348*VLOOKUP($B1348,'4. CÀI ĐẶT'!$A$2:$H$32,5,FALSE)))</f>
        <v/>
      </c>
      <c r="I1348">
        <f>IF($B1348="","",IF(LEFT($B1348,1)="━","",VLOOKUP($B1348,'4. CÀI ĐẶT'!$A$2:$H$32,6,FALSE)))</f>
        <v/>
      </c>
      <c r="J1348" s="13">
        <f>IF($A1348="","",EOMONTH($A1348,0))</f>
        <v/>
      </c>
      <c r="K1348" s="67">
        <f>IF($B1348="",0,IF(LEFT($B1348,1)="━",0,$C1348*VLOOKUP($B1348,'4. CÀI ĐẶT'!$A$2:$H$32,7,FALSE)))</f>
        <v/>
      </c>
    </row>
    <row r="1349">
      <c r="A1349" s="8" t="n"/>
      <c r="B1349" s="9" t="n"/>
      <c r="C1349" s="65" t="n"/>
      <c r="D1349" s="9" t="n"/>
      <c r="E1349" s="66">
        <f>IF($B1349="","",IF(LEFT($B1349,1)="━","⚠️ Chọn hạng mục cụ thể",$C1349*VLOOKUP($B1349,'4. CÀI ĐẶT'!$A$2:$H$32,2,FALSE)))</f>
        <v/>
      </c>
      <c r="F1349" s="67">
        <f>IF($B1349="",0,IF(LEFT($B1349,1)="━",0,$C1349*VLOOKUP($B1349,'4. CÀI ĐẶT'!$A$2:$H$32,3,FALSE)))</f>
        <v/>
      </c>
      <c r="G1349" s="67">
        <f>IF($B1349="",0,IF(LEFT($B1349,1)="━",0,$C1349*VLOOKUP($B1349,'4. CÀI ĐẶT'!$A$2:$H$32,4,FALSE)))</f>
        <v/>
      </c>
      <c r="H1349" s="67">
        <f>IF($B1349="",0,IF(LEFT($B1349,1)="━",0,$C1349*VLOOKUP($B1349,'4. CÀI ĐẶT'!$A$2:$H$32,5,FALSE)))</f>
        <v/>
      </c>
      <c r="I1349">
        <f>IF($B1349="","",IF(LEFT($B1349,1)="━","",VLOOKUP($B1349,'4. CÀI ĐẶT'!$A$2:$H$32,6,FALSE)))</f>
        <v/>
      </c>
      <c r="J1349" s="13">
        <f>IF($A1349="","",EOMONTH($A1349,0))</f>
        <v/>
      </c>
      <c r="K1349" s="67">
        <f>IF($B1349="",0,IF(LEFT($B1349,1)="━",0,$C1349*VLOOKUP($B1349,'4. CÀI ĐẶT'!$A$2:$H$32,7,FALSE)))</f>
        <v/>
      </c>
    </row>
    <row r="1350">
      <c r="A1350" s="8" t="n"/>
      <c r="B1350" s="9" t="n"/>
      <c r="C1350" s="65" t="n"/>
      <c r="D1350" s="9" t="n"/>
      <c r="E1350" s="66">
        <f>IF($B1350="","",IF(LEFT($B1350,1)="━","⚠️ Chọn hạng mục cụ thể",$C1350*VLOOKUP($B1350,'4. CÀI ĐẶT'!$A$2:$H$32,2,FALSE)))</f>
        <v/>
      </c>
      <c r="F1350" s="67">
        <f>IF($B1350="",0,IF(LEFT($B1350,1)="━",0,$C1350*VLOOKUP($B1350,'4. CÀI ĐẶT'!$A$2:$H$32,3,FALSE)))</f>
        <v/>
      </c>
      <c r="G1350" s="67">
        <f>IF($B1350="",0,IF(LEFT($B1350,1)="━",0,$C1350*VLOOKUP($B1350,'4. CÀI ĐẶT'!$A$2:$H$32,4,FALSE)))</f>
        <v/>
      </c>
      <c r="H1350" s="67">
        <f>IF($B1350="",0,IF(LEFT($B1350,1)="━",0,$C1350*VLOOKUP($B1350,'4. CÀI ĐẶT'!$A$2:$H$32,5,FALSE)))</f>
        <v/>
      </c>
      <c r="I1350">
        <f>IF($B1350="","",IF(LEFT($B1350,1)="━","",VLOOKUP($B1350,'4. CÀI ĐẶT'!$A$2:$H$32,6,FALSE)))</f>
        <v/>
      </c>
      <c r="J1350" s="13">
        <f>IF($A1350="","",EOMONTH($A1350,0))</f>
        <v/>
      </c>
      <c r="K1350" s="67">
        <f>IF($B1350="",0,IF(LEFT($B1350,1)="━",0,$C1350*VLOOKUP($B1350,'4. CÀI ĐẶT'!$A$2:$H$32,7,FALSE)))</f>
        <v/>
      </c>
    </row>
    <row r="1351">
      <c r="A1351" s="8" t="n"/>
      <c r="B1351" s="9" t="n"/>
      <c r="C1351" s="65" t="n"/>
      <c r="D1351" s="9" t="n"/>
      <c r="E1351" s="66">
        <f>IF($B1351="","",IF(LEFT($B1351,1)="━","⚠️ Chọn hạng mục cụ thể",$C1351*VLOOKUP($B1351,'4. CÀI ĐẶT'!$A$2:$H$32,2,FALSE)))</f>
        <v/>
      </c>
      <c r="F1351" s="67">
        <f>IF($B1351="",0,IF(LEFT($B1351,1)="━",0,$C1351*VLOOKUP($B1351,'4. CÀI ĐẶT'!$A$2:$H$32,3,FALSE)))</f>
        <v/>
      </c>
      <c r="G1351" s="67">
        <f>IF($B1351="",0,IF(LEFT($B1351,1)="━",0,$C1351*VLOOKUP($B1351,'4. CÀI ĐẶT'!$A$2:$H$32,4,FALSE)))</f>
        <v/>
      </c>
      <c r="H1351" s="67">
        <f>IF($B1351="",0,IF(LEFT($B1351,1)="━",0,$C1351*VLOOKUP($B1351,'4. CÀI ĐẶT'!$A$2:$H$32,5,FALSE)))</f>
        <v/>
      </c>
      <c r="I1351">
        <f>IF($B1351="","",IF(LEFT($B1351,1)="━","",VLOOKUP($B1351,'4. CÀI ĐẶT'!$A$2:$H$32,6,FALSE)))</f>
        <v/>
      </c>
      <c r="J1351" s="13">
        <f>IF($A1351="","",EOMONTH($A1351,0))</f>
        <v/>
      </c>
      <c r="K1351" s="67">
        <f>IF($B1351="",0,IF(LEFT($B1351,1)="━",0,$C1351*VLOOKUP($B1351,'4. CÀI ĐẶT'!$A$2:$H$32,7,FALSE)))</f>
        <v/>
      </c>
    </row>
    <row r="1352">
      <c r="A1352" s="8" t="n"/>
      <c r="B1352" s="9" t="n"/>
      <c r="C1352" s="65" t="n"/>
      <c r="D1352" s="9" t="n"/>
      <c r="E1352" s="66">
        <f>IF($B1352="","",IF(LEFT($B1352,1)="━","⚠️ Chọn hạng mục cụ thể",$C1352*VLOOKUP($B1352,'4. CÀI ĐẶT'!$A$2:$H$32,2,FALSE)))</f>
        <v/>
      </c>
      <c r="F1352" s="67">
        <f>IF($B1352="",0,IF(LEFT($B1352,1)="━",0,$C1352*VLOOKUP($B1352,'4. CÀI ĐẶT'!$A$2:$H$32,3,FALSE)))</f>
        <v/>
      </c>
      <c r="G1352" s="67">
        <f>IF($B1352="",0,IF(LEFT($B1352,1)="━",0,$C1352*VLOOKUP($B1352,'4. CÀI ĐẶT'!$A$2:$H$32,4,FALSE)))</f>
        <v/>
      </c>
      <c r="H1352" s="67">
        <f>IF($B1352="",0,IF(LEFT($B1352,1)="━",0,$C1352*VLOOKUP($B1352,'4. CÀI ĐẶT'!$A$2:$H$32,5,FALSE)))</f>
        <v/>
      </c>
      <c r="I1352">
        <f>IF($B1352="","",IF(LEFT($B1352,1)="━","",VLOOKUP($B1352,'4. CÀI ĐẶT'!$A$2:$H$32,6,FALSE)))</f>
        <v/>
      </c>
      <c r="J1352" s="13">
        <f>IF($A1352="","",EOMONTH($A1352,0))</f>
        <v/>
      </c>
      <c r="K1352" s="67">
        <f>IF($B1352="",0,IF(LEFT($B1352,1)="━",0,$C1352*VLOOKUP($B1352,'4. CÀI ĐẶT'!$A$2:$H$32,7,FALSE)))</f>
        <v/>
      </c>
    </row>
    <row r="1353">
      <c r="A1353" s="8" t="n"/>
      <c r="B1353" s="9" t="n"/>
      <c r="C1353" s="65" t="n"/>
      <c r="D1353" s="9" t="n"/>
      <c r="E1353" s="66">
        <f>IF($B1353="","",IF(LEFT($B1353,1)="━","⚠️ Chọn hạng mục cụ thể",$C1353*VLOOKUP($B1353,'4. CÀI ĐẶT'!$A$2:$H$32,2,FALSE)))</f>
        <v/>
      </c>
      <c r="F1353" s="67">
        <f>IF($B1353="",0,IF(LEFT($B1353,1)="━",0,$C1353*VLOOKUP($B1353,'4. CÀI ĐẶT'!$A$2:$H$32,3,FALSE)))</f>
        <v/>
      </c>
      <c r="G1353" s="67">
        <f>IF($B1353="",0,IF(LEFT($B1353,1)="━",0,$C1353*VLOOKUP($B1353,'4. CÀI ĐẶT'!$A$2:$H$32,4,FALSE)))</f>
        <v/>
      </c>
      <c r="H1353" s="67">
        <f>IF($B1353="",0,IF(LEFT($B1353,1)="━",0,$C1353*VLOOKUP($B1353,'4. CÀI ĐẶT'!$A$2:$H$32,5,FALSE)))</f>
        <v/>
      </c>
      <c r="I1353">
        <f>IF($B1353="","",IF(LEFT($B1353,1)="━","",VLOOKUP($B1353,'4. CÀI ĐẶT'!$A$2:$H$32,6,FALSE)))</f>
        <v/>
      </c>
      <c r="J1353" s="13">
        <f>IF($A1353="","",EOMONTH($A1353,0))</f>
        <v/>
      </c>
      <c r="K1353" s="67">
        <f>IF($B1353="",0,IF(LEFT($B1353,1)="━",0,$C1353*VLOOKUP($B1353,'4. CÀI ĐẶT'!$A$2:$H$32,7,FALSE)))</f>
        <v/>
      </c>
    </row>
    <row r="1354">
      <c r="A1354" s="8" t="n"/>
      <c r="B1354" s="9" t="n"/>
      <c r="C1354" s="65" t="n"/>
      <c r="D1354" s="9" t="n"/>
      <c r="E1354" s="66">
        <f>IF($B1354="","",IF(LEFT($B1354,1)="━","⚠️ Chọn hạng mục cụ thể",$C1354*VLOOKUP($B1354,'4. CÀI ĐẶT'!$A$2:$H$32,2,FALSE)))</f>
        <v/>
      </c>
      <c r="F1354" s="67">
        <f>IF($B1354="",0,IF(LEFT($B1354,1)="━",0,$C1354*VLOOKUP($B1354,'4. CÀI ĐẶT'!$A$2:$H$32,3,FALSE)))</f>
        <v/>
      </c>
      <c r="G1354" s="67">
        <f>IF($B1354="",0,IF(LEFT($B1354,1)="━",0,$C1354*VLOOKUP($B1354,'4. CÀI ĐẶT'!$A$2:$H$32,4,FALSE)))</f>
        <v/>
      </c>
      <c r="H1354" s="67">
        <f>IF($B1354="",0,IF(LEFT($B1354,1)="━",0,$C1354*VLOOKUP($B1354,'4. CÀI ĐẶT'!$A$2:$H$32,5,FALSE)))</f>
        <v/>
      </c>
      <c r="I1354">
        <f>IF($B1354="","",IF(LEFT($B1354,1)="━","",VLOOKUP($B1354,'4. CÀI ĐẶT'!$A$2:$H$32,6,FALSE)))</f>
        <v/>
      </c>
      <c r="J1354" s="13">
        <f>IF($A1354="","",EOMONTH($A1354,0))</f>
        <v/>
      </c>
      <c r="K1354" s="67">
        <f>IF($B1354="",0,IF(LEFT($B1354,1)="━",0,$C1354*VLOOKUP($B1354,'4. CÀI ĐẶT'!$A$2:$H$32,7,FALSE)))</f>
        <v/>
      </c>
    </row>
    <row r="1355">
      <c r="A1355" s="8" t="n"/>
      <c r="B1355" s="9" t="n"/>
      <c r="C1355" s="65" t="n"/>
      <c r="D1355" s="9" t="n"/>
      <c r="E1355" s="66">
        <f>IF($B1355="","",IF(LEFT($B1355,1)="━","⚠️ Chọn hạng mục cụ thể",$C1355*VLOOKUP($B1355,'4. CÀI ĐẶT'!$A$2:$H$32,2,FALSE)))</f>
        <v/>
      </c>
      <c r="F1355" s="67">
        <f>IF($B1355="",0,IF(LEFT($B1355,1)="━",0,$C1355*VLOOKUP($B1355,'4. CÀI ĐẶT'!$A$2:$H$32,3,FALSE)))</f>
        <v/>
      </c>
      <c r="G1355" s="67">
        <f>IF($B1355="",0,IF(LEFT($B1355,1)="━",0,$C1355*VLOOKUP($B1355,'4. CÀI ĐẶT'!$A$2:$H$32,4,FALSE)))</f>
        <v/>
      </c>
      <c r="H1355" s="67">
        <f>IF($B1355="",0,IF(LEFT($B1355,1)="━",0,$C1355*VLOOKUP($B1355,'4. CÀI ĐẶT'!$A$2:$H$32,5,FALSE)))</f>
        <v/>
      </c>
      <c r="I1355">
        <f>IF($B1355="","",IF(LEFT($B1355,1)="━","",VLOOKUP($B1355,'4. CÀI ĐẶT'!$A$2:$H$32,6,FALSE)))</f>
        <v/>
      </c>
      <c r="J1355" s="13">
        <f>IF($A1355="","",EOMONTH($A1355,0))</f>
        <v/>
      </c>
      <c r="K1355" s="67">
        <f>IF($B1355="",0,IF(LEFT($B1355,1)="━",0,$C1355*VLOOKUP($B1355,'4. CÀI ĐẶT'!$A$2:$H$32,7,FALSE)))</f>
        <v/>
      </c>
    </row>
    <row r="1356">
      <c r="A1356" s="8" t="n"/>
      <c r="B1356" s="9" t="n"/>
      <c r="C1356" s="65" t="n"/>
      <c r="D1356" s="9" t="n"/>
      <c r="E1356" s="66">
        <f>IF($B1356="","",IF(LEFT($B1356,1)="━","⚠️ Chọn hạng mục cụ thể",$C1356*VLOOKUP($B1356,'4. CÀI ĐẶT'!$A$2:$H$32,2,FALSE)))</f>
        <v/>
      </c>
      <c r="F1356" s="67">
        <f>IF($B1356="",0,IF(LEFT($B1356,1)="━",0,$C1356*VLOOKUP($B1356,'4. CÀI ĐẶT'!$A$2:$H$32,3,FALSE)))</f>
        <v/>
      </c>
      <c r="G1356" s="67">
        <f>IF($B1356="",0,IF(LEFT($B1356,1)="━",0,$C1356*VLOOKUP($B1356,'4. CÀI ĐẶT'!$A$2:$H$32,4,FALSE)))</f>
        <v/>
      </c>
      <c r="H1356" s="67">
        <f>IF($B1356="",0,IF(LEFT($B1356,1)="━",0,$C1356*VLOOKUP($B1356,'4. CÀI ĐẶT'!$A$2:$H$32,5,FALSE)))</f>
        <v/>
      </c>
      <c r="I1356">
        <f>IF($B1356="","",IF(LEFT($B1356,1)="━","",VLOOKUP($B1356,'4. CÀI ĐẶT'!$A$2:$H$32,6,FALSE)))</f>
        <v/>
      </c>
      <c r="J1356" s="13">
        <f>IF($A1356="","",EOMONTH($A1356,0))</f>
        <v/>
      </c>
      <c r="K1356" s="67">
        <f>IF($B1356="",0,IF(LEFT($B1356,1)="━",0,$C1356*VLOOKUP($B1356,'4. CÀI ĐẶT'!$A$2:$H$32,7,FALSE)))</f>
        <v/>
      </c>
    </row>
    <row r="1357">
      <c r="A1357" s="8" t="n"/>
      <c r="B1357" s="9" t="n"/>
      <c r="C1357" s="65" t="n"/>
      <c r="D1357" s="9" t="n"/>
      <c r="E1357" s="66">
        <f>IF($B1357="","",IF(LEFT($B1357,1)="━","⚠️ Chọn hạng mục cụ thể",$C1357*VLOOKUP($B1357,'4. CÀI ĐẶT'!$A$2:$H$32,2,FALSE)))</f>
        <v/>
      </c>
      <c r="F1357" s="67">
        <f>IF($B1357="",0,IF(LEFT($B1357,1)="━",0,$C1357*VLOOKUP($B1357,'4. CÀI ĐẶT'!$A$2:$H$32,3,FALSE)))</f>
        <v/>
      </c>
      <c r="G1357" s="67">
        <f>IF($B1357="",0,IF(LEFT($B1357,1)="━",0,$C1357*VLOOKUP($B1357,'4. CÀI ĐẶT'!$A$2:$H$32,4,FALSE)))</f>
        <v/>
      </c>
      <c r="H1357" s="67">
        <f>IF($B1357="",0,IF(LEFT($B1357,1)="━",0,$C1357*VLOOKUP($B1357,'4. CÀI ĐẶT'!$A$2:$H$32,5,FALSE)))</f>
        <v/>
      </c>
      <c r="I1357">
        <f>IF($B1357="","",IF(LEFT($B1357,1)="━","",VLOOKUP($B1357,'4. CÀI ĐẶT'!$A$2:$H$32,6,FALSE)))</f>
        <v/>
      </c>
      <c r="J1357" s="13">
        <f>IF($A1357="","",EOMONTH($A1357,0))</f>
        <v/>
      </c>
      <c r="K1357" s="67">
        <f>IF($B1357="",0,IF(LEFT($B1357,1)="━",0,$C1357*VLOOKUP($B1357,'4. CÀI ĐẶT'!$A$2:$H$32,7,FALSE)))</f>
        <v/>
      </c>
    </row>
    <row r="1358">
      <c r="A1358" s="8" t="n"/>
      <c r="B1358" s="9" t="n"/>
      <c r="C1358" s="65" t="n"/>
      <c r="D1358" s="9" t="n"/>
      <c r="E1358" s="66">
        <f>IF($B1358="","",IF(LEFT($B1358,1)="━","⚠️ Chọn hạng mục cụ thể",$C1358*VLOOKUP($B1358,'4. CÀI ĐẶT'!$A$2:$H$32,2,FALSE)))</f>
        <v/>
      </c>
      <c r="F1358" s="67">
        <f>IF($B1358="",0,IF(LEFT($B1358,1)="━",0,$C1358*VLOOKUP($B1358,'4. CÀI ĐẶT'!$A$2:$H$32,3,FALSE)))</f>
        <v/>
      </c>
      <c r="G1358" s="67">
        <f>IF($B1358="",0,IF(LEFT($B1358,1)="━",0,$C1358*VLOOKUP($B1358,'4. CÀI ĐẶT'!$A$2:$H$32,4,FALSE)))</f>
        <v/>
      </c>
      <c r="H1358" s="67">
        <f>IF($B1358="",0,IF(LEFT($B1358,1)="━",0,$C1358*VLOOKUP($B1358,'4. CÀI ĐẶT'!$A$2:$H$32,5,FALSE)))</f>
        <v/>
      </c>
      <c r="I1358">
        <f>IF($B1358="","",IF(LEFT($B1358,1)="━","",VLOOKUP($B1358,'4. CÀI ĐẶT'!$A$2:$H$32,6,FALSE)))</f>
        <v/>
      </c>
      <c r="J1358" s="13">
        <f>IF($A1358="","",EOMONTH($A1358,0))</f>
        <v/>
      </c>
      <c r="K1358" s="67">
        <f>IF($B1358="",0,IF(LEFT($B1358,1)="━",0,$C1358*VLOOKUP($B1358,'4. CÀI ĐẶT'!$A$2:$H$32,7,FALSE)))</f>
        <v/>
      </c>
    </row>
    <row r="1359">
      <c r="A1359" s="8" t="n"/>
      <c r="B1359" s="9" t="n"/>
      <c r="C1359" s="65" t="n"/>
      <c r="D1359" s="9" t="n"/>
      <c r="E1359" s="66">
        <f>IF($B1359="","",IF(LEFT($B1359,1)="━","⚠️ Chọn hạng mục cụ thể",$C1359*VLOOKUP($B1359,'4. CÀI ĐẶT'!$A$2:$H$32,2,FALSE)))</f>
        <v/>
      </c>
      <c r="F1359" s="67">
        <f>IF($B1359="",0,IF(LEFT($B1359,1)="━",0,$C1359*VLOOKUP($B1359,'4. CÀI ĐẶT'!$A$2:$H$32,3,FALSE)))</f>
        <v/>
      </c>
      <c r="G1359" s="67">
        <f>IF($B1359="",0,IF(LEFT($B1359,1)="━",0,$C1359*VLOOKUP($B1359,'4. CÀI ĐẶT'!$A$2:$H$32,4,FALSE)))</f>
        <v/>
      </c>
      <c r="H1359" s="67">
        <f>IF($B1359="",0,IF(LEFT($B1359,1)="━",0,$C1359*VLOOKUP($B1359,'4. CÀI ĐẶT'!$A$2:$H$32,5,FALSE)))</f>
        <v/>
      </c>
      <c r="I1359">
        <f>IF($B1359="","",IF(LEFT($B1359,1)="━","",VLOOKUP($B1359,'4. CÀI ĐẶT'!$A$2:$H$32,6,FALSE)))</f>
        <v/>
      </c>
      <c r="J1359" s="13">
        <f>IF($A1359="","",EOMONTH($A1359,0))</f>
        <v/>
      </c>
      <c r="K1359" s="67">
        <f>IF($B1359="",0,IF(LEFT($B1359,1)="━",0,$C1359*VLOOKUP($B1359,'4. CÀI ĐẶT'!$A$2:$H$32,7,FALSE)))</f>
        <v/>
      </c>
    </row>
    <row r="1360">
      <c r="A1360" s="8" t="n"/>
      <c r="B1360" s="9" t="n"/>
      <c r="C1360" s="65" t="n"/>
      <c r="D1360" s="9" t="n"/>
      <c r="E1360" s="66">
        <f>IF($B1360="","",IF(LEFT($B1360,1)="━","⚠️ Chọn hạng mục cụ thể",$C1360*VLOOKUP($B1360,'4. CÀI ĐẶT'!$A$2:$H$32,2,FALSE)))</f>
        <v/>
      </c>
      <c r="F1360" s="67">
        <f>IF($B1360="",0,IF(LEFT($B1360,1)="━",0,$C1360*VLOOKUP($B1360,'4. CÀI ĐẶT'!$A$2:$H$32,3,FALSE)))</f>
        <v/>
      </c>
      <c r="G1360" s="67">
        <f>IF($B1360="",0,IF(LEFT($B1360,1)="━",0,$C1360*VLOOKUP($B1360,'4. CÀI ĐẶT'!$A$2:$H$32,4,FALSE)))</f>
        <v/>
      </c>
      <c r="H1360" s="67">
        <f>IF($B1360="",0,IF(LEFT($B1360,1)="━",0,$C1360*VLOOKUP($B1360,'4. CÀI ĐẶT'!$A$2:$H$32,5,FALSE)))</f>
        <v/>
      </c>
      <c r="I1360">
        <f>IF($B1360="","",IF(LEFT($B1360,1)="━","",VLOOKUP($B1360,'4. CÀI ĐẶT'!$A$2:$H$32,6,FALSE)))</f>
        <v/>
      </c>
      <c r="J1360" s="13">
        <f>IF($A1360="","",EOMONTH($A1360,0))</f>
        <v/>
      </c>
      <c r="K1360" s="67">
        <f>IF($B1360="",0,IF(LEFT($B1360,1)="━",0,$C1360*VLOOKUP($B1360,'4. CÀI ĐẶT'!$A$2:$H$32,7,FALSE)))</f>
        <v/>
      </c>
    </row>
    <row r="1361">
      <c r="A1361" s="8" t="n"/>
      <c r="B1361" s="9" t="n"/>
      <c r="C1361" s="65" t="n"/>
      <c r="D1361" s="9" t="n"/>
      <c r="E1361" s="66">
        <f>IF($B1361="","",IF(LEFT($B1361,1)="━","⚠️ Chọn hạng mục cụ thể",$C1361*VLOOKUP($B1361,'4. CÀI ĐẶT'!$A$2:$H$32,2,FALSE)))</f>
        <v/>
      </c>
      <c r="F1361" s="67">
        <f>IF($B1361="",0,IF(LEFT($B1361,1)="━",0,$C1361*VLOOKUP($B1361,'4. CÀI ĐẶT'!$A$2:$H$32,3,FALSE)))</f>
        <v/>
      </c>
      <c r="G1361" s="67">
        <f>IF($B1361="",0,IF(LEFT($B1361,1)="━",0,$C1361*VLOOKUP($B1361,'4. CÀI ĐẶT'!$A$2:$H$32,4,FALSE)))</f>
        <v/>
      </c>
      <c r="H1361" s="67">
        <f>IF($B1361="",0,IF(LEFT($B1361,1)="━",0,$C1361*VLOOKUP($B1361,'4. CÀI ĐẶT'!$A$2:$H$32,5,FALSE)))</f>
        <v/>
      </c>
      <c r="I1361">
        <f>IF($B1361="","",IF(LEFT($B1361,1)="━","",VLOOKUP($B1361,'4. CÀI ĐẶT'!$A$2:$H$32,6,FALSE)))</f>
        <v/>
      </c>
      <c r="J1361" s="13">
        <f>IF($A1361="","",EOMONTH($A1361,0))</f>
        <v/>
      </c>
      <c r="K1361" s="67">
        <f>IF($B1361="",0,IF(LEFT($B1361,1)="━",0,$C1361*VLOOKUP($B1361,'4. CÀI ĐẶT'!$A$2:$H$32,7,FALSE)))</f>
        <v/>
      </c>
    </row>
    <row r="1362">
      <c r="A1362" s="8" t="n"/>
      <c r="B1362" s="9" t="n"/>
      <c r="C1362" s="65" t="n"/>
      <c r="D1362" s="9" t="n"/>
      <c r="E1362" s="66">
        <f>IF($B1362="","",IF(LEFT($B1362,1)="━","⚠️ Chọn hạng mục cụ thể",$C1362*VLOOKUP($B1362,'4. CÀI ĐẶT'!$A$2:$H$32,2,FALSE)))</f>
        <v/>
      </c>
      <c r="F1362" s="67">
        <f>IF($B1362="",0,IF(LEFT($B1362,1)="━",0,$C1362*VLOOKUP($B1362,'4. CÀI ĐẶT'!$A$2:$H$32,3,FALSE)))</f>
        <v/>
      </c>
      <c r="G1362" s="67">
        <f>IF($B1362="",0,IF(LEFT($B1362,1)="━",0,$C1362*VLOOKUP($B1362,'4. CÀI ĐẶT'!$A$2:$H$32,4,FALSE)))</f>
        <v/>
      </c>
      <c r="H1362" s="67">
        <f>IF($B1362="",0,IF(LEFT($B1362,1)="━",0,$C1362*VLOOKUP($B1362,'4. CÀI ĐẶT'!$A$2:$H$32,5,FALSE)))</f>
        <v/>
      </c>
      <c r="I1362">
        <f>IF($B1362="","",IF(LEFT($B1362,1)="━","",VLOOKUP($B1362,'4. CÀI ĐẶT'!$A$2:$H$32,6,FALSE)))</f>
        <v/>
      </c>
      <c r="J1362" s="13">
        <f>IF($A1362="","",EOMONTH($A1362,0))</f>
        <v/>
      </c>
      <c r="K1362" s="67">
        <f>IF($B1362="",0,IF(LEFT($B1362,1)="━",0,$C1362*VLOOKUP($B1362,'4. CÀI ĐẶT'!$A$2:$H$32,7,FALSE)))</f>
        <v/>
      </c>
    </row>
    <row r="1363">
      <c r="A1363" s="8" t="n"/>
      <c r="B1363" s="9" t="n"/>
      <c r="C1363" s="65" t="n"/>
      <c r="D1363" s="9" t="n"/>
      <c r="E1363" s="66">
        <f>IF($B1363="","",IF(LEFT($B1363,1)="━","⚠️ Chọn hạng mục cụ thể",$C1363*VLOOKUP($B1363,'4. CÀI ĐẶT'!$A$2:$H$32,2,FALSE)))</f>
        <v/>
      </c>
      <c r="F1363" s="67">
        <f>IF($B1363="",0,IF(LEFT($B1363,1)="━",0,$C1363*VLOOKUP($B1363,'4. CÀI ĐẶT'!$A$2:$H$32,3,FALSE)))</f>
        <v/>
      </c>
      <c r="G1363" s="67">
        <f>IF($B1363="",0,IF(LEFT($B1363,1)="━",0,$C1363*VLOOKUP($B1363,'4. CÀI ĐẶT'!$A$2:$H$32,4,FALSE)))</f>
        <v/>
      </c>
      <c r="H1363" s="67">
        <f>IF($B1363="",0,IF(LEFT($B1363,1)="━",0,$C1363*VLOOKUP($B1363,'4. CÀI ĐẶT'!$A$2:$H$32,5,FALSE)))</f>
        <v/>
      </c>
      <c r="I1363">
        <f>IF($B1363="","",IF(LEFT($B1363,1)="━","",VLOOKUP($B1363,'4. CÀI ĐẶT'!$A$2:$H$32,6,FALSE)))</f>
        <v/>
      </c>
      <c r="J1363" s="13">
        <f>IF($A1363="","",EOMONTH($A1363,0))</f>
        <v/>
      </c>
      <c r="K1363" s="67">
        <f>IF($B1363="",0,IF(LEFT($B1363,1)="━",0,$C1363*VLOOKUP($B1363,'4. CÀI ĐẶT'!$A$2:$H$32,7,FALSE)))</f>
        <v/>
      </c>
    </row>
    <row r="1364">
      <c r="A1364" s="8" t="n"/>
      <c r="B1364" s="9" t="n"/>
      <c r="C1364" s="65" t="n"/>
      <c r="D1364" s="9" t="n"/>
      <c r="E1364" s="66">
        <f>IF($B1364="","",IF(LEFT($B1364,1)="━","⚠️ Chọn hạng mục cụ thể",$C1364*VLOOKUP($B1364,'4. CÀI ĐẶT'!$A$2:$H$32,2,FALSE)))</f>
        <v/>
      </c>
      <c r="F1364" s="67">
        <f>IF($B1364="",0,IF(LEFT($B1364,1)="━",0,$C1364*VLOOKUP($B1364,'4. CÀI ĐẶT'!$A$2:$H$32,3,FALSE)))</f>
        <v/>
      </c>
      <c r="G1364" s="67">
        <f>IF($B1364="",0,IF(LEFT($B1364,1)="━",0,$C1364*VLOOKUP($B1364,'4. CÀI ĐẶT'!$A$2:$H$32,4,FALSE)))</f>
        <v/>
      </c>
      <c r="H1364" s="67">
        <f>IF($B1364="",0,IF(LEFT($B1364,1)="━",0,$C1364*VLOOKUP($B1364,'4. CÀI ĐẶT'!$A$2:$H$32,5,FALSE)))</f>
        <v/>
      </c>
      <c r="I1364">
        <f>IF($B1364="","",IF(LEFT($B1364,1)="━","",VLOOKUP($B1364,'4. CÀI ĐẶT'!$A$2:$H$32,6,FALSE)))</f>
        <v/>
      </c>
      <c r="J1364" s="13">
        <f>IF($A1364="","",EOMONTH($A1364,0))</f>
        <v/>
      </c>
      <c r="K1364" s="67">
        <f>IF($B1364="",0,IF(LEFT($B1364,1)="━",0,$C1364*VLOOKUP($B1364,'4. CÀI ĐẶT'!$A$2:$H$32,7,FALSE)))</f>
        <v/>
      </c>
    </row>
    <row r="1365">
      <c r="A1365" s="8" t="n"/>
      <c r="B1365" s="9" t="n"/>
      <c r="C1365" s="65" t="n"/>
      <c r="D1365" s="9" t="n"/>
      <c r="E1365" s="66">
        <f>IF($B1365="","",IF(LEFT($B1365,1)="━","⚠️ Chọn hạng mục cụ thể",$C1365*VLOOKUP($B1365,'4. CÀI ĐẶT'!$A$2:$H$32,2,FALSE)))</f>
        <v/>
      </c>
      <c r="F1365" s="67">
        <f>IF($B1365="",0,IF(LEFT($B1365,1)="━",0,$C1365*VLOOKUP($B1365,'4. CÀI ĐẶT'!$A$2:$H$32,3,FALSE)))</f>
        <v/>
      </c>
      <c r="G1365" s="67">
        <f>IF($B1365="",0,IF(LEFT($B1365,1)="━",0,$C1365*VLOOKUP($B1365,'4. CÀI ĐẶT'!$A$2:$H$32,4,FALSE)))</f>
        <v/>
      </c>
      <c r="H1365" s="67">
        <f>IF($B1365="",0,IF(LEFT($B1365,1)="━",0,$C1365*VLOOKUP($B1365,'4. CÀI ĐẶT'!$A$2:$H$32,5,FALSE)))</f>
        <v/>
      </c>
      <c r="I1365">
        <f>IF($B1365="","",IF(LEFT($B1365,1)="━","",VLOOKUP($B1365,'4. CÀI ĐẶT'!$A$2:$H$32,6,FALSE)))</f>
        <v/>
      </c>
      <c r="J1365" s="13">
        <f>IF($A1365="","",EOMONTH($A1365,0))</f>
        <v/>
      </c>
      <c r="K1365" s="67">
        <f>IF($B1365="",0,IF(LEFT($B1365,1)="━",0,$C1365*VLOOKUP($B1365,'4. CÀI ĐẶT'!$A$2:$H$32,7,FALSE)))</f>
        <v/>
      </c>
    </row>
    <row r="1366">
      <c r="A1366" s="8" t="n"/>
      <c r="B1366" s="9" t="n"/>
      <c r="C1366" s="65" t="n"/>
      <c r="D1366" s="9" t="n"/>
      <c r="E1366" s="66">
        <f>IF($B1366="","",IF(LEFT($B1366,1)="━","⚠️ Chọn hạng mục cụ thể",$C1366*VLOOKUP($B1366,'4. CÀI ĐẶT'!$A$2:$H$32,2,FALSE)))</f>
        <v/>
      </c>
      <c r="F1366" s="67">
        <f>IF($B1366="",0,IF(LEFT($B1366,1)="━",0,$C1366*VLOOKUP($B1366,'4. CÀI ĐẶT'!$A$2:$H$32,3,FALSE)))</f>
        <v/>
      </c>
      <c r="G1366" s="67">
        <f>IF($B1366="",0,IF(LEFT($B1366,1)="━",0,$C1366*VLOOKUP($B1366,'4. CÀI ĐẶT'!$A$2:$H$32,4,FALSE)))</f>
        <v/>
      </c>
      <c r="H1366" s="67">
        <f>IF($B1366="",0,IF(LEFT($B1366,1)="━",0,$C1366*VLOOKUP($B1366,'4. CÀI ĐẶT'!$A$2:$H$32,5,FALSE)))</f>
        <v/>
      </c>
      <c r="I1366">
        <f>IF($B1366="","",IF(LEFT($B1366,1)="━","",VLOOKUP($B1366,'4. CÀI ĐẶT'!$A$2:$H$32,6,FALSE)))</f>
        <v/>
      </c>
      <c r="J1366" s="13">
        <f>IF($A1366="","",EOMONTH($A1366,0))</f>
        <v/>
      </c>
      <c r="K1366" s="67">
        <f>IF($B1366="",0,IF(LEFT($B1366,1)="━",0,$C1366*VLOOKUP($B1366,'4. CÀI ĐẶT'!$A$2:$H$32,7,FALSE)))</f>
        <v/>
      </c>
    </row>
    <row r="1367">
      <c r="A1367" s="8" t="n"/>
      <c r="B1367" s="9" t="n"/>
      <c r="C1367" s="65" t="n"/>
      <c r="D1367" s="9" t="n"/>
      <c r="E1367" s="66">
        <f>IF($B1367="","",IF(LEFT($B1367,1)="━","⚠️ Chọn hạng mục cụ thể",$C1367*VLOOKUP($B1367,'4. CÀI ĐẶT'!$A$2:$H$32,2,FALSE)))</f>
        <v/>
      </c>
      <c r="F1367" s="67">
        <f>IF($B1367="",0,IF(LEFT($B1367,1)="━",0,$C1367*VLOOKUP($B1367,'4. CÀI ĐẶT'!$A$2:$H$32,3,FALSE)))</f>
        <v/>
      </c>
      <c r="G1367" s="67">
        <f>IF($B1367="",0,IF(LEFT($B1367,1)="━",0,$C1367*VLOOKUP($B1367,'4. CÀI ĐẶT'!$A$2:$H$32,4,FALSE)))</f>
        <v/>
      </c>
      <c r="H1367" s="67">
        <f>IF($B1367="",0,IF(LEFT($B1367,1)="━",0,$C1367*VLOOKUP($B1367,'4. CÀI ĐẶT'!$A$2:$H$32,5,FALSE)))</f>
        <v/>
      </c>
      <c r="I1367">
        <f>IF($B1367="","",IF(LEFT($B1367,1)="━","",VLOOKUP($B1367,'4. CÀI ĐẶT'!$A$2:$H$32,6,FALSE)))</f>
        <v/>
      </c>
      <c r="J1367" s="13">
        <f>IF($A1367="","",EOMONTH($A1367,0))</f>
        <v/>
      </c>
      <c r="K1367" s="67">
        <f>IF($B1367="",0,IF(LEFT($B1367,1)="━",0,$C1367*VLOOKUP($B1367,'4. CÀI ĐẶT'!$A$2:$H$32,7,FALSE)))</f>
        <v/>
      </c>
    </row>
    <row r="1368">
      <c r="A1368" s="8" t="n"/>
      <c r="B1368" s="9" t="n"/>
      <c r="C1368" s="65" t="n"/>
      <c r="D1368" s="9" t="n"/>
      <c r="E1368" s="66">
        <f>IF($B1368="","",IF(LEFT($B1368,1)="━","⚠️ Chọn hạng mục cụ thể",$C1368*VLOOKUP($B1368,'4. CÀI ĐẶT'!$A$2:$H$32,2,FALSE)))</f>
        <v/>
      </c>
      <c r="F1368" s="67">
        <f>IF($B1368="",0,IF(LEFT($B1368,1)="━",0,$C1368*VLOOKUP($B1368,'4. CÀI ĐẶT'!$A$2:$H$32,3,FALSE)))</f>
        <v/>
      </c>
      <c r="G1368" s="67">
        <f>IF($B1368="",0,IF(LEFT($B1368,1)="━",0,$C1368*VLOOKUP($B1368,'4. CÀI ĐẶT'!$A$2:$H$32,4,FALSE)))</f>
        <v/>
      </c>
      <c r="H1368" s="67">
        <f>IF($B1368="",0,IF(LEFT($B1368,1)="━",0,$C1368*VLOOKUP($B1368,'4. CÀI ĐẶT'!$A$2:$H$32,5,FALSE)))</f>
        <v/>
      </c>
      <c r="I1368">
        <f>IF($B1368="","",IF(LEFT($B1368,1)="━","",VLOOKUP($B1368,'4. CÀI ĐẶT'!$A$2:$H$32,6,FALSE)))</f>
        <v/>
      </c>
      <c r="J1368" s="13">
        <f>IF($A1368="","",EOMONTH($A1368,0))</f>
        <v/>
      </c>
      <c r="K1368" s="67">
        <f>IF($B1368="",0,IF(LEFT($B1368,1)="━",0,$C1368*VLOOKUP($B1368,'4. CÀI ĐẶT'!$A$2:$H$32,7,FALSE)))</f>
        <v/>
      </c>
    </row>
    <row r="1369">
      <c r="A1369" s="8" t="n"/>
      <c r="B1369" s="9" t="n"/>
      <c r="C1369" s="65" t="n"/>
      <c r="D1369" s="9" t="n"/>
      <c r="E1369" s="66">
        <f>IF($B1369="","",IF(LEFT($B1369,1)="━","⚠️ Chọn hạng mục cụ thể",$C1369*VLOOKUP($B1369,'4. CÀI ĐẶT'!$A$2:$H$32,2,FALSE)))</f>
        <v/>
      </c>
      <c r="F1369" s="67">
        <f>IF($B1369="",0,IF(LEFT($B1369,1)="━",0,$C1369*VLOOKUP($B1369,'4. CÀI ĐẶT'!$A$2:$H$32,3,FALSE)))</f>
        <v/>
      </c>
      <c r="G1369" s="67">
        <f>IF($B1369="",0,IF(LEFT($B1369,1)="━",0,$C1369*VLOOKUP($B1369,'4. CÀI ĐẶT'!$A$2:$H$32,4,FALSE)))</f>
        <v/>
      </c>
      <c r="H1369" s="67">
        <f>IF($B1369="",0,IF(LEFT($B1369,1)="━",0,$C1369*VLOOKUP($B1369,'4. CÀI ĐẶT'!$A$2:$H$32,5,FALSE)))</f>
        <v/>
      </c>
      <c r="I1369">
        <f>IF($B1369="","",IF(LEFT($B1369,1)="━","",VLOOKUP($B1369,'4. CÀI ĐẶT'!$A$2:$H$32,6,FALSE)))</f>
        <v/>
      </c>
      <c r="J1369" s="13">
        <f>IF($A1369="","",EOMONTH($A1369,0))</f>
        <v/>
      </c>
      <c r="K1369" s="67">
        <f>IF($B1369="",0,IF(LEFT($B1369,1)="━",0,$C1369*VLOOKUP($B1369,'4. CÀI ĐẶT'!$A$2:$H$32,7,FALSE)))</f>
        <v/>
      </c>
    </row>
    <row r="1370">
      <c r="A1370" s="8" t="n"/>
      <c r="B1370" s="9" t="n"/>
      <c r="C1370" s="65" t="n"/>
      <c r="D1370" s="9" t="n"/>
      <c r="E1370" s="66">
        <f>IF($B1370="","",IF(LEFT($B1370,1)="━","⚠️ Chọn hạng mục cụ thể",$C1370*VLOOKUP($B1370,'4. CÀI ĐẶT'!$A$2:$H$32,2,FALSE)))</f>
        <v/>
      </c>
      <c r="F1370" s="67">
        <f>IF($B1370="",0,IF(LEFT($B1370,1)="━",0,$C1370*VLOOKUP($B1370,'4. CÀI ĐẶT'!$A$2:$H$32,3,FALSE)))</f>
        <v/>
      </c>
      <c r="G1370" s="67">
        <f>IF($B1370="",0,IF(LEFT($B1370,1)="━",0,$C1370*VLOOKUP($B1370,'4. CÀI ĐẶT'!$A$2:$H$32,4,FALSE)))</f>
        <v/>
      </c>
      <c r="H1370" s="67">
        <f>IF($B1370="",0,IF(LEFT($B1370,1)="━",0,$C1370*VLOOKUP($B1370,'4. CÀI ĐẶT'!$A$2:$H$32,5,FALSE)))</f>
        <v/>
      </c>
      <c r="I1370">
        <f>IF($B1370="","",IF(LEFT($B1370,1)="━","",VLOOKUP($B1370,'4. CÀI ĐẶT'!$A$2:$H$32,6,FALSE)))</f>
        <v/>
      </c>
      <c r="J1370" s="13">
        <f>IF($A1370="","",EOMONTH($A1370,0))</f>
        <v/>
      </c>
      <c r="K1370" s="67">
        <f>IF($B1370="",0,IF(LEFT($B1370,1)="━",0,$C1370*VLOOKUP($B1370,'4. CÀI ĐẶT'!$A$2:$H$32,7,FALSE)))</f>
        <v/>
      </c>
    </row>
    <row r="1371">
      <c r="A1371" s="8" t="n"/>
      <c r="B1371" s="9" t="n"/>
      <c r="C1371" s="65" t="n"/>
      <c r="D1371" s="9" t="n"/>
      <c r="E1371" s="66">
        <f>IF($B1371="","",IF(LEFT($B1371,1)="━","⚠️ Chọn hạng mục cụ thể",$C1371*VLOOKUP($B1371,'4. CÀI ĐẶT'!$A$2:$H$32,2,FALSE)))</f>
        <v/>
      </c>
      <c r="F1371" s="67">
        <f>IF($B1371="",0,IF(LEFT($B1371,1)="━",0,$C1371*VLOOKUP($B1371,'4. CÀI ĐẶT'!$A$2:$H$32,3,FALSE)))</f>
        <v/>
      </c>
      <c r="G1371" s="67">
        <f>IF($B1371="",0,IF(LEFT($B1371,1)="━",0,$C1371*VLOOKUP($B1371,'4. CÀI ĐẶT'!$A$2:$H$32,4,FALSE)))</f>
        <v/>
      </c>
      <c r="H1371" s="67">
        <f>IF($B1371="",0,IF(LEFT($B1371,1)="━",0,$C1371*VLOOKUP($B1371,'4. CÀI ĐẶT'!$A$2:$H$32,5,FALSE)))</f>
        <v/>
      </c>
      <c r="I1371">
        <f>IF($B1371="","",IF(LEFT($B1371,1)="━","",VLOOKUP($B1371,'4. CÀI ĐẶT'!$A$2:$H$32,6,FALSE)))</f>
        <v/>
      </c>
      <c r="J1371" s="13">
        <f>IF($A1371="","",EOMONTH($A1371,0))</f>
        <v/>
      </c>
      <c r="K1371" s="67">
        <f>IF($B1371="",0,IF(LEFT($B1371,1)="━",0,$C1371*VLOOKUP($B1371,'4. CÀI ĐẶT'!$A$2:$H$32,7,FALSE)))</f>
        <v/>
      </c>
    </row>
    <row r="1372">
      <c r="A1372" s="8" t="n"/>
      <c r="B1372" s="9" t="n"/>
      <c r="C1372" s="65" t="n"/>
      <c r="D1372" s="9" t="n"/>
      <c r="E1372" s="66">
        <f>IF($B1372="","",IF(LEFT($B1372,1)="━","⚠️ Chọn hạng mục cụ thể",$C1372*VLOOKUP($B1372,'4. CÀI ĐẶT'!$A$2:$H$32,2,FALSE)))</f>
        <v/>
      </c>
      <c r="F1372" s="67">
        <f>IF($B1372="",0,IF(LEFT($B1372,1)="━",0,$C1372*VLOOKUP($B1372,'4. CÀI ĐẶT'!$A$2:$H$32,3,FALSE)))</f>
        <v/>
      </c>
      <c r="G1372" s="67">
        <f>IF($B1372="",0,IF(LEFT($B1372,1)="━",0,$C1372*VLOOKUP($B1372,'4. CÀI ĐẶT'!$A$2:$H$32,4,FALSE)))</f>
        <v/>
      </c>
      <c r="H1372" s="67">
        <f>IF($B1372="",0,IF(LEFT($B1372,1)="━",0,$C1372*VLOOKUP($B1372,'4. CÀI ĐẶT'!$A$2:$H$32,5,FALSE)))</f>
        <v/>
      </c>
      <c r="I1372">
        <f>IF($B1372="","",IF(LEFT($B1372,1)="━","",VLOOKUP($B1372,'4. CÀI ĐẶT'!$A$2:$H$32,6,FALSE)))</f>
        <v/>
      </c>
      <c r="J1372" s="13">
        <f>IF($A1372="","",EOMONTH($A1372,0))</f>
        <v/>
      </c>
      <c r="K1372" s="67">
        <f>IF($B1372="",0,IF(LEFT($B1372,1)="━",0,$C1372*VLOOKUP($B1372,'4. CÀI ĐẶT'!$A$2:$H$32,7,FALSE)))</f>
        <v/>
      </c>
    </row>
    <row r="1373">
      <c r="A1373" s="8" t="n"/>
      <c r="B1373" s="9" t="n"/>
      <c r="C1373" s="65" t="n"/>
      <c r="D1373" s="9" t="n"/>
      <c r="E1373" s="66">
        <f>IF($B1373="","",IF(LEFT($B1373,1)="━","⚠️ Chọn hạng mục cụ thể",$C1373*VLOOKUP($B1373,'4. CÀI ĐẶT'!$A$2:$H$32,2,FALSE)))</f>
        <v/>
      </c>
      <c r="F1373" s="67">
        <f>IF($B1373="",0,IF(LEFT($B1373,1)="━",0,$C1373*VLOOKUP($B1373,'4. CÀI ĐẶT'!$A$2:$H$32,3,FALSE)))</f>
        <v/>
      </c>
      <c r="G1373" s="67">
        <f>IF($B1373="",0,IF(LEFT($B1373,1)="━",0,$C1373*VLOOKUP($B1373,'4. CÀI ĐẶT'!$A$2:$H$32,4,FALSE)))</f>
        <v/>
      </c>
      <c r="H1373" s="67">
        <f>IF($B1373="",0,IF(LEFT($B1373,1)="━",0,$C1373*VLOOKUP($B1373,'4. CÀI ĐẶT'!$A$2:$H$32,5,FALSE)))</f>
        <v/>
      </c>
      <c r="I1373">
        <f>IF($B1373="","",IF(LEFT($B1373,1)="━","",VLOOKUP($B1373,'4. CÀI ĐẶT'!$A$2:$H$32,6,FALSE)))</f>
        <v/>
      </c>
      <c r="J1373" s="13">
        <f>IF($A1373="","",EOMONTH($A1373,0))</f>
        <v/>
      </c>
      <c r="K1373" s="67">
        <f>IF($B1373="",0,IF(LEFT($B1373,1)="━",0,$C1373*VLOOKUP($B1373,'4. CÀI ĐẶT'!$A$2:$H$32,7,FALSE)))</f>
        <v/>
      </c>
    </row>
    <row r="1374">
      <c r="A1374" s="8" t="n"/>
      <c r="B1374" s="9" t="n"/>
      <c r="C1374" s="65" t="n"/>
      <c r="D1374" s="9" t="n"/>
      <c r="E1374" s="66">
        <f>IF($B1374="","",IF(LEFT($B1374,1)="━","⚠️ Chọn hạng mục cụ thể",$C1374*VLOOKUP($B1374,'4. CÀI ĐẶT'!$A$2:$H$32,2,FALSE)))</f>
        <v/>
      </c>
      <c r="F1374" s="67">
        <f>IF($B1374="",0,IF(LEFT($B1374,1)="━",0,$C1374*VLOOKUP($B1374,'4. CÀI ĐẶT'!$A$2:$H$32,3,FALSE)))</f>
        <v/>
      </c>
      <c r="G1374" s="67">
        <f>IF($B1374="",0,IF(LEFT($B1374,1)="━",0,$C1374*VLOOKUP($B1374,'4. CÀI ĐẶT'!$A$2:$H$32,4,FALSE)))</f>
        <v/>
      </c>
      <c r="H1374" s="67">
        <f>IF($B1374="",0,IF(LEFT($B1374,1)="━",0,$C1374*VLOOKUP($B1374,'4. CÀI ĐẶT'!$A$2:$H$32,5,FALSE)))</f>
        <v/>
      </c>
      <c r="I1374">
        <f>IF($B1374="","",IF(LEFT($B1374,1)="━","",VLOOKUP($B1374,'4. CÀI ĐẶT'!$A$2:$H$32,6,FALSE)))</f>
        <v/>
      </c>
      <c r="J1374" s="13">
        <f>IF($A1374="","",EOMONTH($A1374,0))</f>
        <v/>
      </c>
      <c r="K1374" s="67">
        <f>IF($B1374="",0,IF(LEFT($B1374,1)="━",0,$C1374*VLOOKUP($B1374,'4. CÀI ĐẶT'!$A$2:$H$32,7,FALSE)))</f>
        <v/>
      </c>
    </row>
    <row r="1375">
      <c r="A1375" s="8" t="n"/>
      <c r="B1375" s="9" t="n"/>
      <c r="C1375" s="65" t="n"/>
      <c r="D1375" s="9" t="n"/>
      <c r="E1375" s="66">
        <f>IF($B1375="","",IF(LEFT($B1375,1)="━","⚠️ Chọn hạng mục cụ thể",$C1375*VLOOKUP($B1375,'4. CÀI ĐẶT'!$A$2:$H$32,2,FALSE)))</f>
        <v/>
      </c>
      <c r="F1375" s="67">
        <f>IF($B1375="",0,IF(LEFT($B1375,1)="━",0,$C1375*VLOOKUP($B1375,'4. CÀI ĐẶT'!$A$2:$H$32,3,FALSE)))</f>
        <v/>
      </c>
      <c r="G1375" s="67">
        <f>IF($B1375="",0,IF(LEFT($B1375,1)="━",0,$C1375*VLOOKUP($B1375,'4. CÀI ĐẶT'!$A$2:$H$32,4,FALSE)))</f>
        <v/>
      </c>
      <c r="H1375" s="67">
        <f>IF($B1375="",0,IF(LEFT($B1375,1)="━",0,$C1375*VLOOKUP($B1375,'4. CÀI ĐẶT'!$A$2:$H$32,5,FALSE)))</f>
        <v/>
      </c>
      <c r="I1375">
        <f>IF($B1375="","",IF(LEFT($B1375,1)="━","",VLOOKUP($B1375,'4. CÀI ĐẶT'!$A$2:$H$32,6,FALSE)))</f>
        <v/>
      </c>
      <c r="J1375" s="13">
        <f>IF($A1375="","",EOMONTH($A1375,0))</f>
        <v/>
      </c>
      <c r="K1375" s="67">
        <f>IF($B1375="",0,IF(LEFT($B1375,1)="━",0,$C1375*VLOOKUP($B1375,'4. CÀI ĐẶT'!$A$2:$H$32,7,FALSE)))</f>
        <v/>
      </c>
    </row>
    <row r="1376">
      <c r="A1376" s="8" t="n"/>
      <c r="B1376" s="9" t="n"/>
      <c r="C1376" s="65" t="n"/>
      <c r="D1376" s="9" t="n"/>
      <c r="E1376" s="66">
        <f>IF($B1376="","",IF(LEFT($B1376,1)="━","⚠️ Chọn hạng mục cụ thể",$C1376*VLOOKUP($B1376,'4. CÀI ĐẶT'!$A$2:$H$32,2,FALSE)))</f>
        <v/>
      </c>
      <c r="F1376" s="67">
        <f>IF($B1376="",0,IF(LEFT($B1376,1)="━",0,$C1376*VLOOKUP($B1376,'4. CÀI ĐẶT'!$A$2:$H$32,3,FALSE)))</f>
        <v/>
      </c>
      <c r="G1376" s="67">
        <f>IF($B1376="",0,IF(LEFT($B1376,1)="━",0,$C1376*VLOOKUP($B1376,'4. CÀI ĐẶT'!$A$2:$H$32,4,FALSE)))</f>
        <v/>
      </c>
      <c r="H1376" s="67">
        <f>IF($B1376="",0,IF(LEFT($B1376,1)="━",0,$C1376*VLOOKUP($B1376,'4. CÀI ĐẶT'!$A$2:$H$32,5,FALSE)))</f>
        <v/>
      </c>
      <c r="I1376">
        <f>IF($B1376="","",IF(LEFT($B1376,1)="━","",VLOOKUP($B1376,'4. CÀI ĐẶT'!$A$2:$H$32,6,FALSE)))</f>
        <v/>
      </c>
      <c r="J1376" s="13">
        <f>IF($A1376="","",EOMONTH($A1376,0))</f>
        <v/>
      </c>
      <c r="K1376" s="67">
        <f>IF($B1376="",0,IF(LEFT($B1376,1)="━",0,$C1376*VLOOKUP($B1376,'4. CÀI ĐẶT'!$A$2:$H$32,7,FALSE)))</f>
        <v/>
      </c>
    </row>
    <row r="1377">
      <c r="A1377" s="8" t="n"/>
      <c r="B1377" s="9" t="n"/>
      <c r="C1377" s="65" t="n"/>
      <c r="D1377" s="9" t="n"/>
      <c r="E1377" s="66">
        <f>IF($B1377="","",IF(LEFT($B1377,1)="━","⚠️ Chọn hạng mục cụ thể",$C1377*VLOOKUP($B1377,'4. CÀI ĐẶT'!$A$2:$H$32,2,FALSE)))</f>
        <v/>
      </c>
      <c r="F1377" s="67">
        <f>IF($B1377="",0,IF(LEFT($B1377,1)="━",0,$C1377*VLOOKUP($B1377,'4. CÀI ĐẶT'!$A$2:$H$32,3,FALSE)))</f>
        <v/>
      </c>
      <c r="G1377" s="67">
        <f>IF($B1377="",0,IF(LEFT($B1377,1)="━",0,$C1377*VLOOKUP($B1377,'4. CÀI ĐẶT'!$A$2:$H$32,4,FALSE)))</f>
        <v/>
      </c>
      <c r="H1377" s="67">
        <f>IF($B1377="",0,IF(LEFT($B1377,1)="━",0,$C1377*VLOOKUP($B1377,'4. CÀI ĐẶT'!$A$2:$H$32,5,FALSE)))</f>
        <v/>
      </c>
      <c r="I1377">
        <f>IF($B1377="","",IF(LEFT($B1377,1)="━","",VLOOKUP($B1377,'4. CÀI ĐẶT'!$A$2:$H$32,6,FALSE)))</f>
        <v/>
      </c>
      <c r="J1377" s="13">
        <f>IF($A1377="","",EOMONTH($A1377,0))</f>
        <v/>
      </c>
      <c r="K1377" s="67">
        <f>IF($B1377="",0,IF(LEFT($B1377,1)="━",0,$C1377*VLOOKUP($B1377,'4. CÀI ĐẶT'!$A$2:$H$32,7,FALSE)))</f>
        <v/>
      </c>
    </row>
    <row r="1378">
      <c r="A1378" s="8" t="n"/>
      <c r="B1378" s="9" t="n"/>
      <c r="C1378" s="65" t="n"/>
      <c r="D1378" s="9" t="n"/>
      <c r="E1378" s="66">
        <f>IF($B1378="","",IF(LEFT($B1378,1)="━","⚠️ Chọn hạng mục cụ thể",$C1378*VLOOKUP($B1378,'4. CÀI ĐẶT'!$A$2:$H$32,2,FALSE)))</f>
        <v/>
      </c>
      <c r="F1378" s="67">
        <f>IF($B1378="",0,IF(LEFT($B1378,1)="━",0,$C1378*VLOOKUP($B1378,'4. CÀI ĐẶT'!$A$2:$H$32,3,FALSE)))</f>
        <v/>
      </c>
      <c r="G1378" s="67">
        <f>IF($B1378="",0,IF(LEFT($B1378,1)="━",0,$C1378*VLOOKUP($B1378,'4. CÀI ĐẶT'!$A$2:$H$32,4,FALSE)))</f>
        <v/>
      </c>
      <c r="H1378" s="67">
        <f>IF($B1378="",0,IF(LEFT($B1378,1)="━",0,$C1378*VLOOKUP($B1378,'4. CÀI ĐẶT'!$A$2:$H$32,5,FALSE)))</f>
        <v/>
      </c>
      <c r="I1378">
        <f>IF($B1378="","",IF(LEFT($B1378,1)="━","",VLOOKUP($B1378,'4. CÀI ĐẶT'!$A$2:$H$32,6,FALSE)))</f>
        <v/>
      </c>
      <c r="J1378" s="13">
        <f>IF($A1378="","",EOMONTH($A1378,0))</f>
        <v/>
      </c>
      <c r="K1378" s="67">
        <f>IF($B1378="",0,IF(LEFT($B1378,1)="━",0,$C1378*VLOOKUP($B1378,'4. CÀI ĐẶT'!$A$2:$H$32,7,FALSE)))</f>
        <v/>
      </c>
    </row>
    <row r="1379">
      <c r="A1379" s="8" t="n"/>
      <c r="B1379" s="9" t="n"/>
      <c r="C1379" s="65" t="n"/>
      <c r="D1379" s="9" t="n"/>
      <c r="E1379" s="66">
        <f>IF($B1379="","",IF(LEFT($B1379,1)="━","⚠️ Chọn hạng mục cụ thể",$C1379*VLOOKUP($B1379,'4. CÀI ĐẶT'!$A$2:$H$32,2,FALSE)))</f>
        <v/>
      </c>
      <c r="F1379" s="67">
        <f>IF($B1379="",0,IF(LEFT($B1379,1)="━",0,$C1379*VLOOKUP($B1379,'4. CÀI ĐẶT'!$A$2:$H$32,3,FALSE)))</f>
        <v/>
      </c>
      <c r="G1379" s="67">
        <f>IF($B1379="",0,IF(LEFT($B1379,1)="━",0,$C1379*VLOOKUP($B1379,'4. CÀI ĐẶT'!$A$2:$H$32,4,FALSE)))</f>
        <v/>
      </c>
      <c r="H1379" s="67">
        <f>IF($B1379="",0,IF(LEFT($B1379,1)="━",0,$C1379*VLOOKUP($B1379,'4. CÀI ĐẶT'!$A$2:$H$32,5,FALSE)))</f>
        <v/>
      </c>
      <c r="I1379">
        <f>IF($B1379="","",IF(LEFT($B1379,1)="━","",VLOOKUP($B1379,'4. CÀI ĐẶT'!$A$2:$H$32,6,FALSE)))</f>
        <v/>
      </c>
      <c r="J1379" s="13">
        <f>IF($A1379="","",EOMONTH($A1379,0))</f>
        <v/>
      </c>
      <c r="K1379" s="67">
        <f>IF($B1379="",0,IF(LEFT($B1379,1)="━",0,$C1379*VLOOKUP($B1379,'4. CÀI ĐẶT'!$A$2:$H$32,7,FALSE)))</f>
        <v/>
      </c>
    </row>
    <row r="1380">
      <c r="A1380" s="8" t="n"/>
      <c r="B1380" s="9" t="n"/>
      <c r="C1380" s="65" t="n"/>
      <c r="D1380" s="9" t="n"/>
      <c r="E1380" s="66">
        <f>IF($B1380="","",IF(LEFT($B1380,1)="━","⚠️ Chọn hạng mục cụ thể",$C1380*VLOOKUP($B1380,'4. CÀI ĐẶT'!$A$2:$H$32,2,FALSE)))</f>
        <v/>
      </c>
      <c r="F1380" s="67">
        <f>IF($B1380="",0,IF(LEFT($B1380,1)="━",0,$C1380*VLOOKUP($B1380,'4. CÀI ĐẶT'!$A$2:$H$32,3,FALSE)))</f>
        <v/>
      </c>
      <c r="G1380" s="67">
        <f>IF($B1380="",0,IF(LEFT($B1380,1)="━",0,$C1380*VLOOKUP($B1380,'4. CÀI ĐẶT'!$A$2:$H$32,4,FALSE)))</f>
        <v/>
      </c>
      <c r="H1380" s="67">
        <f>IF($B1380="",0,IF(LEFT($B1380,1)="━",0,$C1380*VLOOKUP($B1380,'4. CÀI ĐẶT'!$A$2:$H$32,5,FALSE)))</f>
        <v/>
      </c>
      <c r="I1380">
        <f>IF($B1380="","",IF(LEFT($B1380,1)="━","",VLOOKUP($B1380,'4. CÀI ĐẶT'!$A$2:$H$32,6,FALSE)))</f>
        <v/>
      </c>
      <c r="J1380" s="13">
        <f>IF($A1380="","",EOMONTH($A1380,0))</f>
        <v/>
      </c>
      <c r="K1380" s="67">
        <f>IF($B1380="",0,IF(LEFT($B1380,1)="━",0,$C1380*VLOOKUP($B1380,'4. CÀI ĐẶT'!$A$2:$H$32,7,FALSE)))</f>
        <v/>
      </c>
    </row>
    <row r="1381">
      <c r="A1381" s="8" t="n"/>
      <c r="B1381" s="9" t="n"/>
      <c r="C1381" s="65" t="n"/>
      <c r="D1381" s="9" t="n"/>
      <c r="E1381" s="66">
        <f>IF($B1381="","",IF(LEFT($B1381,1)="━","⚠️ Chọn hạng mục cụ thể",$C1381*VLOOKUP($B1381,'4. CÀI ĐẶT'!$A$2:$H$32,2,FALSE)))</f>
        <v/>
      </c>
      <c r="F1381" s="67">
        <f>IF($B1381="",0,IF(LEFT($B1381,1)="━",0,$C1381*VLOOKUP($B1381,'4. CÀI ĐẶT'!$A$2:$H$32,3,FALSE)))</f>
        <v/>
      </c>
      <c r="G1381" s="67">
        <f>IF($B1381="",0,IF(LEFT($B1381,1)="━",0,$C1381*VLOOKUP($B1381,'4. CÀI ĐẶT'!$A$2:$H$32,4,FALSE)))</f>
        <v/>
      </c>
      <c r="H1381" s="67">
        <f>IF($B1381="",0,IF(LEFT($B1381,1)="━",0,$C1381*VLOOKUP($B1381,'4. CÀI ĐẶT'!$A$2:$H$32,5,FALSE)))</f>
        <v/>
      </c>
      <c r="I1381">
        <f>IF($B1381="","",IF(LEFT($B1381,1)="━","",VLOOKUP($B1381,'4. CÀI ĐẶT'!$A$2:$H$32,6,FALSE)))</f>
        <v/>
      </c>
      <c r="J1381" s="13">
        <f>IF($A1381="","",EOMONTH($A1381,0))</f>
        <v/>
      </c>
      <c r="K1381" s="67">
        <f>IF($B1381="",0,IF(LEFT($B1381,1)="━",0,$C1381*VLOOKUP($B1381,'4. CÀI ĐẶT'!$A$2:$H$32,7,FALSE)))</f>
        <v/>
      </c>
    </row>
    <row r="1382">
      <c r="A1382" s="8" t="n"/>
      <c r="B1382" s="9" t="n"/>
      <c r="C1382" s="65" t="n"/>
      <c r="D1382" s="9" t="n"/>
      <c r="E1382" s="66">
        <f>IF($B1382="","",IF(LEFT($B1382,1)="━","⚠️ Chọn hạng mục cụ thể",$C1382*VLOOKUP($B1382,'4. CÀI ĐẶT'!$A$2:$H$32,2,FALSE)))</f>
        <v/>
      </c>
      <c r="F1382" s="67">
        <f>IF($B1382="",0,IF(LEFT($B1382,1)="━",0,$C1382*VLOOKUP($B1382,'4. CÀI ĐẶT'!$A$2:$H$32,3,FALSE)))</f>
        <v/>
      </c>
      <c r="G1382" s="67">
        <f>IF($B1382="",0,IF(LEFT($B1382,1)="━",0,$C1382*VLOOKUP($B1382,'4. CÀI ĐẶT'!$A$2:$H$32,4,FALSE)))</f>
        <v/>
      </c>
      <c r="H1382" s="67">
        <f>IF($B1382="",0,IF(LEFT($B1382,1)="━",0,$C1382*VLOOKUP($B1382,'4. CÀI ĐẶT'!$A$2:$H$32,5,FALSE)))</f>
        <v/>
      </c>
      <c r="I1382">
        <f>IF($B1382="","",IF(LEFT($B1382,1)="━","",VLOOKUP($B1382,'4. CÀI ĐẶT'!$A$2:$H$32,6,FALSE)))</f>
        <v/>
      </c>
      <c r="J1382" s="13">
        <f>IF($A1382="","",EOMONTH($A1382,0))</f>
        <v/>
      </c>
      <c r="K1382" s="67">
        <f>IF($B1382="",0,IF(LEFT($B1382,1)="━",0,$C1382*VLOOKUP($B1382,'4. CÀI ĐẶT'!$A$2:$H$32,7,FALSE)))</f>
        <v/>
      </c>
    </row>
    <row r="1383">
      <c r="A1383" s="8" t="n"/>
      <c r="B1383" s="9" t="n"/>
      <c r="C1383" s="65" t="n"/>
      <c r="D1383" s="9" t="n"/>
      <c r="E1383" s="66">
        <f>IF($B1383="","",IF(LEFT($B1383,1)="━","⚠️ Chọn hạng mục cụ thể",$C1383*VLOOKUP($B1383,'4. CÀI ĐẶT'!$A$2:$H$32,2,FALSE)))</f>
        <v/>
      </c>
      <c r="F1383" s="67">
        <f>IF($B1383="",0,IF(LEFT($B1383,1)="━",0,$C1383*VLOOKUP($B1383,'4. CÀI ĐẶT'!$A$2:$H$32,3,FALSE)))</f>
        <v/>
      </c>
      <c r="G1383" s="67">
        <f>IF($B1383="",0,IF(LEFT($B1383,1)="━",0,$C1383*VLOOKUP($B1383,'4. CÀI ĐẶT'!$A$2:$H$32,4,FALSE)))</f>
        <v/>
      </c>
      <c r="H1383" s="67">
        <f>IF($B1383="",0,IF(LEFT($B1383,1)="━",0,$C1383*VLOOKUP($B1383,'4. CÀI ĐẶT'!$A$2:$H$32,5,FALSE)))</f>
        <v/>
      </c>
      <c r="I1383">
        <f>IF($B1383="","",IF(LEFT($B1383,1)="━","",VLOOKUP($B1383,'4. CÀI ĐẶT'!$A$2:$H$32,6,FALSE)))</f>
        <v/>
      </c>
      <c r="J1383" s="13">
        <f>IF($A1383="","",EOMONTH($A1383,0))</f>
        <v/>
      </c>
      <c r="K1383" s="67">
        <f>IF($B1383="",0,IF(LEFT($B1383,1)="━",0,$C1383*VLOOKUP($B1383,'4. CÀI ĐẶT'!$A$2:$H$32,7,FALSE)))</f>
        <v/>
      </c>
    </row>
    <row r="1384">
      <c r="A1384" s="8" t="n"/>
      <c r="B1384" s="9" t="n"/>
      <c r="C1384" s="65" t="n"/>
      <c r="D1384" s="9" t="n"/>
      <c r="E1384" s="66">
        <f>IF($B1384="","",IF(LEFT($B1384,1)="━","⚠️ Chọn hạng mục cụ thể",$C1384*VLOOKUP($B1384,'4. CÀI ĐẶT'!$A$2:$H$32,2,FALSE)))</f>
        <v/>
      </c>
      <c r="F1384" s="67">
        <f>IF($B1384="",0,IF(LEFT($B1384,1)="━",0,$C1384*VLOOKUP($B1384,'4. CÀI ĐẶT'!$A$2:$H$32,3,FALSE)))</f>
        <v/>
      </c>
      <c r="G1384" s="67">
        <f>IF($B1384="",0,IF(LEFT($B1384,1)="━",0,$C1384*VLOOKUP($B1384,'4. CÀI ĐẶT'!$A$2:$H$32,4,FALSE)))</f>
        <v/>
      </c>
      <c r="H1384" s="67">
        <f>IF($B1384="",0,IF(LEFT($B1384,1)="━",0,$C1384*VLOOKUP($B1384,'4. CÀI ĐẶT'!$A$2:$H$32,5,FALSE)))</f>
        <v/>
      </c>
      <c r="I1384">
        <f>IF($B1384="","",IF(LEFT($B1384,1)="━","",VLOOKUP($B1384,'4. CÀI ĐẶT'!$A$2:$H$32,6,FALSE)))</f>
        <v/>
      </c>
      <c r="J1384" s="13">
        <f>IF($A1384="","",EOMONTH($A1384,0))</f>
        <v/>
      </c>
      <c r="K1384" s="67">
        <f>IF($B1384="",0,IF(LEFT($B1384,1)="━",0,$C1384*VLOOKUP($B1384,'4. CÀI ĐẶT'!$A$2:$H$32,7,FALSE)))</f>
        <v/>
      </c>
    </row>
    <row r="1385">
      <c r="A1385" s="8" t="n"/>
      <c r="B1385" s="9" t="n"/>
      <c r="C1385" s="65" t="n"/>
      <c r="D1385" s="9" t="n"/>
      <c r="E1385" s="66">
        <f>IF($B1385="","",IF(LEFT($B1385,1)="━","⚠️ Chọn hạng mục cụ thể",$C1385*VLOOKUP($B1385,'4. CÀI ĐẶT'!$A$2:$H$32,2,FALSE)))</f>
        <v/>
      </c>
      <c r="F1385" s="67">
        <f>IF($B1385="",0,IF(LEFT($B1385,1)="━",0,$C1385*VLOOKUP($B1385,'4. CÀI ĐẶT'!$A$2:$H$32,3,FALSE)))</f>
        <v/>
      </c>
      <c r="G1385" s="67">
        <f>IF($B1385="",0,IF(LEFT($B1385,1)="━",0,$C1385*VLOOKUP($B1385,'4. CÀI ĐẶT'!$A$2:$H$32,4,FALSE)))</f>
        <v/>
      </c>
      <c r="H1385" s="67">
        <f>IF($B1385="",0,IF(LEFT($B1385,1)="━",0,$C1385*VLOOKUP($B1385,'4. CÀI ĐẶT'!$A$2:$H$32,5,FALSE)))</f>
        <v/>
      </c>
      <c r="I1385">
        <f>IF($B1385="","",IF(LEFT($B1385,1)="━","",VLOOKUP($B1385,'4. CÀI ĐẶT'!$A$2:$H$32,6,FALSE)))</f>
        <v/>
      </c>
      <c r="J1385" s="13">
        <f>IF($A1385="","",EOMONTH($A1385,0))</f>
        <v/>
      </c>
      <c r="K1385" s="67">
        <f>IF($B1385="",0,IF(LEFT($B1385,1)="━",0,$C1385*VLOOKUP($B1385,'4. CÀI ĐẶT'!$A$2:$H$32,7,FALSE)))</f>
        <v/>
      </c>
    </row>
    <row r="1386">
      <c r="A1386" s="8" t="n"/>
      <c r="B1386" s="9" t="n"/>
      <c r="C1386" s="65" t="n"/>
      <c r="D1386" s="9" t="n"/>
      <c r="E1386" s="66">
        <f>IF($B1386="","",IF(LEFT($B1386,1)="━","⚠️ Chọn hạng mục cụ thể",$C1386*VLOOKUP($B1386,'4. CÀI ĐẶT'!$A$2:$H$32,2,FALSE)))</f>
        <v/>
      </c>
      <c r="F1386" s="67">
        <f>IF($B1386="",0,IF(LEFT($B1386,1)="━",0,$C1386*VLOOKUP($B1386,'4. CÀI ĐẶT'!$A$2:$H$32,3,FALSE)))</f>
        <v/>
      </c>
      <c r="G1386" s="67">
        <f>IF($B1386="",0,IF(LEFT($B1386,1)="━",0,$C1386*VLOOKUP($B1386,'4. CÀI ĐẶT'!$A$2:$H$32,4,FALSE)))</f>
        <v/>
      </c>
      <c r="H1386" s="67">
        <f>IF($B1386="",0,IF(LEFT($B1386,1)="━",0,$C1386*VLOOKUP($B1386,'4. CÀI ĐẶT'!$A$2:$H$32,5,FALSE)))</f>
        <v/>
      </c>
      <c r="I1386">
        <f>IF($B1386="","",IF(LEFT($B1386,1)="━","",VLOOKUP($B1386,'4. CÀI ĐẶT'!$A$2:$H$32,6,FALSE)))</f>
        <v/>
      </c>
      <c r="J1386" s="13">
        <f>IF($A1386="","",EOMONTH($A1386,0))</f>
        <v/>
      </c>
      <c r="K1386" s="67">
        <f>IF($B1386="",0,IF(LEFT($B1386,1)="━",0,$C1386*VLOOKUP($B1386,'4. CÀI ĐẶT'!$A$2:$H$32,7,FALSE)))</f>
        <v/>
      </c>
    </row>
    <row r="1387">
      <c r="A1387" s="8" t="n"/>
      <c r="B1387" s="9" t="n"/>
      <c r="C1387" s="65" t="n"/>
      <c r="D1387" s="9" t="n"/>
      <c r="E1387" s="66">
        <f>IF($B1387="","",IF(LEFT($B1387,1)="━","⚠️ Chọn hạng mục cụ thể",$C1387*VLOOKUP($B1387,'4. CÀI ĐẶT'!$A$2:$H$32,2,FALSE)))</f>
        <v/>
      </c>
      <c r="F1387" s="67">
        <f>IF($B1387="",0,IF(LEFT($B1387,1)="━",0,$C1387*VLOOKUP($B1387,'4. CÀI ĐẶT'!$A$2:$H$32,3,FALSE)))</f>
        <v/>
      </c>
      <c r="G1387" s="67">
        <f>IF($B1387="",0,IF(LEFT($B1387,1)="━",0,$C1387*VLOOKUP($B1387,'4. CÀI ĐẶT'!$A$2:$H$32,4,FALSE)))</f>
        <v/>
      </c>
      <c r="H1387" s="67">
        <f>IF($B1387="",0,IF(LEFT($B1387,1)="━",0,$C1387*VLOOKUP($B1387,'4. CÀI ĐẶT'!$A$2:$H$32,5,FALSE)))</f>
        <v/>
      </c>
      <c r="I1387">
        <f>IF($B1387="","",IF(LEFT($B1387,1)="━","",VLOOKUP($B1387,'4. CÀI ĐẶT'!$A$2:$H$32,6,FALSE)))</f>
        <v/>
      </c>
      <c r="J1387" s="13">
        <f>IF($A1387="","",EOMONTH($A1387,0))</f>
        <v/>
      </c>
      <c r="K1387" s="67">
        <f>IF($B1387="",0,IF(LEFT($B1387,1)="━",0,$C1387*VLOOKUP($B1387,'4. CÀI ĐẶT'!$A$2:$H$32,7,FALSE)))</f>
        <v/>
      </c>
    </row>
    <row r="1388">
      <c r="A1388" s="8" t="n"/>
      <c r="B1388" s="9" t="n"/>
      <c r="C1388" s="65" t="n"/>
      <c r="D1388" s="9" t="n"/>
      <c r="E1388" s="66">
        <f>IF($B1388="","",IF(LEFT($B1388,1)="━","⚠️ Chọn hạng mục cụ thể",$C1388*VLOOKUP($B1388,'4. CÀI ĐẶT'!$A$2:$H$32,2,FALSE)))</f>
        <v/>
      </c>
      <c r="F1388" s="67">
        <f>IF($B1388="",0,IF(LEFT($B1388,1)="━",0,$C1388*VLOOKUP($B1388,'4. CÀI ĐẶT'!$A$2:$H$32,3,FALSE)))</f>
        <v/>
      </c>
      <c r="G1388" s="67">
        <f>IF($B1388="",0,IF(LEFT($B1388,1)="━",0,$C1388*VLOOKUP($B1388,'4. CÀI ĐẶT'!$A$2:$H$32,4,FALSE)))</f>
        <v/>
      </c>
      <c r="H1388" s="67">
        <f>IF($B1388="",0,IF(LEFT($B1388,1)="━",0,$C1388*VLOOKUP($B1388,'4. CÀI ĐẶT'!$A$2:$H$32,5,FALSE)))</f>
        <v/>
      </c>
      <c r="I1388">
        <f>IF($B1388="","",IF(LEFT($B1388,1)="━","",VLOOKUP($B1388,'4. CÀI ĐẶT'!$A$2:$H$32,6,FALSE)))</f>
        <v/>
      </c>
      <c r="J1388" s="13">
        <f>IF($A1388="","",EOMONTH($A1388,0))</f>
        <v/>
      </c>
      <c r="K1388" s="67">
        <f>IF($B1388="",0,IF(LEFT($B1388,1)="━",0,$C1388*VLOOKUP($B1388,'4. CÀI ĐẶT'!$A$2:$H$32,7,FALSE)))</f>
        <v/>
      </c>
    </row>
    <row r="1389">
      <c r="A1389" s="8" t="n"/>
      <c r="B1389" s="9" t="n"/>
      <c r="C1389" s="65" t="n"/>
      <c r="D1389" s="9" t="n"/>
      <c r="E1389" s="66">
        <f>IF($B1389="","",IF(LEFT($B1389,1)="━","⚠️ Chọn hạng mục cụ thể",$C1389*VLOOKUP($B1389,'4. CÀI ĐẶT'!$A$2:$H$32,2,FALSE)))</f>
        <v/>
      </c>
      <c r="F1389" s="67">
        <f>IF($B1389="",0,IF(LEFT($B1389,1)="━",0,$C1389*VLOOKUP($B1389,'4. CÀI ĐẶT'!$A$2:$H$32,3,FALSE)))</f>
        <v/>
      </c>
      <c r="G1389" s="67">
        <f>IF($B1389="",0,IF(LEFT($B1389,1)="━",0,$C1389*VLOOKUP($B1389,'4. CÀI ĐẶT'!$A$2:$H$32,4,FALSE)))</f>
        <v/>
      </c>
      <c r="H1389" s="67">
        <f>IF($B1389="",0,IF(LEFT($B1389,1)="━",0,$C1389*VLOOKUP($B1389,'4. CÀI ĐẶT'!$A$2:$H$32,5,FALSE)))</f>
        <v/>
      </c>
      <c r="I1389">
        <f>IF($B1389="","",IF(LEFT($B1389,1)="━","",VLOOKUP($B1389,'4. CÀI ĐẶT'!$A$2:$H$32,6,FALSE)))</f>
        <v/>
      </c>
      <c r="J1389" s="13">
        <f>IF($A1389="","",EOMONTH($A1389,0))</f>
        <v/>
      </c>
      <c r="K1389" s="67">
        <f>IF($B1389="",0,IF(LEFT($B1389,1)="━",0,$C1389*VLOOKUP($B1389,'4. CÀI ĐẶT'!$A$2:$H$32,7,FALSE)))</f>
        <v/>
      </c>
    </row>
    <row r="1390">
      <c r="A1390" s="8" t="n"/>
      <c r="B1390" s="9" t="n"/>
      <c r="C1390" s="65" t="n"/>
      <c r="D1390" s="9" t="n"/>
      <c r="E1390" s="66">
        <f>IF($B1390="","",IF(LEFT($B1390,1)="━","⚠️ Chọn hạng mục cụ thể",$C1390*VLOOKUP($B1390,'4. CÀI ĐẶT'!$A$2:$H$32,2,FALSE)))</f>
        <v/>
      </c>
      <c r="F1390" s="67">
        <f>IF($B1390="",0,IF(LEFT($B1390,1)="━",0,$C1390*VLOOKUP($B1390,'4. CÀI ĐẶT'!$A$2:$H$32,3,FALSE)))</f>
        <v/>
      </c>
      <c r="G1390" s="67">
        <f>IF($B1390="",0,IF(LEFT($B1390,1)="━",0,$C1390*VLOOKUP($B1390,'4. CÀI ĐẶT'!$A$2:$H$32,4,FALSE)))</f>
        <v/>
      </c>
      <c r="H1390" s="67">
        <f>IF($B1390="",0,IF(LEFT($B1390,1)="━",0,$C1390*VLOOKUP($B1390,'4. CÀI ĐẶT'!$A$2:$H$32,5,FALSE)))</f>
        <v/>
      </c>
      <c r="I1390">
        <f>IF($B1390="","",IF(LEFT($B1390,1)="━","",VLOOKUP($B1390,'4. CÀI ĐẶT'!$A$2:$H$32,6,FALSE)))</f>
        <v/>
      </c>
      <c r="J1390" s="13">
        <f>IF($A1390="","",EOMONTH($A1390,0))</f>
        <v/>
      </c>
      <c r="K1390" s="67">
        <f>IF($B1390="",0,IF(LEFT($B1390,1)="━",0,$C1390*VLOOKUP($B1390,'4. CÀI ĐẶT'!$A$2:$H$32,7,FALSE)))</f>
        <v/>
      </c>
    </row>
    <row r="1391">
      <c r="A1391" s="8" t="n"/>
      <c r="B1391" s="9" t="n"/>
      <c r="C1391" s="65" t="n"/>
      <c r="D1391" s="9" t="n"/>
      <c r="E1391" s="66">
        <f>IF($B1391="","",IF(LEFT($B1391,1)="━","⚠️ Chọn hạng mục cụ thể",$C1391*VLOOKUP($B1391,'4. CÀI ĐẶT'!$A$2:$H$32,2,FALSE)))</f>
        <v/>
      </c>
      <c r="F1391" s="67">
        <f>IF($B1391="",0,IF(LEFT($B1391,1)="━",0,$C1391*VLOOKUP($B1391,'4. CÀI ĐẶT'!$A$2:$H$32,3,FALSE)))</f>
        <v/>
      </c>
      <c r="G1391" s="67">
        <f>IF($B1391="",0,IF(LEFT($B1391,1)="━",0,$C1391*VLOOKUP($B1391,'4. CÀI ĐẶT'!$A$2:$H$32,4,FALSE)))</f>
        <v/>
      </c>
      <c r="H1391" s="67">
        <f>IF($B1391="",0,IF(LEFT($B1391,1)="━",0,$C1391*VLOOKUP($B1391,'4. CÀI ĐẶT'!$A$2:$H$32,5,FALSE)))</f>
        <v/>
      </c>
      <c r="I1391">
        <f>IF($B1391="","",IF(LEFT($B1391,1)="━","",VLOOKUP($B1391,'4. CÀI ĐẶT'!$A$2:$H$32,6,FALSE)))</f>
        <v/>
      </c>
      <c r="J1391" s="13">
        <f>IF($A1391="","",EOMONTH($A1391,0))</f>
        <v/>
      </c>
      <c r="K1391" s="67">
        <f>IF($B1391="",0,IF(LEFT($B1391,1)="━",0,$C1391*VLOOKUP($B1391,'4. CÀI ĐẶT'!$A$2:$H$32,7,FALSE)))</f>
        <v/>
      </c>
    </row>
    <row r="1392">
      <c r="A1392" s="8" t="n"/>
      <c r="B1392" s="9" t="n"/>
      <c r="C1392" s="65" t="n"/>
      <c r="D1392" s="9" t="n"/>
      <c r="E1392" s="66">
        <f>IF($B1392="","",IF(LEFT($B1392,1)="━","⚠️ Chọn hạng mục cụ thể",$C1392*VLOOKUP($B1392,'4. CÀI ĐẶT'!$A$2:$H$32,2,FALSE)))</f>
        <v/>
      </c>
      <c r="F1392" s="67">
        <f>IF($B1392="",0,IF(LEFT($B1392,1)="━",0,$C1392*VLOOKUP($B1392,'4. CÀI ĐẶT'!$A$2:$H$32,3,FALSE)))</f>
        <v/>
      </c>
      <c r="G1392" s="67">
        <f>IF($B1392="",0,IF(LEFT($B1392,1)="━",0,$C1392*VLOOKUP($B1392,'4. CÀI ĐẶT'!$A$2:$H$32,4,FALSE)))</f>
        <v/>
      </c>
      <c r="H1392" s="67">
        <f>IF($B1392="",0,IF(LEFT($B1392,1)="━",0,$C1392*VLOOKUP($B1392,'4. CÀI ĐẶT'!$A$2:$H$32,5,FALSE)))</f>
        <v/>
      </c>
      <c r="I1392">
        <f>IF($B1392="","",IF(LEFT($B1392,1)="━","",VLOOKUP($B1392,'4. CÀI ĐẶT'!$A$2:$H$32,6,FALSE)))</f>
        <v/>
      </c>
      <c r="J1392" s="13">
        <f>IF($A1392="","",EOMONTH($A1392,0))</f>
        <v/>
      </c>
      <c r="K1392" s="67">
        <f>IF($B1392="",0,IF(LEFT($B1392,1)="━",0,$C1392*VLOOKUP($B1392,'4. CÀI ĐẶT'!$A$2:$H$32,7,FALSE)))</f>
        <v/>
      </c>
    </row>
    <row r="1393">
      <c r="A1393" s="8" t="n"/>
      <c r="B1393" s="9" t="n"/>
      <c r="C1393" s="65" t="n"/>
      <c r="D1393" s="9" t="n"/>
      <c r="E1393" s="66">
        <f>IF($B1393="","",IF(LEFT($B1393,1)="━","⚠️ Chọn hạng mục cụ thể",$C1393*VLOOKUP($B1393,'4. CÀI ĐẶT'!$A$2:$H$32,2,FALSE)))</f>
        <v/>
      </c>
      <c r="F1393" s="67">
        <f>IF($B1393="",0,IF(LEFT($B1393,1)="━",0,$C1393*VLOOKUP($B1393,'4. CÀI ĐẶT'!$A$2:$H$32,3,FALSE)))</f>
        <v/>
      </c>
      <c r="G1393" s="67">
        <f>IF($B1393="",0,IF(LEFT($B1393,1)="━",0,$C1393*VLOOKUP($B1393,'4. CÀI ĐẶT'!$A$2:$H$32,4,FALSE)))</f>
        <v/>
      </c>
      <c r="H1393" s="67">
        <f>IF($B1393="",0,IF(LEFT($B1393,1)="━",0,$C1393*VLOOKUP($B1393,'4. CÀI ĐẶT'!$A$2:$H$32,5,FALSE)))</f>
        <v/>
      </c>
      <c r="I1393">
        <f>IF($B1393="","",IF(LEFT($B1393,1)="━","",VLOOKUP($B1393,'4. CÀI ĐẶT'!$A$2:$H$32,6,FALSE)))</f>
        <v/>
      </c>
      <c r="J1393" s="13">
        <f>IF($A1393="","",EOMONTH($A1393,0))</f>
        <v/>
      </c>
      <c r="K1393" s="67">
        <f>IF($B1393="",0,IF(LEFT($B1393,1)="━",0,$C1393*VLOOKUP($B1393,'4. CÀI ĐẶT'!$A$2:$H$32,7,FALSE)))</f>
        <v/>
      </c>
    </row>
    <row r="1394">
      <c r="A1394" s="8" t="n"/>
      <c r="B1394" s="9" t="n"/>
      <c r="C1394" s="65" t="n"/>
      <c r="D1394" s="9" t="n"/>
      <c r="E1394" s="66">
        <f>IF($B1394="","",IF(LEFT($B1394,1)="━","⚠️ Chọn hạng mục cụ thể",$C1394*VLOOKUP($B1394,'4. CÀI ĐẶT'!$A$2:$H$32,2,FALSE)))</f>
        <v/>
      </c>
      <c r="F1394" s="67">
        <f>IF($B1394="",0,IF(LEFT($B1394,1)="━",0,$C1394*VLOOKUP($B1394,'4. CÀI ĐẶT'!$A$2:$H$32,3,FALSE)))</f>
        <v/>
      </c>
      <c r="G1394" s="67">
        <f>IF($B1394="",0,IF(LEFT($B1394,1)="━",0,$C1394*VLOOKUP($B1394,'4. CÀI ĐẶT'!$A$2:$H$32,4,FALSE)))</f>
        <v/>
      </c>
      <c r="H1394" s="67">
        <f>IF($B1394="",0,IF(LEFT($B1394,1)="━",0,$C1394*VLOOKUP($B1394,'4. CÀI ĐẶT'!$A$2:$H$32,5,FALSE)))</f>
        <v/>
      </c>
      <c r="I1394">
        <f>IF($B1394="","",IF(LEFT($B1394,1)="━","",VLOOKUP($B1394,'4. CÀI ĐẶT'!$A$2:$H$32,6,FALSE)))</f>
        <v/>
      </c>
      <c r="J1394" s="13">
        <f>IF($A1394="","",EOMONTH($A1394,0))</f>
        <v/>
      </c>
      <c r="K1394" s="67">
        <f>IF($B1394="",0,IF(LEFT($B1394,1)="━",0,$C1394*VLOOKUP($B1394,'4. CÀI ĐẶT'!$A$2:$H$32,7,FALSE)))</f>
        <v/>
      </c>
    </row>
    <row r="1395">
      <c r="A1395" s="8" t="n"/>
      <c r="B1395" s="9" t="n"/>
      <c r="C1395" s="65" t="n"/>
      <c r="D1395" s="9" t="n"/>
      <c r="E1395" s="66">
        <f>IF($B1395="","",IF(LEFT($B1395,1)="━","⚠️ Chọn hạng mục cụ thể",$C1395*VLOOKUP($B1395,'4. CÀI ĐẶT'!$A$2:$H$32,2,FALSE)))</f>
        <v/>
      </c>
      <c r="F1395" s="67">
        <f>IF($B1395="",0,IF(LEFT($B1395,1)="━",0,$C1395*VLOOKUP($B1395,'4. CÀI ĐẶT'!$A$2:$H$32,3,FALSE)))</f>
        <v/>
      </c>
      <c r="G1395" s="67">
        <f>IF($B1395="",0,IF(LEFT($B1395,1)="━",0,$C1395*VLOOKUP($B1395,'4. CÀI ĐẶT'!$A$2:$H$32,4,FALSE)))</f>
        <v/>
      </c>
      <c r="H1395" s="67">
        <f>IF($B1395="",0,IF(LEFT($B1395,1)="━",0,$C1395*VLOOKUP($B1395,'4. CÀI ĐẶT'!$A$2:$H$32,5,FALSE)))</f>
        <v/>
      </c>
      <c r="I1395">
        <f>IF($B1395="","",IF(LEFT($B1395,1)="━","",VLOOKUP($B1395,'4. CÀI ĐẶT'!$A$2:$H$32,6,FALSE)))</f>
        <v/>
      </c>
      <c r="J1395" s="13">
        <f>IF($A1395="","",EOMONTH($A1395,0))</f>
        <v/>
      </c>
      <c r="K1395" s="67">
        <f>IF($B1395="",0,IF(LEFT($B1395,1)="━",0,$C1395*VLOOKUP($B1395,'4. CÀI ĐẶT'!$A$2:$H$32,7,FALSE)))</f>
        <v/>
      </c>
    </row>
    <row r="1396">
      <c r="A1396" s="8" t="n"/>
      <c r="B1396" s="9" t="n"/>
      <c r="C1396" s="65" t="n"/>
      <c r="D1396" s="9" t="n"/>
      <c r="E1396" s="66">
        <f>IF($B1396="","",IF(LEFT($B1396,1)="━","⚠️ Chọn hạng mục cụ thể",$C1396*VLOOKUP($B1396,'4. CÀI ĐẶT'!$A$2:$H$32,2,FALSE)))</f>
        <v/>
      </c>
      <c r="F1396" s="67">
        <f>IF($B1396="",0,IF(LEFT($B1396,1)="━",0,$C1396*VLOOKUP($B1396,'4. CÀI ĐẶT'!$A$2:$H$32,3,FALSE)))</f>
        <v/>
      </c>
      <c r="G1396" s="67">
        <f>IF($B1396="",0,IF(LEFT($B1396,1)="━",0,$C1396*VLOOKUP($B1396,'4. CÀI ĐẶT'!$A$2:$H$32,4,FALSE)))</f>
        <v/>
      </c>
      <c r="H1396" s="67">
        <f>IF($B1396="",0,IF(LEFT($B1396,1)="━",0,$C1396*VLOOKUP($B1396,'4. CÀI ĐẶT'!$A$2:$H$32,5,FALSE)))</f>
        <v/>
      </c>
      <c r="I1396">
        <f>IF($B1396="","",IF(LEFT($B1396,1)="━","",VLOOKUP($B1396,'4. CÀI ĐẶT'!$A$2:$H$32,6,FALSE)))</f>
        <v/>
      </c>
      <c r="J1396" s="13">
        <f>IF($A1396="","",EOMONTH($A1396,0))</f>
        <v/>
      </c>
      <c r="K1396" s="67">
        <f>IF($B1396="",0,IF(LEFT($B1396,1)="━",0,$C1396*VLOOKUP($B1396,'4. CÀI ĐẶT'!$A$2:$H$32,7,FALSE)))</f>
        <v/>
      </c>
    </row>
    <row r="1397">
      <c r="A1397" s="8" t="n"/>
      <c r="B1397" s="9" t="n"/>
      <c r="C1397" s="65" t="n"/>
      <c r="D1397" s="9" t="n"/>
      <c r="E1397" s="66">
        <f>IF($B1397="","",IF(LEFT($B1397,1)="━","⚠️ Chọn hạng mục cụ thể",$C1397*VLOOKUP($B1397,'4. CÀI ĐẶT'!$A$2:$H$32,2,FALSE)))</f>
        <v/>
      </c>
      <c r="F1397" s="67">
        <f>IF($B1397="",0,IF(LEFT($B1397,1)="━",0,$C1397*VLOOKUP($B1397,'4. CÀI ĐẶT'!$A$2:$H$32,3,FALSE)))</f>
        <v/>
      </c>
      <c r="G1397" s="67">
        <f>IF($B1397="",0,IF(LEFT($B1397,1)="━",0,$C1397*VLOOKUP($B1397,'4. CÀI ĐẶT'!$A$2:$H$32,4,FALSE)))</f>
        <v/>
      </c>
      <c r="H1397" s="67">
        <f>IF($B1397="",0,IF(LEFT($B1397,1)="━",0,$C1397*VLOOKUP($B1397,'4. CÀI ĐẶT'!$A$2:$H$32,5,FALSE)))</f>
        <v/>
      </c>
      <c r="I1397">
        <f>IF($B1397="","",IF(LEFT($B1397,1)="━","",VLOOKUP($B1397,'4. CÀI ĐẶT'!$A$2:$H$32,6,FALSE)))</f>
        <v/>
      </c>
      <c r="J1397" s="13">
        <f>IF($A1397="","",EOMONTH($A1397,0))</f>
        <v/>
      </c>
      <c r="K1397" s="67">
        <f>IF($B1397="",0,IF(LEFT($B1397,1)="━",0,$C1397*VLOOKUP($B1397,'4. CÀI ĐẶT'!$A$2:$H$32,7,FALSE)))</f>
        <v/>
      </c>
    </row>
    <row r="1398">
      <c r="A1398" s="8" t="n"/>
      <c r="B1398" s="9" t="n"/>
      <c r="C1398" s="65" t="n"/>
      <c r="D1398" s="9" t="n"/>
      <c r="E1398" s="66">
        <f>IF($B1398="","",IF(LEFT($B1398,1)="━","⚠️ Chọn hạng mục cụ thể",$C1398*VLOOKUP($B1398,'4. CÀI ĐẶT'!$A$2:$H$32,2,FALSE)))</f>
        <v/>
      </c>
      <c r="F1398" s="67">
        <f>IF($B1398="",0,IF(LEFT($B1398,1)="━",0,$C1398*VLOOKUP($B1398,'4. CÀI ĐẶT'!$A$2:$H$32,3,FALSE)))</f>
        <v/>
      </c>
      <c r="G1398" s="67">
        <f>IF($B1398="",0,IF(LEFT($B1398,1)="━",0,$C1398*VLOOKUP($B1398,'4. CÀI ĐẶT'!$A$2:$H$32,4,FALSE)))</f>
        <v/>
      </c>
      <c r="H1398" s="67">
        <f>IF($B1398="",0,IF(LEFT($B1398,1)="━",0,$C1398*VLOOKUP($B1398,'4. CÀI ĐẶT'!$A$2:$H$32,5,FALSE)))</f>
        <v/>
      </c>
      <c r="I1398">
        <f>IF($B1398="","",IF(LEFT($B1398,1)="━","",VLOOKUP($B1398,'4. CÀI ĐẶT'!$A$2:$H$32,6,FALSE)))</f>
        <v/>
      </c>
      <c r="J1398" s="13">
        <f>IF($A1398="","",EOMONTH($A1398,0))</f>
        <v/>
      </c>
      <c r="K1398" s="67">
        <f>IF($B1398="",0,IF(LEFT($B1398,1)="━",0,$C1398*VLOOKUP($B1398,'4. CÀI ĐẶT'!$A$2:$H$32,7,FALSE)))</f>
        <v/>
      </c>
    </row>
    <row r="1399">
      <c r="A1399" s="8" t="n"/>
      <c r="B1399" s="9" t="n"/>
      <c r="C1399" s="65" t="n"/>
      <c r="D1399" s="9" t="n"/>
      <c r="E1399" s="66">
        <f>IF($B1399="","",IF(LEFT($B1399,1)="━","⚠️ Chọn hạng mục cụ thể",$C1399*VLOOKUP($B1399,'4. CÀI ĐẶT'!$A$2:$H$32,2,FALSE)))</f>
        <v/>
      </c>
      <c r="F1399" s="67">
        <f>IF($B1399="",0,IF(LEFT($B1399,1)="━",0,$C1399*VLOOKUP($B1399,'4. CÀI ĐẶT'!$A$2:$H$32,3,FALSE)))</f>
        <v/>
      </c>
      <c r="G1399" s="67">
        <f>IF($B1399="",0,IF(LEFT($B1399,1)="━",0,$C1399*VLOOKUP($B1399,'4. CÀI ĐẶT'!$A$2:$H$32,4,FALSE)))</f>
        <v/>
      </c>
      <c r="H1399" s="67">
        <f>IF($B1399="",0,IF(LEFT($B1399,1)="━",0,$C1399*VLOOKUP($B1399,'4. CÀI ĐẶT'!$A$2:$H$32,5,FALSE)))</f>
        <v/>
      </c>
      <c r="I1399">
        <f>IF($B1399="","",IF(LEFT($B1399,1)="━","",VLOOKUP($B1399,'4. CÀI ĐẶT'!$A$2:$H$32,6,FALSE)))</f>
        <v/>
      </c>
      <c r="J1399" s="13">
        <f>IF($A1399="","",EOMONTH($A1399,0))</f>
        <v/>
      </c>
      <c r="K1399" s="67">
        <f>IF($B1399="",0,IF(LEFT($B1399,1)="━",0,$C1399*VLOOKUP($B1399,'4. CÀI ĐẶT'!$A$2:$H$32,7,FALSE)))</f>
        <v/>
      </c>
    </row>
    <row r="1400">
      <c r="A1400" s="8" t="n"/>
      <c r="B1400" s="9" t="n"/>
      <c r="C1400" s="65" t="n"/>
      <c r="D1400" s="9" t="n"/>
      <c r="E1400" s="66">
        <f>IF($B1400="","",IF(LEFT($B1400,1)="━","⚠️ Chọn hạng mục cụ thể",$C1400*VLOOKUP($B1400,'4. CÀI ĐẶT'!$A$2:$H$32,2,FALSE)))</f>
        <v/>
      </c>
      <c r="F1400" s="67">
        <f>IF($B1400="",0,IF(LEFT($B1400,1)="━",0,$C1400*VLOOKUP($B1400,'4. CÀI ĐẶT'!$A$2:$H$32,3,FALSE)))</f>
        <v/>
      </c>
      <c r="G1400" s="67">
        <f>IF($B1400="",0,IF(LEFT($B1400,1)="━",0,$C1400*VLOOKUP($B1400,'4. CÀI ĐẶT'!$A$2:$H$32,4,FALSE)))</f>
        <v/>
      </c>
      <c r="H1400" s="67">
        <f>IF($B1400="",0,IF(LEFT($B1400,1)="━",0,$C1400*VLOOKUP($B1400,'4. CÀI ĐẶT'!$A$2:$H$32,5,FALSE)))</f>
        <v/>
      </c>
      <c r="I1400">
        <f>IF($B1400="","",IF(LEFT($B1400,1)="━","",VLOOKUP($B1400,'4. CÀI ĐẶT'!$A$2:$H$32,6,FALSE)))</f>
        <v/>
      </c>
      <c r="J1400" s="13">
        <f>IF($A1400="","",EOMONTH($A1400,0))</f>
        <v/>
      </c>
      <c r="K1400" s="67">
        <f>IF($B1400="",0,IF(LEFT($B1400,1)="━",0,$C1400*VLOOKUP($B1400,'4. CÀI ĐẶT'!$A$2:$H$32,7,FALSE)))</f>
        <v/>
      </c>
    </row>
    <row r="1401">
      <c r="A1401" s="8" t="n"/>
      <c r="B1401" s="9" t="n"/>
      <c r="C1401" s="65" t="n"/>
      <c r="D1401" s="9" t="n"/>
      <c r="E1401" s="66">
        <f>IF($B1401="","",IF(LEFT($B1401,1)="━","⚠️ Chọn hạng mục cụ thể",$C1401*VLOOKUP($B1401,'4. CÀI ĐẶT'!$A$2:$H$32,2,FALSE)))</f>
        <v/>
      </c>
      <c r="F1401" s="67">
        <f>IF($B1401="",0,IF(LEFT($B1401,1)="━",0,$C1401*VLOOKUP($B1401,'4. CÀI ĐẶT'!$A$2:$H$32,3,FALSE)))</f>
        <v/>
      </c>
      <c r="G1401" s="67">
        <f>IF($B1401="",0,IF(LEFT($B1401,1)="━",0,$C1401*VLOOKUP($B1401,'4. CÀI ĐẶT'!$A$2:$H$32,4,FALSE)))</f>
        <v/>
      </c>
      <c r="H1401" s="67">
        <f>IF($B1401="",0,IF(LEFT($B1401,1)="━",0,$C1401*VLOOKUP($B1401,'4. CÀI ĐẶT'!$A$2:$H$32,5,FALSE)))</f>
        <v/>
      </c>
      <c r="I1401">
        <f>IF($B1401="","",IF(LEFT($B1401,1)="━","",VLOOKUP($B1401,'4. CÀI ĐẶT'!$A$2:$H$32,6,FALSE)))</f>
        <v/>
      </c>
      <c r="J1401" s="13">
        <f>IF($A1401="","",EOMONTH($A1401,0))</f>
        <v/>
      </c>
      <c r="K1401" s="67">
        <f>IF($B1401="",0,IF(LEFT($B1401,1)="━",0,$C1401*VLOOKUP($B1401,'4. CÀI ĐẶT'!$A$2:$H$32,7,FALSE)))</f>
        <v/>
      </c>
    </row>
    <row r="1402">
      <c r="A1402" s="8" t="n"/>
      <c r="B1402" s="9" t="n"/>
      <c r="C1402" s="65" t="n"/>
      <c r="D1402" s="9" t="n"/>
      <c r="E1402" s="66">
        <f>IF($B1402="","",IF(LEFT($B1402,1)="━","⚠️ Chọn hạng mục cụ thể",$C1402*VLOOKUP($B1402,'4. CÀI ĐẶT'!$A$2:$H$32,2,FALSE)))</f>
        <v/>
      </c>
      <c r="F1402" s="67">
        <f>IF($B1402="",0,IF(LEFT($B1402,1)="━",0,$C1402*VLOOKUP($B1402,'4. CÀI ĐẶT'!$A$2:$H$32,3,FALSE)))</f>
        <v/>
      </c>
      <c r="G1402" s="67">
        <f>IF($B1402="",0,IF(LEFT($B1402,1)="━",0,$C1402*VLOOKUP($B1402,'4. CÀI ĐẶT'!$A$2:$H$32,4,FALSE)))</f>
        <v/>
      </c>
      <c r="H1402" s="67">
        <f>IF($B1402="",0,IF(LEFT($B1402,1)="━",0,$C1402*VLOOKUP($B1402,'4. CÀI ĐẶT'!$A$2:$H$32,5,FALSE)))</f>
        <v/>
      </c>
      <c r="I1402">
        <f>IF($B1402="","",IF(LEFT($B1402,1)="━","",VLOOKUP($B1402,'4. CÀI ĐẶT'!$A$2:$H$32,6,FALSE)))</f>
        <v/>
      </c>
      <c r="J1402" s="13">
        <f>IF($A1402="","",EOMONTH($A1402,0))</f>
        <v/>
      </c>
      <c r="K1402" s="67">
        <f>IF($B1402="",0,IF(LEFT($B1402,1)="━",0,$C1402*VLOOKUP($B1402,'4. CÀI ĐẶT'!$A$2:$H$32,7,FALSE)))</f>
        <v/>
      </c>
    </row>
    <row r="1403">
      <c r="A1403" s="8" t="n"/>
      <c r="B1403" s="9" t="n"/>
      <c r="C1403" s="65" t="n"/>
      <c r="D1403" s="9" t="n"/>
      <c r="E1403" s="66">
        <f>IF($B1403="","",IF(LEFT($B1403,1)="━","⚠️ Chọn hạng mục cụ thể",$C1403*VLOOKUP($B1403,'4. CÀI ĐẶT'!$A$2:$H$32,2,FALSE)))</f>
        <v/>
      </c>
      <c r="F1403" s="67">
        <f>IF($B1403="",0,IF(LEFT($B1403,1)="━",0,$C1403*VLOOKUP($B1403,'4. CÀI ĐẶT'!$A$2:$H$32,3,FALSE)))</f>
        <v/>
      </c>
      <c r="G1403" s="67">
        <f>IF($B1403="",0,IF(LEFT($B1403,1)="━",0,$C1403*VLOOKUP($B1403,'4. CÀI ĐẶT'!$A$2:$H$32,4,FALSE)))</f>
        <v/>
      </c>
      <c r="H1403" s="67">
        <f>IF($B1403="",0,IF(LEFT($B1403,1)="━",0,$C1403*VLOOKUP($B1403,'4. CÀI ĐẶT'!$A$2:$H$32,5,FALSE)))</f>
        <v/>
      </c>
      <c r="I1403">
        <f>IF($B1403="","",IF(LEFT($B1403,1)="━","",VLOOKUP($B1403,'4. CÀI ĐẶT'!$A$2:$H$32,6,FALSE)))</f>
        <v/>
      </c>
      <c r="J1403" s="13">
        <f>IF($A1403="","",EOMONTH($A1403,0))</f>
        <v/>
      </c>
      <c r="K1403" s="67">
        <f>IF($B1403="",0,IF(LEFT($B1403,1)="━",0,$C1403*VLOOKUP($B1403,'4. CÀI ĐẶT'!$A$2:$H$32,7,FALSE)))</f>
        <v/>
      </c>
    </row>
    <row r="1404">
      <c r="A1404" s="8" t="n"/>
      <c r="B1404" s="9" t="n"/>
      <c r="C1404" s="65" t="n"/>
      <c r="D1404" s="9" t="n"/>
      <c r="E1404" s="66">
        <f>IF($B1404="","",IF(LEFT($B1404,1)="━","⚠️ Chọn hạng mục cụ thể",$C1404*VLOOKUP($B1404,'4. CÀI ĐẶT'!$A$2:$H$32,2,FALSE)))</f>
        <v/>
      </c>
      <c r="F1404" s="67">
        <f>IF($B1404="",0,IF(LEFT($B1404,1)="━",0,$C1404*VLOOKUP($B1404,'4. CÀI ĐẶT'!$A$2:$H$32,3,FALSE)))</f>
        <v/>
      </c>
      <c r="G1404" s="67">
        <f>IF($B1404="",0,IF(LEFT($B1404,1)="━",0,$C1404*VLOOKUP($B1404,'4. CÀI ĐẶT'!$A$2:$H$32,4,FALSE)))</f>
        <v/>
      </c>
      <c r="H1404" s="67">
        <f>IF($B1404="",0,IF(LEFT($B1404,1)="━",0,$C1404*VLOOKUP($B1404,'4. CÀI ĐẶT'!$A$2:$H$32,5,FALSE)))</f>
        <v/>
      </c>
      <c r="I1404">
        <f>IF($B1404="","",IF(LEFT($B1404,1)="━","",VLOOKUP($B1404,'4. CÀI ĐẶT'!$A$2:$H$32,6,FALSE)))</f>
        <v/>
      </c>
      <c r="J1404" s="13">
        <f>IF($A1404="","",EOMONTH($A1404,0))</f>
        <v/>
      </c>
      <c r="K1404" s="67">
        <f>IF($B1404="",0,IF(LEFT($B1404,1)="━",0,$C1404*VLOOKUP($B1404,'4. CÀI ĐẶT'!$A$2:$H$32,7,FALSE)))</f>
        <v/>
      </c>
    </row>
    <row r="1405">
      <c r="A1405" s="8" t="n"/>
      <c r="B1405" s="9" t="n"/>
      <c r="C1405" s="65" t="n"/>
      <c r="D1405" s="9" t="n"/>
      <c r="E1405" s="66">
        <f>IF($B1405="","",IF(LEFT($B1405,1)="━","⚠️ Chọn hạng mục cụ thể",$C1405*VLOOKUP($B1405,'4. CÀI ĐẶT'!$A$2:$H$32,2,FALSE)))</f>
        <v/>
      </c>
      <c r="F1405" s="67">
        <f>IF($B1405="",0,IF(LEFT($B1405,1)="━",0,$C1405*VLOOKUP($B1405,'4. CÀI ĐẶT'!$A$2:$H$32,3,FALSE)))</f>
        <v/>
      </c>
      <c r="G1405" s="67">
        <f>IF($B1405="",0,IF(LEFT($B1405,1)="━",0,$C1405*VLOOKUP($B1405,'4. CÀI ĐẶT'!$A$2:$H$32,4,FALSE)))</f>
        <v/>
      </c>
      <c r="H1405" s="67">
        <f>IF($B1405="",0,IF(LEFT($B1405,1)="━",0,$C1405*VLOOKUP($B1405,'4. CÀI ĐẶT'!$A$2:$H$32,5,FALSE)))</f>
        <v/>
      </c>
      <c r="I1405">
        <f>IF($B1405="","",IF(LEFT($B1405,1)="━","",VLOOKUP($B1405,'4. CÀI ĐẶT'!$A$2:$H$32,6,FALSE)))</f>
        <v/>
      </c>
      <c r="J1405" s="13">
        <f>IF($A1405="","",EOMONTH($A1405,0))</f>
        <v/>
      </c>
      <c r="K1405" s="67">
        <f>IF($B1405="",0,IF(LEFT($B1405,1)="━",0,$C1405*VLOOKUP($B1405,'4. CÀI ĐẶT'!$A$2:$H$32,7,FALSE)))</f>
        <v/>
      </c>
    </row>
    <row r="1406">
      <c r="A1406" s="8" t="n"/>
      <c r="B1406" s="9" t="n"/>
      <c r="C1406" s="65" t="n"/>
      <c r="D1406" s="9" t="n"/>
      <c r="E1406" s="66">
        <f>IF($B1406="","",IF(LEFT($B1406,1)="━","⚠️ Chọn hạng mục cụ thể",$C1406*VLOOKUP($B1406,'4. CÀI ĐẶT'!$A$2:$H$32,2,FALSE)))</f>
        <v/>
      </c>
      <c r="F1406" s="67">
        <f>IF($B1406="",0,IF(LEFT($B1406,1)="━",0,$C1406*VLOOKUP($B1406,'4. CÀI ĐẶT'!$A$2:$H$32,3,FALSE)))</f>
        <v/>
      </c>
      <c r="G1406" s="67">
        <f>IF($B1406="",0,IF(LEFT($B1406,1)="━",0,$C1406*VLOOKUP($B1406,'4. CÀI ĐẶT'!$A$2:$H$32,4,FALSE)))</f>
        <v/>
      </c>
      <c r="H1406" s="67">
        <f>IF($B1406="",0,IF(LEFT($B1406,1)="━",0,$C1406*VLOOKUP($B1406,'4. CÀI ĐẶT'!$A$2:$H$32,5,FALSE)))</f>
        <v/>
      </c>
      <c r="I1406">
        <f>IF($B1406="","",IF(LEFT($B1406,1)="━","",VLOOKUP($B1406,'4. CÀI ĐẶT'!$A$2:$H$32,6,FALSE)))</f>
        <v/>
      </c>
      <c r="J1406" s="13">
        <f>IF($A1406="","",EOMONTH($A1406,0))</f>
        <v/>
      </c>
      <c r="K1406" s="67">
        <f>IF($B1406="",0,IF(LEFT($B1406,1)="━",0,$C1406*VLOOKUP($B1406,'4. CÀI ĐẶT'!$A$2:$H$32,7,FALSE)))</f>
        <v/>
      </c>
    </row>
    <row r="1407">
      <c r="A1407" s="8" t="n"/>
      <c r="B1407" s="9" t="n"/>
      <c r="C1407" s="65" t="n"/>
      <c r="D1407" s="9" t="n"/>
      <c r="E1407" s="66">
        <f>IF($B1407="","",IF(LEFT($B1407,1)="━","⚠️ Chọn hạng mục cụ thể",$C1407*VLOOKUP($B1407,'4. CÀI ĐẶT'!$A$2:$H$32,2,FALSE)))</f>
        <v/>
      </c>
      <c r="F1407" s="67">
        <f>IF($B1407="",0,IF(LEFT($B1407,1)="━",0,$C1407*VLOOKUP($B1407,'4. CÀI ĐẶT'!$A$2:$H$32,3,FALSE)))</f>
        <v/>
      </c>
      <c r="G1407" s="67">
        <f>IF($B1407="",0,IF(LEFT($B1407,1)="━",0,$C1407*VLOOKUP($B1407,'4. CÀI ĐẶT'!$A$2:$H$32,4,FALSE)))</f>
        <v/>
      </c>
      <c r="H1407" s="67">
        <f>IF($B1407="",0,IF(LEFT($B1407,1)="━",0,$C1407*VLOOKUP($B1407,'4. CÀI ĐẶT'!$A$2:$H$32,5,FALSE)))</f>
        <v/>
      </c>
      <c r="I1407">
        <f>IF($B1407="","",IF(LEFT($B1407,1)="━","",VLOOKUP($B1407,'4. CÀI ĐẶT'!$A$2:$H$32,6,FALSE)))</f>
        <v/>
      </c>
      <c r="J1407" s="13">
        <f>IF($A1407="","",EOMONTH($A1407,0))</f>
        <v/>
      </c>
      <c r="K1407" s="67">
        <f>IF($B1407="",0,IF(LEFT($B1407,1)="━",0,$C1407*VLOOKUP($B1407,'4. CÀI ĐẶT'!$A$2:$H$32,7,FALSE)))</f>
        <v/>
      </c>
    </row>
    <row r="1408">
      <c r="A1408" s="8" t="n"/>
      <c r="B1408" s="9" t="n"/>
      <c r="C1408" s="65" t="n"/>
      <c r="D1408" s="9" t="n"/>
      <c r="E1408" s="66">
        <f>IF($B1408="","",IF(LEFT($B1408,1)="━","⚠️ Chọn hạng mục cụ thể",$C1408*VLOOKUP($B1408,'4. CÀI ĐẶT'!$A$2:$H$32,2,FALSE)))</f>
        <v/>
      </c>
      <c r="F1408" s="67">
        <f>IF($B1408="",0,IF(LEFT($B1408,1)="━",0,$C1408*VLOOKUP($B1408,'4. CÀI ĐẶT'!$A$2:$H$32,3,FALSE)))</f>
        <v/>
      </c>
      <c r="G1408" s="67">
        <f>IF($B1408="",0,IF(LEFT($B1408,1)="━",0,$C1408*VLOOKUP($B1408,'4. CÀI ĐẶT'!$A$2:$H$32,4,FALSE)))</f>
        <v/>
      </c>
      <c r="H1408" s="67">
        <f>IF($B1408="",0,IF(LEFT($B1408,1)="━",0,$C1408*VLOOKUP($B1408,'4. CÀI ĐẶT'!$A$2:$H$32,5,FALSE)))</f>
        <v/>
      </c>
      <c r="I1408">
        <f>IF($B1408="","",IF(LEFT($B1408,1)="━","",VLOOKUP($B1408,'4. CÀI ĐẶT'!$A$2:$H$32,6,FALSE)))</f>
        <v/>
      </c>
      <c r="J1408" s="13">
        <f>IF($A1408="","",EOMONTH($A1408,0))</f>
        <v/>
      </c>
      <c r="K1408" s="67">
        <f>IF($B1408="",0,IF(LEFT($B1408,1)="━",0,$C1408*VLOOKUP($B1408,'4. CÀI ĐẶT'!$A$2:$H$32,7,FALSE)))</f>
        <v/>
      </c>
    </row>
    <row r="1409">
      <c r="A1409" s="8" t="n"/>
      <c r="B1409" s="9" t="n"/>
      <c r="C1409" s="65" t="n"/>
      <c r="D1409" s="9" t="n"/>
      <c r="E1409" s="66">
        <f>IF($B1409="","",IF(LEFT($B1409,1)="━","⚠️ Chọn hạng mục cụ thể",$C1409*VLOOKUP($B1409,'4. CÀI ĐẶT'!$A$2:$H$32,2,FALSE)))</f>
        <v/>
      </c>
      <c r="F1409" s="67">
        <f>IF($B1409="",0,IF(LEFT($B1409,1)="━",0,$C1409*VLOOKUP($B1409,'4. CÀI ĐẶT'!$A$2:$H$32,3,FALSE)))</f>
        <v/>
      </c>
      <c r="G1409" s="67">
        <f>IF($B1409="",0,IF(LEFT($B1409,1)="━",0,$C1409*VLOOKUP($B1409,'4. CÀI ĐẶT'!$A$2:$H$32,4,FALSE)))</f>
        <v/>
      </c>
      <c r="H1409" s="67">
        <f>IF($B1409="",0,IF(LEFT($B1409,1)="━",0,$C1409*VLOOKUP($B1409,'4. CÀI ĐẶT'!$A$2:$H$32,5,FALSE)))</f>
        <v/>
      </c>
      <c r="I1409">
        <f>IF($B1409="","",IF(LEFT($B1409,1)="━","",VLOOKUP($B1409,'4. CÀI ĐẶT'!$A$2:$H$32,6,FALSE)))</f>
        <v/>
      </c>
      <c r="J1409" s="13">
        <f>IF($A1409="","",EOMONTH($A1409,0))</f>
        <v/>
      </c>
      <c r="K1409" s="67">
        <f>IF($B1409="",0,IF(LEFT($B1409,1)="━",0,$C1409*VLOOKUP($B1409,'4. CÀI ĐẶT'!$A$2:$H$32,7,FALSE)))</f>
        <v/>
      </c>
    </row>
    <row r="1410">
      <c r="A1410" s="8" t="n"/>
      <c r="B1410" s="9" t="n"/>
      <c r="C1410" s="65" t="n"/>
      <c r="D1410" s="9" t="n"/>
      <c r="E1410" s="66">
        <f>IF($B1410="","",IF(LEFT($B1410,1)="━","⚠️ Chọn hạng mục cụ thể",$C1410*VLOOKUP($B1410,'4. CÀI ĐẶT'!$A$2:$H$32,2,FALSE)))</f>
        <v/>
      </c>
      <c r="F1410" s="67">
        <f>IF($B1410="",0,IF(LEFT($B1410,1)="━",0,$C1410*VLOOKUP($B1410,'4. CÀI ĐẶT'!$A$2:$H$32,3,FALSE)))</f>
        <v/>
      </c>
      <c r="G1410" s="67">
        <f>IF($B1410="",0,IF(LEFT($B1410,1)="━",0,$C1410*VLOOKUP($B1410,'4. CÀI ĐẶT'!$A$2:$H$32,4,FALSE)))</f>
        <v/>
      </c>
      <c r="H1410" s="67">
        <f>IF($B1410="",0,IF(LEFT($B1410,1)="━",0,$C1410*VLOOKUP($B1410,'4. CÀI ĐẶT'!$A$2:$H$32,5,FALSE)))</f>
        <v/>
      </c>
      <c r="I1410">
        <f>IF($B1410="","",IF(LEFT($B1410,1)="━","",VLOOKUP($B1410,'4. CÀI ĐẶT'!$A$2:$H$32,6,FALSE)))</f>
        <v/>
      </c>
      <c r="J1410" s="13">
        <f>IF($A1410="","",EOMONTH($A1410,0))</f>
        <v/>
      </c>
      <c r="K1410" s="67">
        <f>IF($B1410="",0,IF(LEFT($B1410,1)="━",0,$C1410*VLOOKUP($B1410,'4. CÀI ĐẶT'!$A$2:$H$32,7,FALSE)))</f>
        <v/>
      </c>
    </row>
    <row r="1411">
      <c r="A1411" s="8" t="n"/>
      <c r="B1411" s="9" t="n"/>
      <c r="C1411" s="65" t="n"/>
      <c r="D1411" s="9" t="n"/>
      <c r="E1411" s="66">
        <f>IF($B1411="","",IF(LEFT($B1411,1)="━","⚠️ Chọn hạng mục cụ thể",$C1411*VLOOKUP($B1411,'4. CÀI ĐẶT'!$A$2:$H$32,2,FALSE)))</f>
        <v/>
      </c>
      <c r="F1411" s="67">
        <f>IF($B1411="",0,IF(LEFT($B1411,1)="━",0,$C1411*VLOOKUP($B1411,'4. CÀI ĐẶT'!$A$2:$H$32,3,FALSE)))</f>
        <v/>
      </c>
      <c r="G1411" s="67">
        <f>IF($B1411="",0,IF(LEFT($B1411,1)="━",0,$C1411*VLOOKUP($B1411,'4. CÀI ĐẶT'!$A$2:$H$32,4,FALSE)))</f>
        <v/>
      </c>
      <c r="H1411" s="67">
        <f>IF($B1411="",0,IF(LEFT($B1411,1)="━",0,$C1411*VLOOKUP($B1411,'4. CÀI ĐẶT'!$A$2:$H$32,5,FALSE)))</f>
        <v/>
      </c>
      <c r="I1411">
        <f>IF($B1411="","",IF(LEFT($B1411,1)="━","",VLOOKUP($B1411,'4. CÀI ĐẶT'!$A$2:$H$32,6,FALSE)))</f>
        <v/>
      </c>
      <c r="J1411" s="13">
        <f>IF($A1411="","",EOMONTH($A1411,0))</f>
        <v/>
      </c>
      <c r="K1411" s="67">
        <f>IF($B1411="",0,IF(LEFT($B1411,1)="━",0,$C1411*VLOOKUP($B1411,'4. CÀI ĐẶT'!$A$2:$H$32,7,FALSE)))</f>
        <v/>
      </c>
    </row>
    <row r="1412">
      <c r="A1412" s="8" t="n"/>
      <c r="B1412" s="9" t="n"/>
      <c r="C1412" s="65" t="n"/>
      <c r="D1412" s="9" t="n"/>
      <c r="E1412" s="66">
        <f>IF($B1412="","",IF(LEFT($B1412,1)="━","⚠️ Chọn hạng mục cụ thể",$C1412*VLOOKUP($B1412,'4. CÀI ĐẶT'!$A$2:$H$32,2,FALSE)))</f>
        <v/>
      </c>
      <c r="F1412" s="67">
        <f>IF($B1412="",0,IF(LEFT($B1412,1)="━",0,$C1412*VLOOKUP($B1412,'4. CÀI ĐẶT'!$A$2:$H$32,3,FALSE)))</f>
        <v/>
      </c>
      <c r="G1412" s="67">
        <f>IF($B1412="",0,IF(LEFT($B1412,1)="━",0,$C1412*VLOOKUP($B1412,'4. CÀI ĐẶT'!$A$2:$H$32,4,FALSE)))</f>
        <v/>
      </c>
      <c r="H1412" s="67">
        <f>IF($B1412="",0,IF(LEFT($B1412,1)="━",0,$C1412*VLOOKUP($B1412,'4. CÀI ĐẶT'!$A$2:$H$32,5,FALSE)))</f>
        <v/>
      </c>
      <c r="I1412">
        <f>IF($B1412="","",IF(LEFT($B1412,1)="━","",VLOOKUP($B1412,'4. CÀI ĐẶT'!$A$2:$H$32,6,FALSE)))</f>
        <v/>
      </c>
      <c r="J1412" s="13">
        <f>IF($A1412="","",EOMONTH($A1412,0))</f>
        <v/>
      </c>
      <c r="K1412" s="67">
        <f>IF($B1412="",0,IF(LEFT($B1412,1)="━",0,$C1412*VLOOKUP($B1412,'4. CÀI ĐẶT'!$A$2:$H$32,7,FALSE)))</f>
        <v/>
      </c>
    </row>
    <row r="1413">
      <c r="A1413" s="8" t="n"/>
      <c r="B1413" s="9" t="n"/>
      <c r="C1413" s="65" t="n"/>
      <c r="D1413" s="9" t="n"/>
      <c r="E1413" s="66">
        <f>IF($B1413="","",IF(LEFT($B1413,1)="━","⚠️ Chọn hạng mục cụ thể",$C1413*VLOOKUP($B1413,'4. CÀI ĐẶT'!$A$2:$H$32,2,FALSE)))</f>
        <v/>
      </c>
      <c r="F1413" s="67">
        <f>IF($B1413="",0,IF(LEFT($B1413,1)="━",0,$C1413*VLOOKUP($B1413,'4. CÀI ĐẶT'!$A$2:$H$32,3,FALSE)))</f>
        <v/>
      </c>
      <c r="G1413" s="67">
        <f>IF($B1413="",0,IF(LEFT($B1413,1)="━",0,$C1413*VLOOKUP($B1413,'4. CÀI ĐẶT'!$A$2:$H$32,4,FALSE)))</f>
        <v/>
      </c>
      <c r="H1413" s="67">
        <f>IF($B1413="",0,IF(LEFT($B1413,1)="━",0,$C1413*VLOOKUP($B1413,'4. CÀI ĐẶT'!$A$2:$H$32,5,FALSE)))</f>
        <v/>
      </c>
      <c r="I1413">
        <f>IF($B1413="","",IF(LEFT($B1413,1)="━","",VLOOKUP($B1413,'4. CÀI ĐẶT'!$A$2:$H$32,6,FALSE)))</f>
        <v/>
      </c>
      <c r="J1413" s="13">
        <f>IF($A1413="","",EOMONTH($A1413,0))</f>
        <v/>
      </c>
      <c r="K1413" s="67">
        <f>IF($B1413="",0,IF(LEFT($B1413,1)="━",0,$C1413*VLOOKUP($B1413,'4. CÀI ĐẶT'!$A$2:$H$32,7,FALSE)))</f>
        <v/>
      </c>
    </row>
    <row r="1414">
      <c r="A1414" s="8" t="n"/>
      <c r="B1414" s="9" t="n"/>
      <c r="C1414" s="65" t="n"/>
      <c r="D1414" s="9" t="n"/>
      <c r="E1414" s="66">
        <f>IF($B1414="","",IF(LEFT($B1414,1)="━","⚠️ Chọn hạng mục cụ thể",$C1414*VLOOKUP($B1414,'4. CÀI ĐẶT'!$A$2:$H$32,2,FALSE)))</f>
        <v/>
      </c>
      <c r="F1414" s="67">
        <f>IF($B1414="",0,IF(LEFT($B1414,1)="━",0,$C1414*VLOOKUP($B1414,'4. CÀI ĐẶT'!$A$2:$H$32,3,FALSE)))</f>
        <v/>
      </c>
      <c r="G1414" s="67">
        <f>IF($B1414="",0,IF(LEFT($B1414,1)="━",0,$C1414*VLOOKUP($B1414,'4. CÀI ĐẶT'!$A$2:$H$32,4,FALSE)))</f>
        <v/>
      </c>
      <c r="H1414" s="67">
        <f>IF($B1414="",0,IF(LEFT($B1414,1)="━",0,$C1414*VLOOKUP($B1414,'4. CÀI ĐẶT'!$A$2:$H$32,5,FALSE)))</f>
        <v/>
      </c>
      <c r="I1414">
        <f>IF($B1414="","",IF(LEFT($B1414,1)="━","",VLOOKUP($B1414,'4. CÀI ĐẶT'!$A$2:$H$32,6,FALSE)))</f>
        <v/>
      </c>
      <c r="J1414" s="13">
        <f>IF($A1414="","",EOMONTH($A1414,0))</f>
        <v/>
      </c>
      <c r="K1414" s="67">
        <f>IF($B1414="",0,IF(LEFT($B1414,1)="━",0,$C1414*VLOOKUP($B1414,'4. CÀI ĐẶT'!$A$2:$H$32,7,FALSE)))</f>
        <v/>
      </c>
    </row>
    <row r="1415">
      <c r="A1415" s="8" t="n"/>
      <c r="B1415" s="9" t="n"/>
      <c r="C1415" s="65" t="n"/>
      <c r="D1415" s="9" t="n"/>
      <c r="E1415" s="66">
        <f>IF($B1415="","",IF(LEFT($B1415,1)="━","⚠️ Chọn hạng mục cụ thể",$C1415*VLOOKUP($B1415,'4. CÀI ĐẶT'!$A$2:$H$32,2,FALSE)))</f>
        <v/>
      </c>
      <c r="F1415" s="67">
        <f>IF($B1415="",0,IF(LEFT($B1415,1)="━",0,$C1415*VLOOKUP($B1415,'4. CÀI ĐẶT'!$A$2:$H$32,3,FALSE)))</f>
        <v/>
      </c>
      <c r="G1415" s="67">
        <f>IF($B1415="",0,IF(LEFT($B1415,1)="━",0,$C1415*VLOOKUP($B1415,'4. CÀI ĐẶT'!$A$2:$H$32,4,FALSE)))</f>
        <v/>
      </c>
      <c r="H1415" s="67">
        <f>IF($B1415="",0,IF(LEFT($B1415,1)="━",0,$C1415*VLOOKUP($B1415,'4. CÀI ĐẶT'!$A$2:$H$32,5,FALSE)))</f>
        <v/>
      </c>
      <c r="I1415">
        <f>IF($B1415="","",IF(LEFT($B1415,1)="━","",VLOOKUP($B1415,'4. CÀI ĐẶT'!$A$2:$H$32,6,FALSE)))</f>
        <v/>
      </c>
      <c r="J1415" s="13">
        <f>IF($A1415="","",EOMONTH($A1415,0))</f>
        <v/>
      </c>
      <c r="K1415" s="67">
        <f>IF($B1415="",0,IF(LEFT($B1415,1)="━",0,$C1415*VLOOKUP($B1415,'4. CÀI ĐẶT'!$A$2:$H$32,7,FALSE)))</f>
        <v/>
      </c>
    </row>
    <row r="1416">
      <c r="A1416" s="8" t="n"/>
      <c r="B1416" s="9" t="n"/>
      <c r="C1416" s="65" t="n"/>
      <c r="D1416" s="9" t="n"/>
      <c r="E1416" s="66">
        <f>IF($B1416="","",IF(LEFT($B1416,1)="━","⚠️ Chọn hạng mục cụ thể",$C1416*VLOOKUP($B1416,'4. CÀI ĐẶT'!$A$2:$H$32,2,FALSE)))</f>
        <v/>
      </c>
      <c r="F1416" s="67">
        <f>IF($B1416="",0,IF(LEFT($B1416,1)="━",0,$C1416*VLOOKUP($B1416,'4. CÀI ĐẶT'!$A$2:$H$32,3,FALSE)))</f>
        <v/>
      </c>
      <c r="G1416" s="67">
        <f>IF($B1416="",0,IF(LEFT($B1416,1)="━",0,$C1416*VLOOKUP($B1416,'4. CÀI ĐẶT'!$A$2:$H$32,4,FALSE)))</f>
        <v/>
      </c>
      <c r="H1416" s="67">
        <f>IF($B1416="",0,IF(LEFT($B1416,1)="━",0,$C1416*VLOOKUP($B1416,'4. CÀI ĐẶT'!$A$2:$H$32,5,FALSE)))</f>
        <v/>
      </c>
      <c r="I1416">
        <f>IF($B1416="","",IF(LEFT($B1416,1)="━","",VLOOKUP($B1416,'4. CÀI ĐẶT'!$A$2:$H$32,6,FALSE)))</f>
        <v/>
      </c>
      <c r="J1416" s="13">
        <f>IF($A1416="","",EOMONTH($A1416,0))</f>
        <v/>
      </c>
      <c r="K1416" s="67">
        <f>IF($B1416="",0,IF(LEFT($B1416,1)="━",0,$C1416*VLOOKUP($B1416,'4. CÀI ĐẶT'!$A$2:$H$32,7,FALSE)))</f>
        <v/>
      </c>
    </row>
    <row r="1417">
      <c r="A1417" s="8" t="n"/>
      <c r="B1417" s="9" t="n"/>
      <c r="C1417" s="65" t="n"/>
      <c r="D1417" s="9" t="n"/>
      <c r="E1417" s="66">
        <f>IF($B1417="","",IF(LEFT($B1417,1)="━","⚠️ Chọn hạng mục cụ thể",$C1417*VLOOKUP($B1417,'4. CÀI ĐẶT'!$A$2:$H$32,2,FALSE)))</f>
        <v/>
      </c>
      <c r="F1417" s="67">
        <f>IF($B1417="",0,IF(LEFT($B1417,1)="━",0,$C1417*VLOOKUP($B1417,'4. CÀI ĐẶT'!$A$2:$H$32,3,FALSE)))</f>
        <v/>
      </c>
      <c r="G1417" s="67">
        <f>IF($B1417="",0,IF(LEFT($B1417,1)="━",0,$C1417*VLOOKUP($B1417,'4. CÀI ĐẶT'!$A$2:$H$32,4,FALSE)))</f>
        <v/>
      </c>
      <c r="H1417" s="67">
        <f>IF($B1417="",0,IF(LEFT($B1417,1)="━",0,$C1417*VLOOKUP($B1417,'4. CÀI ĐẶT'!$A$2:$H$32,5,FALSE)))</f>
        <v/>
      </c>
      <c r="I1417">
        <f>IF($B1417="","",IF(LEFT($B1417,1)="━","",VLOOKUP($B1417,'4. CÀI ĐẶT'!$A$2:$H$32,6,FALSE)))</f>
        <v/>
      </c>
      <c r="J1417" s="13">
        <f>IF($A1417="","",EOMONTH($A1417,0))</f>
        <v/>
      </c>
      <c r="K1417" s="67">
        <f>IF($B1417="",0,IF(LEFT($B1417,1)="━",0,$C1417*VLOOKUP($B1417,'4. CÀI ĐẶT'!$A$2:$H$32,7,FALSE)))</f>
        <v/>
      </c>
    </row>
    <row r="1418">
      <c r="A1418" s="8" t="n"/>
      <c r="B1418" s="9" t="n"/>
      <c r="C1418" s="65" t="n"/>
      <c r="D1418" s="9" t="n"/>
      <c r="E1418" s="66">
        <f>IF($B1418="","",IF(LEFT($B1418,1)="━","⚠️ Chọn hạng mục cụ thể",$C1418*VLOOKUP($B1418,'4. CÀI ĐẶT'!$A$2:$H$32,2,FALSE)))</f>
        <v/>
      </c>
      <c r="F1418" s="67">
        <f>IF($B1418="",0,IF(LEFT($B1418,1)="━",0,$C1418*VLOOKUP($B1418,'4. CÀI ĐẶT'!$A$2:$H$32,3,FALSE)))</f>
        <v/>
      </c>
      <c r="G1418" s="67">
        <f>IF($B1418="",0,IF(LEFT($B1418,1)="━",0,$C1418*VLOOKUP($B1418,'4. CÀI ĐẶT'!$A$2:$H$32,4,FALSE)))</f>
        <v/>
      </c>
      <c r="H1418" s="67">
        <f>IF($B1418="",0,IF(LEFT($B1418,1)="━",0,$C1418*VLOOKUP($B1418,'4. CÀI ĐẶT'!$A$2:$H$32,5,FALSE)))</f>
        <v/>
      </c>
      <c r="I1418">
        <f>IF($B1418="","",IF(LEFT($B1418,1)="━","",VLOOKUP($B1418,'4. CÀI ĐẶT'!$A$2:$H$32,6,FALSE)))</f>
        <v/>
      </c>
      <c r="J1418" s="13">
        <f>IF($A1418="","",EOMONTH($A1418,0))</f>
        <v/>
      </c>
      <c r="K1418" s="67">
        <f>IF($B1418="",0,IF(LEFT($B1418,1)="━",0,$C1418*VLOOKUP($B1418,'4. CÀI ĐẶT'!$A$2:$H$32,7,FALSE)))</f>
        <v/>
      </c>
    </row>
    <row r="1419">
      <c r="A1419" s="8" t="n"/>
      <c r="B1419" s="9" t="n"/>
      <c r="C1419" s="65" t="n"/>
      <c r="D1419" s="9" t="n"/>
      <c r="E1419" s="66">
        <f>IF($B1419="","",IF(LEFT($B1419,1)="━","⚠️ Chọn hạng mục cụ thể",$C1419*VLOOKUP($B1419,'4. CÀI ĐẶT'!$A$2:$H$32,2,FALSE)))</f>
        <v/>
      </c>
      <c r="F1419" s="67">
        <f>IF($B1419="",0,IF(LEFT($B1419,1)="━",0,$C1419*VLOOKUP($B1419,'4. CÀI ĐẶT'!$A$2:$H$32,3,FALSE)))</f>
        <v/>
      </c>
      <c r="G1419" s="67">
        <f>IF($B1419="",0,IF(LEFT($B1419,1)="━",0,$C1419*VLOOKUP($B1419,'4. CÀI ĐẶT'!$A$2:$H$32,4,FALSE)))</f>
        <v/>
      </c>
      <c r="H1419" s="67">
        <f>IF($B1419="",0,IF(LEFT($B1419,1)="━",0,$C1419*VLOOKUP($B1419,'4. CÀI ĐẶT'!$A$2:$H$32,5,FALSE)))</f>
        <v/>
      </c>
      <c r="I1419">
        <f>IF($B1419="","",IF(LEFT($B1419,1)="━","",VLOOKUP($B1419,'4. CÀI ĐẶT'!$A$2:$H$32,6,FALSE)))</f>
        <v/>
      </c>
      <c r="J1419" s="13">
        <f>IF($A1419="","",EOMONTH($A1419,0))</f>
        <v/>
      </c>
      <c r="K1419" s="67">
        <f>IF($B1419="",0,IF(LEFT($B1419,1)="━",0,$C1419*VLOOKUP($B1419,'4. CÀI ĐẶT'!$A$2:$H$32,7,FALSE)))</f>
        <v/>
      </c>
    </row>
    <row r="1420">
      <c r="A1420" s="8" t="n"/>
      <c r="B1420" s="9" t="n"/>
      <c r="C1420" s="65" t="n"/>
      <c r="D1420" s="9" t="n"/>
      <c r="E1420" s="66">
        <f>IF($B1420="","",IF(LEFT($B1420,1)="━","⚠️ Chọn hạng mục cụ thể",$C1420*VLOOKUP($B1420,'4. CÀI ĐẶT'!$A$2:$H$32,2,FALSE)))</f>
        <v/>
      </c>
      <c r="F1420" s="67">
        <f>IF($B1420="",0,IF(LEFT($B1420,1)="━",0,$C1420*VLOOKUP($B1420,'4. CÀI ĐẶT'!$A$2:$H$32,3,FALSE)))</f>
        <v/>
      </c>
      <c r="G1420" s="67">
        <f>IF($B1420="",0,IF(LEFT($B1420,1)="━",0,$C1420*VLOOKUP($B1420,'4. CÀI ĐẶT'!$A$2:$H$32,4,FALSE)))</f>
        <v/>
      </c>
      <c r="H1420" s="67">
        <f>IF($B1420="",0,IF(LEFT($B1420,1)="━",0,$C1420*VLOOKUP($B1420,'4. CÀI ĐẶT'!$A$2:$H$32,5,FALSE)))</f>
        <v/>
      </c>
      <c r="I1420">
        <f>IF($B1420="","",IF(LEFT($B1420,1)="━","",VLOOKUP($B1420,'4. CÀI ĐẶT'!$A$2:$H$32,6,FALSE)))</f>
        <v/>
      </c>
      <c r="J1420" s="13">
        <f>IF($A1420="","",EOMONTH($A1420,0))</f>
        <v/>
      </c>
      <c r="K1420" s="67">
        <f>IF($B1420="",0,IF(LEFT($B1420,1)="━",0,$C1420*VLOOKUP($B1420,'4. CÀI ĐẶT'!$A$2:$H$32,7,FALSE)))</f>
        <v/>
      </c>
    </row>
    <row r="1421">
      <c r="A1421" s="8" t="n"/>
      <c r="B1421" s="9" t="n"/>
      <c r="C1421" s="65" t="n"/>
      <c r="D1421" s="9" t="n"/>
      <c r="E1421" s="66">
        <f>IF($B1421="","",IF(LEFT($B1421,1)="━","⚠️ Chọn hạng mục cụ thể",$C1421*VLOOKUP($B1421,'4. CÀI ĐẶT'!$A$2:$H$32,2,FALSE)))</f>
        <v/>
      </c>
      <c r="F1421" s="67">
        <f>IF($B1421="",0,IF(LEFT($B1421,1)="━",0,$C1421*VLOOKUP($B1421,'4. CÀI ĐẶT'!$A$2:$H$32,3,FALSE)))</f>
        <v/>
      </c>
      <c r="G1421" s="67">
        <f>IF($B1421="",0,IF(LEFT($B1421,1)="━",0,$C1421*VLOOKUP($B1421,'4. CÀI ĐẶT'!$A$2:$H$32,4,FALSE)))</f>
        <v/>
      </c>
      <c r="H1421" s="67">
        <f>IF($B1421="",0,IF(LEFT($B1421,1)="━",0,$C1421*VLOOKUP($B1421,'4. CÀI ĐẶT'!$A$2:$H$32,5,FALSE)))</f>
        <v/>
      </c>
      <c r="I1421">
        <f>IF($B1421="","",IF(LEFT($B1421,1)="━","",VLOOKUP($B1421,'4. CÀI ĐẶT'!$A$2:$H$32,6,FALSE)))</f>
        <v/>
      </c>
      <c r="J1421" s="13">
        <f>IF($A1421="","",EOMONTH($A1421,0))</f>
        <v/>
      </c>
      <c r="K1421" s="67">
        <f>IF($B1421="",0,IF(LEFT($B1421,1)="━",0,$C1421*VLOOKUP($B1421,'4. CÀI ĐẶT'!$A$2:$H$32,7,FALSE)))</f>
        <v/>
      </c>
    </row>
    <row r="1422">
      <c r="A1422" s="8" t="n"/>
      <c r="B1422" s="9" t="n"/>
      <c r="C1422" s="65" t="n"/>
      <c r="D1422" s="9" t="n"/>
      <c r="E1422" s="66">
        <f>IF($B1422="","",IF(LEFT($B1422,1)="━","⚠️ Chọn hạng mục cụ thể",$C1422*VLOOKUP($B1422,'4. CÀI ĐẶT'!$A$2:$H$32,2,FALSE)))</f>
        <v/>
      </c>
      <c r="F1422" s="67">
        <f>IF($B1422="",0,IF(LEFT($B1422,1)="━",0,$C1422*VLOOKUP($B1422,'4. CÀI ĐẶT'!$A$2:$H$32,3,FALSE)))</f>
        <v/>
      </c>
      <c r="G1422" s="67">
        <f>IF($B1422="",0,IF(LEFT($B1422,1)="━",0,$C1422*VLOOKUP($B1422,'4. CÀI ĐẶT'!$A$2:$H$32,4,FALSE)))</f>
        <v/>
      </c>
      <c r="H1422" s="67">
        <f>IF($B1422="",0,IF(LEFT($B1422,1)="━",0,$C1422*VLOOKUP($B1422,'4. CÀI ĐẶT'!$A$2:$H$32,5,FALSE)))</f>
        <v/>
      </c>
      <c r="I1422">
        <f>IF($B1422="","",IF(LEFT($B1422,1)="━","",VLOOKUP($B1422,'4. CÀI ĐẶT'!$A$2:$H$32,6,FALSE)))</f>
        <v/>
      </c>
      <c r="J1422" s="13">
        <f>IF($A1422="","",EOMONTH($A1422,0))</f>
        <v/>
      </c>
      <c r="K1422" s="67">
        <f>IF($B1422="",0,IF(LEFT($B1422,1)="━",0,$C1422*VLOOKUP($B1422,'4. CÀI ĐẶT'!$A$2:$H$32,7,FALSE)))</f>
        <v/>
      </c>
    </row>
    <row r="1423">
      <c r="A1423" s="8" t="n"/>
      <c r="B1423" s="9" t="n"/>
      <c r="C1423" s="65" t="n"/>
      <c r="D1423" s="9" t="n"/>
      <c r="E1423" s="66">
        <f>IF($B1423="","",IF(LEFT($B1423,1)="━","⚠️ Chọn hạng mục cụ thể",$C1423*VLOOKUP($B1423,'4. CÀI ĐẶT'!$A$2:$H$32,2,FALSE)))</f>
        <v/>
      </c>
      <c r="F1423" s="67">
        <f>IF($B1423="",0,IF(LEFT($B1423,1)="━",0,$C1423*VLOOKUP($B1423,'4. CÀI ĐẶT'!$A$2:$H$32,3,FALSE)))</f>
        <v/>
      </c>
      <c r="G1423" s="67">
        <f>IF($B1423="",0,IF(LEFT($B1423,1)="━",0,$C1423*VLOOKUP($B1423,'4. CÀI ĐẶT'!$A$2:$H$32,4,FALSE)))</f>
        <v/>
      </c>
      <c r="H1423" s="67">
        <f>IF($B1423="",0,IF(LEFT($B1423,1)="━",0,$C1423*VLOOKUP($B1423,'4. CÀI ĐẶT'!$A$2:$H$32,5,FALSE)))</f>
        <v/>
      </c>
      <c r="I1423">
        <f>IF($B1423="","",IF(LEFT($B1423,1)="━","",VLOOKUP($B1423,'4. CÀI ĐẶT'!$A$2:$H$32,6,FALSE)))</f>
        <v/>
      </c>
      <c r="J1423" s="13">
        <f>IF($A1423="","",EOMONTH($A1423,0))</f>
        <v/>
      </c>
      <c r="K1423" s="67">
        <f>IF($B1423="",0,IF(LEFT($B1423,1)="━",0,$C1423*VLOOKUP($B1423,'4. CÀI ĐẶT'!$A$2:$H$32,7,FALSE)))</f>
        <v/>
      </c>
    </row>
    <row r="1424">
      <c r="A1424" s="8" t="n"/>
      <c r="B1424" s="9" t="n"/>
      <c r="C1424" s="65" t="n"/>
      <c r="D1424" s="9" t="n"/>
      <c r="E1424" s="66">
        <f>IF($B1424="","",IF(LEFT($B1424,1)="━","⚠️ Chọn hạng mục cụ thể",$C1424*VLOOKUP($B1424,'4. CÀI ĐẶT'!$A$2:$H$32,2,FALSE)))</f>
        <v/>
      </c>
      <c r="F1424" s="67">
        <f>IF($B1424="",0,IF(LEFT($B1424,1)="━",0,$C1424*VLOOKUP($B1424,'4. CÀI ĐẶT'!$A$2:$H$32,3,FALSE)))</f>
        <v/>
      </c>
      <c r="G1424" s="67">
        <f>IF($B1424="",0,IF(LEFT($B1424,1)="━",0,$C1424*VLOOKUP($B1424,'4. CÀI ĐẶT'!$A$2:$H$32,4,FALSE)))</f>
        <v/>
      </c>
      <c r="H1424" s="67">
        <f>IF($B1424="",0,IF(LEFT($B1424,1)="━",0,$C1424*VLOOKUP($B1424,'4. CÀI ĐẶT'!$A$2:$H$32,5,FALSE)))</f>
        <v/>
      </c>
      <c r="I1424">
        <f>IF($B1424="","",IF(LEFT($B1424,1)="━","",VLOOKUP($B1424,'4. CÀI ĐẶT'!$A$2:$H$32,6,FALSE)))</f>
        <v/>
      </c>
      <c r="J1424" s="13">
        <f>IF($A1424="","",EOMONTH($A1424,0))</f>
        <v/>
      </c>
      <c r="K1424" s="67">
        <f>IF($B1424="",0,IF(LEFT($B1424,1)="━",0,$C1424*VLOOKUP($B1424,'4. CÀI ĐẶT'!$A$2:$H$32,7,FALSE)))</f>
        <v/>
      </c>
    </row>
    <row r="1425">
      <c r="A1425" s="8" t="n"/>
      <c r="B1425" s="9" t="n"/>
      <c r="C1425" s="65" t="n"/>
      <c r="D1425" s="9" t="n"/>
      <c r="E1425" s="66">
        <f>IF($B1425="","",IF(LEFT($B1425,1)="━","⚠️ Chọn hạng mục cụ thể",$C1425*VLOOKUP($B1425,'4. CÀI ĐẶT'!$A$2:$H$32,2,FALSE)))</f>
        <v/>
      </c>
      <c r="F1425" s="67">
        <f>IF($B1425="",0,IF(LEFT($B1425,1)="━",0,$C1425*VLOOKUP($B1425,'4. CÀI ĐẶT'!$A$2:$H$32,3,FALSE)))</f>
        <v/>
      </c>
      <c r="G1425" s="67">
        <f>IF($B1425="",0,IF(LEFT($B1425,1)="━",0,$C1425*VLOOKUP($B1425,'4. CÀI ĐẶT'!$A$2:$H$32,4,FALSE)))</f>
        <v/>
      </c>
      <c r="H1425" s="67">
        <f>IF($B1425="",0,IF(LEFT($B1425,1)="━",0,$C1425*VLOOKUP($B1425,'4. CÀI ĐẶT'!$A$2:$H$32,5,FALSE)))</f>
        <v/>
      </c>
      <c r="I1425">
        <f>IF($B1425="","",IF(LEFT($B1425,1)="━","",VLOOKUP($B1425,'4. CÀI ĐẶT'!$A$2:$H$32,6,FALSE)))</f>
        <v/>
      </c>
      <c r="J1425" s="13">
        <f>IF($A1425="","",EOMONTH($A1425,0))</f>
        <v/>
      </c>
      <c r="K1425" s="67">
        <f>IF($B1425="",0,IF(LEFT($B1425,1)="━",0,$C1425*VLOOKUP($B1425,'4. CÀI ĐẶT'!$A$2:$H$32,7,FALSE)))</f>
        <v/>
      </c>
    </row>
    <row r="1426">
      <c r="A1426" s="8" t="n"/>
      <c r="B1426" s="9" t="n"/>
      <c r="C1426" s="65" t="n"/>
      <c r="D1426" s="9" t="n"/>
      <c r="E1426" s="66">
        <f>IF($B1426="","",IF(LEFT($B1426,1)="━","⚠️ Chọn hạng mục cụ thể",$C1426*VLOOKUP($B1426,'4. CÀI ĐẶT'!$A$2:$H$32,2,FALSE)))</f>
        <v/>
      </c>
      <c r="F1426" s="67">
        <f>IF($B1426="",0,IF(LEFT($B1426,1)="━",0,$C1426*VLOOKUP($B1426,'4. CÀI ĐẶT'!$A$2:$H$32,3,FALSE)))</f>
        <v/>
      </c>
      <c r="G1426" s="67">
        <f>IF($B1426="",0,IF(LEFT($B1426,1)="━",0,$C1426*VLOOKUP($B1426,'4. CÀI ĐẶT'!$A$2:$H$32,4,FALSE)))</f>
        <v/>
      </c>
      <c r="H1426" s="67">
        <f>IF($B1426="",0,IF(LEFT($B1426,1)="━",0,$C1426*VLOOKUP($B1426,'4. CÀI ĐẶT'!$A$2:$H$32,5,FALSE)))</f>
        <v/>
      </c>
      <c r="I1426">
        <f>IF($B1426="","",IF(LEFT($B1426,1)="━","",VLOOKUP($B1426,'4. CÀI ĐẶT'!$A$2:$H$32,6,FALSE)))</f>
        <v/>
      </c>
      <c r="J1426" s="13">
        <f>IF($A1426="","",EOMONTH($A1426,0))</f>
        <v/>
      </c>
      <c r="K1426" s="67">
        <f>IF($B1426="",0,IF(LEFT($B1426,1)="━",0,$C1426*VLOOKUP($B1426,'4. CÀI ĐẶT'!$A$2:$H$32,7,FALSE)))</f>
        <v/>
      </c>
    </row>
    <row r="1427">
      <c r="A1427" s="8" t="n"/>
      <c r="B1427" s="9" t="n"/>
      <c r="C1427" s="65" t="n"/>
      <c r="D1427" s="9" t="n"/>
      <c r="E1427" s="66">
        <f>IF($B1427="","",IF(LEFT($B1427,1)="━","⚠️ Chọn hạng mục cụ thể",$C1427*VLOOKUP($B1427,'4. CÀI ĐẶT'!$A$2:$H$32,2,FALSE)))</f>
        <v/>
      </c>
      <c r="F1427" s="67">
        <f>IF($B1427="",0,IF(LEFT($B1427,1)="━",0,$C1427*VLOOKUP($B1427,'4. CÀI ĐẶT'!$A$2:$H$32,3,FALSE)))</f>
        <v/>
      </c>
      <c r="G1427" s="67">
        <f>IF($B1427="",0,IF(LEFT($B1427,1)="━",0,$C1427*VLOOKUP($B1427,'4. CÀI ĐẶT'!$A$2:$H$32,4,FALSE)))</f>
        <v/>
      </c>
      <c r="H1427" s="67">
        <f>IF($B1427="",0,IF(LEFT($B1427,1)="━",0,$C1427*VLOOKUP($B1427,'4. CÀI ĐẶT'!$A$2:$H$32,5,FALSE)))</f>
        <v/>
      </c>
      <c r="I1427">
        <f>IF($B1427="","",IF(LEFT($B1427,1)="━","",VLOOKUP($B1427,'4. CÀI ĐẶT'!$A$2:$H$32,6,FALSE)))</f>
        <v/>
      </c>
      <c r="J1427" s="13">
        <f>IF($A1427="","",EOMONTH($A1427,0))</f>
        <v/>
      </c>
      <c r="K1427" s="67">
        <f>IF($B1427="",0,IF(LEFT($B1427,1)="━",0,$C1427*VLOOKUP($B1427,'4. CÀI ĐẶT'!$A$2:$H$32,7,FALSE)))</f>
        <v/>
      </c>
    </row>
    <row r="1428">
      <c r="A1428" s="8" t="n"/>
      <c r="B1428" s="9" t="n"/>
      <c r="C1428" s="65" t="n"/>
      <c r="D1428" s="9" t="n"/>
      <c r="E1428" s="66">
        <f>IF($B1428="","",IF(LEFT($B1428,1)="━","⚠️ Chọn hạng mục cụ thể",$C1428*VLOOKUP($B1428,'4. CÀI ĐẶT'!$A$2:$H$32,2,FALSE)))</f>
        <v/>
      </c>
      <c r="F1428" s="67">
        <f>IF($B1428="",0,IF(LEFT($B1428,1)="━",0,$C1428*VLOOKUP($B1428,'4. CÀI ĐẶT'!$A$2:$H$32,3,FALSE)))</f>
        <v/>
      </c>
      <c r="G1428" s="67">
        <f>IF($B1428="",0,IF(LEFT($B1428,1)="━",0,$C1428*VLOOKUP($B1428,'4. CÀI ĐẶT'!$A$2:$H$32,4,FALSE)))</f>
        <v/>
      </c>
      <c r="H1428" s="67">
        <f>IF($B1428="",0,IF(LEFT($B1428,1)="━",0,$C1428*VLOOKUP($B1428,'4. CÀI ĐẶT'!$A$2:$H$32,5,FALSE)))</f>
        <v/>
      </c>
      <c r="I1428">
        <f>IF($B1428="","",IF(LEFT($B1428,1)="━","",VLOOKUP($B1428,'4. CÀI ĐẶT'!$A$2:$H$32,6,FALSE)))</f>
        <v/>
      </c>
      <c r="J1428" s="13">
        <f>IF($A1428="","",EOMONTH($A1428,0))</f>
        <v/>
      </c>
      <c r="K1428" s="67">
        <f>IF($B1428="",0,IF(LEFT($B1428,1)="━",0,$C1428*VLOOKUP($B1428,'4. CÀI ĐẶT'!$A$2:$H$32,7,FALSE)))</f>
        <v/>
      </c>
    </row>
    <row r="1429">
      <c r="A1429" s="8" t="n"/>
      <c r="B1429" s="9" t="n"/>
      <c r="C1429" s="65" t="n"/>
      <c r="D1429" s="9" t="n"/>
      <c r="E1429" s="66">
        <f>IF($B1429="","",IF(LEFT($B1429,1)="━","⚠️ Chọn hạng mục cụ thể",$C1429*VLOOKUP($B1429,'4. CÀI ĐẶT'!$A$2:$H$32,2,FALSE)))</f>
        <v/>
      </c>
      <c r="F1429" s="67">
        <f>IF($B1429="",0,IF(LEFT($B1429,1)="━",0,$C1429*VLOOKUP($B1429,'4. CÀI ĐẶT'!$A$2:$H$32,3,FALSE)))</f>
        <v/>
      </c>
      <c r="G1429" s="67">
        <f>IF($B1429="",0,IF(LEFT($B1429,1)="━",0,$C1429*VLOOKUP($B1429,'4. CÀI ĐẶT'!$A$2:$H$32,4,FALSE)))</f>
        <v/>
      </c>
      <c r="H1429" s="67">
        <f>IF($B1429="",0,IF(LEFT($B1429,1)="━",0,$C1429*VLOOKUP($B1429,'4. CÀI ĐẶT'!$A$2:$H$32,5,FALSE)))</f>
        <v/>
      </c>
      <c r="I1429">
        <f>IF($B1429="","",IF(LEFT($B1429,1)="━","",VLOOKUP($B1429,'4. CÀI ĐẶT'!$A$2:$H$32,6,FALSE)))</f>
        <v/>
      </c>
      <c r="J1429" s="13">
        <f>IF($A1429="","",EOMONTH($A1429,0))</f>
        <v/>
      </c>
      <c r="K1429" s="67">
        <f>IF($B1429="",0,IF(LEFT($B1429,1)="━",0,$C1429*VLOOKUP($B1429,'4. CÀI ĐẶT'!$A$2:$H$32,7,FALSE)))</f>
        <v/>
      </c>
    </row>
    <row r="1430">
      <c r="A1430" s="8" t="n"/>
      <c r="B1430" s="9" t="n"/>
      <c r="C1430" s="65" t="n"/>
      <c r="D1430" s="9" t="n"/>
      <c r="E1430" s="66">
        <f>IF($B1430="","",IF(LEFT($B1430,1)="━","⚠️ Chọn hạng mục cụ thể",$C1430*VLOOKUP($B1430,'4. CÀI ĐẶT'!$A$2:$H$32,2,FALSE)))</f>
        <v/>
      </c>
      <c r="F1430" s="67">
        <f>IF($B1430="",0,IF(LEFT($B1430,1)="━",0,$C1430*VLOOKUP($B1430,'4. CÀI ĐẶT'!$A$2:$H$32,3,FALSE)))</f>
        <v/>
      </c>
      <c r="G1430" s="67">
        <f>IF($B1430="",0,IF(LEFT($B1430,1)="━",0,$C1430*VLOOKUP($B1430,'4. CÀI ĐẶT'!$A$2:$H$32,4,FALSE)))</f>
        <v/>
      </c>
      <c r="H1430" s="67">
        <f>IF($B1430="",0,IF(LEFT($B1430,1)="━",0,$C1430*VLOOKUP($B1430,'4. CÀI ĐẶT'!$A$2:$H$32,5,FALSE)))</f>
        <v/>
      </c>
      <c r="I1430">
        <f>IF($B1430="","",IF(LEFT($B1430,1)="━","",VLOOKUP($B1430,'4. CÀI ĐẶT'!$A$2:$H$32,6,FALSE)))</f>
        <v/>
      </c>
      <c r="J1430" s="13">
        <f>IF($A1430="","",EOMONTH($A1430,0))</f>
        <v/>
      </c>
      <c r="K1430" s="67">
        <f>IF($B1430="",0,IF(LEFT($B1430,1)="━",0,$C1430*VLOOKUP($B1430,'4. CÀI ĐẶT'!$A$2:$H$32,7,FALSE)))</f>
        <v/>
      </c>
    </row>
    <row r="1431">
      <c r="A1431" s="8" t="n"/>
      <c r="B1431" s="9" t="n"/>
      <c r="C1431" s="65" t="n"/>
      <c r="D1431" s="9" t="n"/>
      <c r="E1431" s="66">
        <f>IF($B1431="","",IF(LEFT($B1431,1)="━","⚠️ Chọn hạng mục cụ thể",$C1431*VLOOKUP($B1431,'4. CÀI ĐẶT'!$A$2:$H$32,2,FALSE)))</f>
        <v/>
      </c>
      <c r="F1431" s="67">
        <f>IF($B1431="",0,IF(LEFT($B1431,1)="━",0,$C1431*VLOOKUP($B1431,'4. CÀI ĐẶT'!$A$2:$H$32,3,FALSE)))</f>
        <v/>
      </c>
      <c r="G1431" s="67">
        <f>IF($B1431="",0,IF(LEFT($B1431,1)="━",0,$C1431*VLOOKUP($B1431,'4. CÀI ĐẶT'!$A$2:$H$32,4,FALSE)))</f>
        <v/>
      </c>
      <c r="H1431" s="67">
        <f>IF($B1431="",0,IF(LEFT($B1431,1)="━",0,$C1431*VLOOKUP($B1431,'4. CÀI ĐẶT'!$A$2:$H$32,5,FALSE)))</f>
        <v/>
      </c>
      <c r="I1431">
        <f>IF($B1431="","",IF(LEFT($B1431,1)="━","",VLOOKUP($B1431,'4. CÀI ĐẶT'!$A$2:$H$32,6,FALSE)))</f>
        <v/>
      </c>
      <c r="J1431" s="13">
        <f>IF($A1431="","",EOMONTH($A1431,0))</f>
        <v/>
      </c>
      <c r="K1431" s="67">
        <f>IF($B1431="",0,IF(LEFT($B1431,1)="━",0,$C1431*VLOOKUP($B1431,'4. CÀI ĐẶT'!$A$2:$H$32,7,FALSE)))</f>
        <v/>
      </c>
    </row>
    <row r="1432">
      <c r="A1432" s="8" t="n"/>
      <c r="B1432" s="9" t="n"/>
      <c r="C1432" s="65" t="n"/>
      <c r="D1432" s="9" t="n"/>
      <c r="E1432" s="66">
        <f>IF($B1432="","",IF(LEFT($B1432,1)="━","⚠️ Chọn hạng mục cụ thể",$C1432*VLOOKUP($B1432,'4. CÀI ĐẶT'!$A$2:$H$32,2,FALSE)))</f>
        <v/>
      </c>
      <c r="F1432" s="67">
        <f>IF($B1432="",0,IF(LEFT($B1432,1)="━",0,$C1432*VLOOKUP($B1432,'4. CÀI ĐẶT'!$A$2:$H$32,3,FALSE)))</f>
        <v/>
      </c>
      <c r="G1432" s="67">
        <f>IF($B1432="",0,IF(LEFT($B1432,1)="━",0,$C1432*VLOOKUP($B1432,'4. CÀI ĐẶT'!$A$2:$H$32,4,FALSE)))</f>
        <v/>
      </c>
      <c r="H1432" s="67">
        <f>IF($B1432="",0,IF(LEFT($B1432,1)="━",0,$C1432*VLOOKUP($B1432,'4. CÀI ĐẶT'!$A$2:$H$32,5,FALSE)))</f>
        <v/>
      </c>
      <c r="I1432">
        <f>IF($B1432="","",IF(LEFT($B1432,1)="━","",VLOOKUP($B1432,'4. CÀI ĐẶT'!$A$2:$H$32,6,FALSE)))</f>
        <v/>
      </c>
      <c r="J1432" s="13">
        <f>IF($A1432="","",EOMONTH($A1432,0))</f>
        <v/>
      </c>
      <c r="K1432" s="67">
        <f>IF($B1432="",0,IF(LEFT($B1432,1)="━",0,$C1432*VLOOKUP($B1432,'4. CÀI ĐẶT'!$A$2:$H$32,7,FALSE)))</f>
        <v/>
      </c>
    </row>
    <row r="1433">
      <c r="A1433" s="8" t="n"/>
      <c r="B1433" s="9" t="n"/>
      <c r="C1433" s="65" t="n"/>
      <c r="D1433" s="9" t="n"/>
      <c r="E1433" s="66">
        <f>IF($B1433="","",IF(LEFT($B1433,1)="━","⚠️ Chọn hạng mục cụ thể",$C1433*VLOOKUP($B1433,'4. CÀI ĐẶT'!$A$2:$H$32,2,FALSE)))</f>
        <v/>
      </c>
      <c r="F1433" s="67">
        <f>IF($B1433="",0,IF(LEFT($B1433,1)="━",0,$C1433*VLOOKUP($B1433,'4. CÀI ĐẶT'!$A$2:$H$32,3,FALSE)))</f>
        <v/>
      </c>
      <c r="G1433" s="67">
        <f>IF($B1433="",0,IF(LEFT($B1433,1)="━",0,$C1433*VLOOKUP($B1433,'4. CÀI ĐẶT'!$A$2:$H$32,4,FALSE)))</f>
        <v/>
      </c>
      <c r="H1433" s="67">
        <f>IF($B1433="",0,IF(LEFT($B1433,1)="━",0,$C1433*VLOOKUP($B1433,'4. CÀI ĐẶT'!$A$2:$H$32,5,FALSE)))</f>
        <v/>
      </c>
      <c r="I1433">
        <f>IF($B1433="","",IF(LEFT($B1433,1)="━","",VLOOKUP($B1433,'4. CÀI ĐẶT'!$A$2:$H$32,6,FALSE)))</f>
        <v/>
      </c>
      <c r="J1433" s="13">
        <f>IF($A1433="","",EOMONTH($A1433,0))</f>
        <v/>
      </c>
      <c r="K1433" s="67">
        <f>IF($B1433="",0,IF(LEFT($B1433,1)="━",0,$C1433*VLOOKUP($B1433,'4. CÀI ĐẶT'!$A$2:$H$32,7,FALSE)))</f>
        <v/>
      </c>
    </row>
    <row r="1434">
      <c r="A1434" s="8" t="n"/>
      <c r="B1434" s="9" t="n"/>
      <c r="C1434" s="65" t="n"/>
      <c r="D1434" s="9" t="n"/>
      <c r="E1434" s="66">
        <f>IF($B1434="","",IF(LEFT($B1434,1)="━","⚠️ Chọn hạng mục cụ thể",$C1434*VLOOKUP($B1434,'4. CÀI ĐẶT'!$A$2:$H$32,2,FALSE)))</f>
        <v/>
      </c>
      <c r="F1434" s="67">
        <f>IF($B1434="",0,IF(LEFT($B1434,1)="━",0,$C1434*VLOOKUP($B1434,'4. CÀI ĐẶT'!$A$2:$H$32,3,FALSE)))</f>
        <v/>
      </c>
      <c r="G1434" s="67">
        <f>IF($B1434="",0,IF(LEFT($B1434,1)="━",0,$C1434*VLOOKUP($B1434,'4. CÀI ĐẶT'!$A$2:$H$32,4,FALSE)))</f>
        <v/>
      </c>
      <c r="H1434" s="67">
        <f>IF($B1434="",0,IF(LEFT($B1434,1)="━",0,$C1434*VLOOKUP($B1434,'4. CÀI ĐẶT'!$A$2:$H$32,5,FALSE)))</f>
        <v/>
      </c>
      <c r="I1434">
        <f>IF($B1434="","",IF(LEFT($B1434,1)="━","",VLOOKUP($B1434,'4. CÀI ĐẶT'!$A$2:$H$32,6,FALSE)))</f>
        <v/>
      </c>
      <c r="J1434" s="13">
        <f>IF($A1434="","",EOMONTH($A1434,0))</f>
        <v/>
      </c>
      <c r="K1434" s="67">
        <f>IF($B1434="",0,IF(LEFT($B1434,1)="━",0,$C1434*VLOOKUP($B1434,'4. CÀI ĐẶT'!$A$2:$H$32,7,FALSE)))</f>
        <v/>
      </c>
    </row>
    <row r="1435">
      <c r="A1435" s="8" t="n"/>
      <c r="B1435" s="9" t="n"/>
      <c r="C1435" s="65" t="n"/>
      <c r="D1435" s="9" t="n"/>
      <c r="E1435" s="66">
        <f>IF($B1435="","",IF(LEFT($B1435,1)="━","⚠️ Chọn hạng mục cụ thể",$C1435*VLOOKUP($B1435,'4. CÀI ĐẶT'!$A$2:$H$32,2,FALSE)))</f>
        <v/>
      </c>
      <c r="F1435" s="67">
        <f>IF($B1435="",0,IF(LEFT($B1435,1)="━",0,$C1435*VLOOKUP($B1435,'4. CÀI ĐẶT'!$A$2:$H$32,3,FALSE)))</f>
        <v/>
      </c>
      <c r="G1435" s="67">
        <f>IF($B1435="",0,IF(LEFT($B1435,1)="━",0,$C1435*VLOOKUP($B1435,'4. CÀI ĐẶT'!$A$2:$H$32,4,FALSE)))</f>
        <v/>
      </c>
      <c r="H1435" s="67">
        <f>IF($B1435="",0,IF(LEFT($B1435,1)="━",0,$C1435*VLOOKUP($B1435,'4. CÀI ĐẶT'!$A$2:$H$32,5,FALSE)))</f>
        <v/>
      </c>
      <c r="I1435">
        <f>IF($B1435="","",IF(LEFT($B1435,1)="━","",VLOOKUP($B1435,'4. CÀI ĐẶT'!$A$2:$H$32,6,FALSE)))</f>
        <v/>
      </c>
      <c r="J1435" s="13">
        <f>IF($A1435="","",EOMONTH($A1435,0))</f>
        <v/>
      </c>
      <c r="K1435" s="67">
        <f>IF($B1435="",0,IF(LEFT($B1435,1)="━",0,$C1435*VLOOKUP($B1435,'4. CÀI ĐẶT'!$A$2:$H$32,7,FALSE)))</f>
        <v/>
      </c>
    </row>
    <row r="1436">
      <c r="A1436" s="8" t="n"/>
      <c r="B1436" s="9" t="n"/>
      <c r="C1436" s="65" t="n"/>
      <c r="D1436" s="9" t="n"/>
      <c r="E1436" s="66">
        <f>IF($B1436="","",IF(LEFT($B1436,1)="━","⚠️ Chọn hạng mục cụ thể",$C1436*VLOOKUP($B1436,'4. CÀI ĐẶT'!$A$2:$H$32,2,FALSE)))</f>
        <v/>
      </c>
      <c r="F1436" s="67">
        <f>IF($B1436="",0,IF(LEFT($B1436,1)="━",0,$C1436*VLOOKUP($B1436,'4. CÀI ĐẶT'!$A$2:$H$32,3,FALSE)))</f>
        <v/>
      </c>
      <c r="G1436" s="67">
        <f>IF($B1436="",0,IF(LEFT($B1436,1)="━",0,$C1436*VLOOKUP($B1436,'4. CÀI ĐẶT'!$A$2:$H$32,4,FALSE)))</f>
        <v/>
      </c>
      <c r="H1436" s="67">
        <f>IF($B1436="",0,IF(LEFT($B1436,1)="━",0,$C1436*VLOOKUP($B1436,'4. CÀI ĐẶT'!$A$2:$H$32,5,FALSE)))</f>
        <v/>
      </c>
      <c r="I1436">
        <f>IF($B1436="","",IF(LEFT($B1436,1)="━","",VLOOKUP($B1436,'4. CÀI ĐẶT'!$A$2:$H$32,6,FALSE)))</f>
        <v/>
      </c>
      <c r="J1436" s="13">
        <f>IF($A1436="","",EOMONTH($A1436,0))</f>
        <v/>
      </c>
      <c r="K1436" s="67">
        <f>IF($B1436="",0,IF(LEFT($B1436,1)="━",0,$C1436*VLOOKUP($B1436,'4. CÀI ĐẶT'!$A$2:$H$32,7,FALSE)))</f>
        <v/>
      </c>
    </row>
    <row r="1437">
      <c r="A1437" s="8" t="n"/>
      <c r="B1437" s="9" t="n"/>
      <c r="C1437" s="65" t="n"/>
      <c r="D1437" s="9" t="n"/>
      <c r="E1437" s="66">
        <f>IF($B1437="","",IF(LEFT($B1437,1)="━","⚠️ Chọn hạng mục cụ thể",$C1437*VLOOKUP($B1437,'4. CÀI ĐẶT'!$A$2:$H$32,2,FALSE)))</f>
        <v/>
      </c>
      <c r="F1437" s="67">
        <f>IF($B1437="",0,IF(LEFT($B1437,1)="━",0,$C1437*VLOOKUP($B1437,'4. CÀI ĐẶT'!$A$2:$H$32,3,FALSE)))</f>
        <v/>
      </c>
      <c r="G1437" s="67">
        <f>IF($B1437="",0,IF(LEFT($B1437,1)="━",0,$C1437*VLOOKUP($B1437,'4. CÀI ĐẶT'!$A$2:$H$32,4,FALSE)))</f>
        <v/>
      </c>
      <c r="H1437" s="67">
        <f>IF($B1437="",0,IF(LEFT($B1437,1)="━",0,$C1437*VLOOKUP($B1437,'4. CÀI ĐẶT'!$A$2:$H$32,5,FALSE)))</f>
        <v/>
      </c>
      <c r="I1437">
        <f>IF($B1437="","",IF(LEFT($B1437,1)="━","",VLOOKUP($B1437,'4. CÀI ĐẶT'!$A$2:$H$32,6,FALSE)))</f>
        <v/>
      </c>
      <c r="J1437" s="13">
        <f>IF($A1437="","",EOMONTH($A1437,0))</f>
        <v/>
      </c>
      <c r="K1437" s="67">
        <f>IF($B1437="",0,IF(LEFT($B1437,1)="━",0,$C1437*VLOOKUP($B1437,'4. CÀI ĐẶT'!$A$2:$H$32,7,FALSE)))</f>
        <v/>
      </c>
    </row>
    <row r="1438">
      <c r="A1438" s="8" t="n"/>
      <c r="B1438" s="9" t="n"/>
      <c r="C1438" s="65" t="n"/>
      <c r="D1438" s="9" t="n"/>
      <c r="E1438" s="66">
        <f>IF($B1438="","",IF(LEFT($B1438,1)="━","⚠️ Chọn hạng mục cụ thể",$C1438*VLOOKUP($B1438,'4. CÀI ĐẶT'!$A$2:$H$32,2,FALSE)))</f>
        <v/>
      </c>
      <c r="F1438" s="67">
        <f>IF($B1438="",0,IF(LEFT($B1438,1)="━",0,$C1438*VLOOKUP($B1438,'4. CÀI ĐẶT'!$A$2:$H$32,3,FALSE)))</f>
        <v/>
      </c>
      <c r="G1438" s="67">
        <f>IF($B1438="",0,IF(LEFT($B1438,1)="━",0,$C1438*VLOOKUP($B1438,'4. CÀI ĐẶT'!$A$2:$H$32,4,FALSE)))</f>
        <v/>
      </c>
      <c r="H1438" s="67">
        <f>IF($B1438="",0,IF(LEFT($B1438,1)="━",0,$C1438*VLOOKUP($B1438,'4. CÀI ĐẶT'!$A$2:$H$32,5,FALSE)))</f>
        <v/>
      </c>
      <c r="I1438">
        <f>IF($B1438="","",IF(LEFT($B1438,1)="━","",VLOOKUP($B1438,'4. CÀI ĐẶT'!$A$2:$H$32,6,FALSE)))</f>
        <v/>
      </c>
      <c r="J1438" s="13">
        <f>IF($A1438="","",EOMONTH($A1438,0))</f>
        <v/>
      </c>
      <c r="K1438" s="67">
        <f>IF($B1438="",0,IF(LEFT($B1438,1)="━",0,$C1438*VLOOKUP($B1438,'4. CÀI ĐẶT'!$A$2:$H$32,7,FALSE)))</f>
        <v/>
      </c>
    </row>
    <row r="1439">
      <c r="A1439" s="8" t="n"/>
      <c r="B1439" s="9" t="n"/>
      <c r="C1439" s="65" t="n"/>
      <c r="D1439" s="9" t="n"/>
      <c r="E1439" s="66">
        <f>IF($B1439="","",IF(LEFT($B1439,1)="━","⚠️ Chọn hạng mục cụ thể",$C1439*VLOOKUP($B1439,'4. CÀI ĐẶT'!$A$2:$H$32,2,FALSE)))</f>
        <v/>
      </c>
      <c r="F1439" s="67">
        <f>IF($B1439="",0,IF(LEFT($B1439,1)="━",0,$C1439*VLOOKUP($B1439,'4. CÀI ĐẶT'!$A$2:$H$32,3,FALSE)))</f>
        <v/>
      </c>
      <c r="G1439" s="67">
        <f>IF($B1439="",0,IF(LEFT($B1439,1)="━",0,$C1439*VLOOKUP($B1439,'4. CÀI ĐẶT'!$A$2:$H$32,4,FALSE)))</f>
        <v/>
      </c>
      <c r="H1439" s="67">
        <f>IF($B1439="",0,IF(LEFT($B1439,1)="━",0,$C1439*VLOOKUP($B1439,'4. CÀI ĐẶT'!$A$2:$H$32,5,FALSE)))</f>
        <v/>
      </c>
      <c r="I1439">
        <f>IF($B1439="","",IF(LEFT($B1439,1)="━","",VLOOKUP($B1439,'4. CÀI ĐẶT'!$A$2:$H$32,6,FALSE)))</f>
        <v/>
      </c>
      <c r="J1439" s="13">
        <f>IF($A1439="","",EOMONTH($A1439,0))</f>
        <v/>
      </c>
      <c r="K1439" s="67">
        <f>IF($B1439="",0,IF(LEFT($B1439,1)="━",0,$C1439*VLOOKUP($B1439,'4. CÀI ĐẶT'!$A$2:$H$32,7,FALSE)))</f>
        <v/>
      </c>
    </row>
    <row r="1440">
      <c r="A1440" s="8" t="n"/>
      <c r="B1440" s="9" t="n"/>
      <c r="C1440" s="65" t="n"/>
      <c r="D1440" s="9" t="n"/>
      <c r="E1440" s="66">
        <f>IF($B1440="","",IF(LEFT($B1440,1)="━","⚠️ Chọn hạng mục cụ thể",$C1440*VLOOKUP($B1440,'4. CÀI ĐẶT'!$A$2:$H$32,2,FALSE)))</f>
        <v/>
      </c>
      <c r="F1440" s="67">
        <f>IF($B1440="",0,IF(LEFT($B1440,1)="━",0,$C1440*VLOOKUP($B1440,'4. CÀI ĐẶT'!$A$2:$H$32,3,FALSE)))</f>
        <v/>
      </c>
      <c r="G1440" s="67">
        <f>IF($B1440="",0,IF(LEFT($B1440,1)="━",0,$C1440*VLOOKUP($B1440,'4. CÀI ĐẶT'!$A$2:$H$32,4,FALSE)))</f>
        <v/>
      </c>
      <c r="H1440" s="67">
        <f>IF($B1440="",0,IF(LEFT($B1440,1)="━",0,$C1440*VLOOKUP($B1440,'4. CÀI ĐẶT'!$A$2:$H$32,5,FALSE)))</f>
        <v/>
      </c>
      <c r="I1440">
        <f>IF($B1440="","",IF(LEFT($B1440,1)="━","",VLOOKUP($B1440,'4. CÀI ĐẶT'!$A$2:$H$32,6,FALSE)))</f>
        <v/>
      </c>
      <c r="J1440" s="13">
        <f>IF($A1440="","",EOMONTH($A1440,0))</f>
        <v/>
      </c>
      <c r="K1440" s="67">
        <f>IF($B1440="",0,IF(LEFT($B1440,1)="━",0,$C1440*VLOOKUP($B1440,'4. CÀI ĐẶT'!$A$2:$H$32,7,FALSE)))</f>
        <v/>
      </c>
    </row>
    <row r="1441">
      <c r="A1441" s="8" t="n"/>
      <c r="B1441" s="9" t="n"/>
      <c r="C1441" s="65" t="n"/>
      <c r="D1441" s="9" t="n"/>
      <c r="E1441" s="66">
        <f>IF($B1441="","",IF(LEFT($B1441,1)="━","⚠️ Chọn hạng mục cụ thể",$C1441*VLOOKUP($B1441,'4. CÀI ĐẶT'!$A$2:$H$32,2,FALSE)))</f>
        <v/>
      </c>
      <c r="F1441" s="67">
        <f>IF($B1441="",0,IF(LEFT($B1441,1)="━",0,$C1441*VLOOKUP($B1441,'4. CÀI ĐẶT'!$A$2:$H$32,3,FALSE)))</f>
        <v/>
      </c>
      <c r="G1441" s="67">
        <f>IF($B1441="",0,IF(LEFT($B1441,1)="━",0,$C1441*VLOOKUP($B1441,'4. CÀI ĐẶT'!$A$2:$H$32,4,FALSE)))</f>
        <v/>
      </c>
      <c r="H1441" s="67">
        <f>IF($B1441="",0,IF(LEFT($B1441,1)="━",0,$C1441*VLOOKUP($B1441,'4. CÀI ĐẶT'!$A$2:$H$32,5,FALSE)))</f>
        <v/>
      </c>
      <c r="I1441">
        <f>IF($B1441="","",IF(LEFT($B1441,1)="━","",VLOOKUP($B1441,'4. CÀI ĐẶT'!$A$2:$H$32,6,FALSE)))</f>
        <v/>
      </c>
      <c r="J1441" s="13">
        <f>IF($A1441="","",EOMONTH($A1441,0))</f>
        <v/>
      </c>
      <c r="K1441" s="67">
        <f>IF($B1441="",0,IF(LEFT($B1441,1)="━",0,$C1441*VLOOKUP($B1441,'4. CÀI ĐẶT'!$A$2:$H$32,7,FALSE)))</f>
        <v/>
      </c>
    </row>
    <row r="1442">
      <c r="A1442" s="8" t="n"/>
      <c r="B1442" s="9" t="n"/>
      <c r="C1442" s="65" t="n"/>
      <c r="D1442" s="9" t="n"/>
      <c r="E1442" s="66">
        <f>IF($B1442="","",IF(LEFT($B1442,1)="━","⚠️ Chọn hạng mục cụ thể",$C1442*VLOOKUP($B1442,'4. CÀI ĐẶT'!$A$2:$H$32,2,FALSE)))</f>
        <v/>
      </c>
      <c r="F1442" s="67">
        <f>IF($B1442="",0,IF(LEFT($B1442,1)="━",0,$C1442*VLOOKUP($B1442,'4. CÀI ĐẶT'!$A$2:$H$32,3,FALSE)))</f>
        <v/>
      </c>
      <c r="G1442" s="67">
        <f>IF($B1442="",0,IF(LEFT($B1442,1)="━",0,$C1442*VLOOKUP($B1442,'4. CÀI ĐẶT'!$A$2:$H$32,4,FALSE)))</f>
        <v/>
      </c>
      <c r="H1442" s="67">
        <f>IF($B1442="",0,IF(LEFT($B1442,1)="━",0,$C1442*VLOOKUP($B1442,'4. CÀI ĐẶT'!$A$2:$H$32,5,FALSE)))</f>
        <v/>
      </c>
      <c r="I1442">
        <f>IF($B1442="","",IF(LEFT($B1442,1)="━","",VLOOKUP($B1442,'4. CÀI ĐẶT'!$A$2:$H$32,6,FALSE)))</f>
        <v/>
      </c>
      <c r="J1442" s="13">
        <f>IF($A1442="","",EOMONTH($A1442,0))</f>
        <v/>
      </c>
      <c r="K1442" s="67">
        <f>IF($B1442="",0,IF(LEFT($B1442,1)="━",0,$C1442*VLOOKUP($B1442,'4. CÀI ĐẶT'!$A$2:$H$32,7,FALSE)))</f>
        <v/>
      </c>
    </row>
    <row r="1443">
      <c r="A1443" s="8" t="n"/>
      <c r="B1443" s="9" t="n"/>
      <c r="C1443" s="65" t="n"/>
      <c r="D1443" s="9" t="n"/>
      <c r="E1443" s="66">
        <f>IF($B1443="","",IF(LEFT($B1443,1)="━","⚠️ Chọn hạng mục cụ thể",$C1443*VLOOKUP($B1443,'4. CÀI ĐẶT'!$A$2:$H$32,2,FALSE)))</f>
        <v/>
      </c>
      <c r="F1443" s="67">
        <f>IF($B1443="",0,IF(LEFT($B1443,1)="━",0,$C1443*VLOOKUP($B1443,'4. CÀI ĐẶT'!$A$2:$H$32,3,FALSE)))</f>
        <v/>
      </c>
      <c r="G1443" s="67">
        <f>IF($B1443="",0,IF(LEFT($B1443,1)="━",0,$C1443*VLOOKUP($B1443,'4. CÀI ĐẶT'!$A$2:$H$32,4,FALSE)))</f>
        <v/>
      </c>
      <c r="H1443" s="67">
        <f>IF($B1443="",0,IF(LEFT($B1443,1)="━",0,$C1443*VLOOKUP($B1443,'4. CÀI ĐẶT'!$A$2:$H$32,5,FALSE)))</f>
        <v/>
      </c>
      <c r="I1443">
        <f>IF($B1443="","",IF(LEFT($B1443,1)="━","",VLOOKUP($B1443,'4. CÀI ĐẶT'!$A$2:$H$32,6,FALSE)))</f>
        <v/>
      </c>
      <c r="J1443" s="13">
        <f>IF($A1443="","",EOMONTH($A1443,0))</f>
        <v/>
      </c>
      <c r="K1443" s="67">
        <f>IF($B1443="",0,IF(LEFT($B1443,1)="━",0,$C1443*VLOOKUP($B1443,'4. CÀI ĐẶT'!$A$2:$H$32,7,FALSE)))</f>
        <v/>
      </c>
    </row>
    <row r="1444">
      <c r="A1444" s="8" t="n"/>
      <c r="B1444" s="9" t="n"/>
      <c r="C1444" s="65" t="n"/>
      <c r="D1444" s="9" t="n"/>
      <c r="E1444" s="66">
        <f>IF($B1444="","",IF(LEFT($B1444,1)="━","⚠️ Chọn hạng mục cụ thể",$C1444*VLOOKUP($B1444,'4. CÀI ĐẶT'!$A$2:$H$32,2,FALSE)))</f>
        <v/>
      </c>
      <c r="F1444" s="67">
        <f>IF($B1444="",0,IF(LEFT($B1444,1)="━",0,$C1444*VLOOKUP($B1444,'4. CÀI ĐẶT'!$A$2:$H$32,3,FALSE)))</f>
        <v/>
      </c>
      <c r="G1444" s="67">
        <f>IF($B1444="",0,IF(LEFT($B1444,1)="━",0,$C1444*VLOOKUP($B1444,'4. CÀI ĐẶT'!$A$2:$H$32,4,FALSE)))</f>
        <v/>
      </c>
      <c r="H1444" s="67">
        <f>IF($B1444="",0,IF(LEFT($B1444,1)="━",0,$C1444*VLOOKUP($B1444,'4. CÀI ĐẶT'!$A$2:$H$32,5,FALSE)))</f>
        <v/>
      </c>
      <c r="I1444">
        <f>IF($B1444="","",IF(LEFT($B1444,1)="━","",VLOOKUP($B1444,'4. CÀI ĐẶT'!$A$2:$H$32,6,FALSE)))</f>
        <v/>
      </c>
      <c r="J1444" s="13">
        <f>IF($A1444="","",EOMONTH($A1444,0))</f>
        <v/>
      </c>
      <c r="K1444" s="67">
        <f>IF($B1444="",0,IF(LEFT($B1444,1)="━",0,$C1444*VLOOKUP($B1444,'4. CÀI ĐẶT'!$A$2:$H$32,7,FALSE)))</f>
        <v/>
      </c>
    </row>
    <row r="1445">
      <c r="A1445" s="8" t="n"/>
      <c r="B1445" s="9" t="n"/>
      <c r="C1445" s="65" t="n"/>
      <c r="D1445" s="9" t="n"/>
      <c r="E1445" s="66">
        <f>IF($B1445="","",IF(LEFT($B1445,1)="━","⚠️ Chọn hạng mục cụ thể",$C1445*VLOOKUP($B1445,'4. CÀI ĐẶT'!$A$2:$H$32,2,FALSE)))</f>
        <v/>
      </c>
      <c r="F1445" s="67">
        <f>IF($B1445="",0,IF(LEFT($B1445,1)="━",0,$C1445*VLOOKUP($B1445,'4. CÀI ĐẶT'!$A$2:$H$32,3,FALSE)))</f>
        <v/>
      </c>
      <c r="G1445" s="67">
        <f>IF($B1445="",0,IF(LEFT($B1445,1)="━",0,$C1445*VLOOKUP($B1445,'4. CÀI ĐẶT'!$A$2:$H$32,4,FALSE)))</f>
        <v/>
      </c>
      <c r="H1445" s="67">
        <f>IF($B1445="",0,IF(LEFT($B1445,1)="━",0,$C1445*VLOOKUP($B1445,'4. CÀI ĐẶT'!$A$2:$H$32,5,FALSE)))</f>
        <v/>
      </c>
      <c r="I1445">
        <f>IF($B1445="","",IF(LEFT($B1445,1)="━","",VLOOKUP($B1445,'4. CÀI ĐẶT'!$A$2:$H$32,6,FALSE)))</f>
        <v/>
      </c>
      <c r="J1445" s="13">
        <f>IF($A1445="","",EOMONTH($A1445,0))</f>
        <v/>
      </c>
      <c r="K1445" s="67">
        <f>IF($B1445="",0,IF(LEFT($B1445,1)="━",0,$C1445*VLOOKUP($B1445,'4. CÀI ĐẶT'!$A$2:$H$32,7,FALSE)))</f>
        <v/>
      </c>
    </row>
    <row r="1446">
      <c r="A1446" s="8" t="n"/>
      <c r="B1446" s="9" t="n"/>
      <c r="C1446" s="65" t="n"/>
      <c r="D1446" s="9" t="n"/>
      <c r="E1446" s="66">
        <f>IF($B1446="","",IF(LEFT($B1446,1)="━","⚠️ Chọn hạng mục cụ thể",$C1446*VLOOKUP($B1446,'4. CÀI ĐẶT'!$A$2:$H$32,2,FALSE)))</f>
        <v/>
      </c>
      <c r="F1446" s="67">
        <f>IF($B1446="",0,IF(LEFT($B1446,1)="━",0,$C1446*VLOOKUP($B1446,'4. CÀI ĐẶT'!$A$2:$H$32,3,FALSE)))</f>
        <v/>
      </c>
      <c r="G1446" s="67">
        <f>IF($B1446="",0,IF(LEFT($B1446,1)="━",0,$C1446*VLOOKUP($B1446,'4. CÀI ĐẶT'!$A$2:$H$32,4,FALSE)))</f>
        <v/>
      </c>
      <c r="H1446" s="67">
        <f>IF($B1446="",0,IF(LEFT($B1446,1)="━",0,$C1446*VLOOKUP($B1446,'4. CÀI ĐẶT'!$A$2:$H$32,5,FALSE)))</f>
        <v/>
      </c>
      <c r="I1446">
        <f>IF($B1446="","",IF(LEFT($B1446,1)="━","",VLOOKUP($B1446,'4. CÀI ĐẶT'!$A$2:$H$32,6,FALSE)))</f>
        <v/>
      </c>
      <c r="J1446" s="13">
        <f>IF($A1446="","",EOMONTH($A1446,0))</f>
        <v/>
      </c>
      <c r="K1446" s="67">
        <f>IF($B1446="",0,IF(LEFT($B1446,1)="━",0,$C1446*VLOOKUP($B1446,'4. CÀI ĐẶT'!$A$2:$H$32,7,FALSE)))</f>
        <v/>
      </c>
    </row>
    <row r="1447">
      <c r="A1447" s="8" t="n"/>
      <c r="B1447" s="9" t="n"/>
      <c r="C1447" s="65" t="n"/>
      <c r="D1447" s="9" t="n"/>
      <c r="E1447" s="66">
        <f>IF($B1447="","",IF(LEFT($B1447,1)="━","⚠️ Chọn hạng mục cụ thể",$C1447*VLOOKUP($B1447,'4. CÀI ĐẶT'!$A$2:$H$32,2,FALSE)))</f>
        <v/>
      </c>
      <c r="F1447" s="67">
        <f>IF($B1447="",0,IF(LEFT($B1447,1)="━",0,$C1447*VLOOKUP($B1447,'4. CÀI ĐẶT'!$A$2:$H$32,3,FALSE)))</f>
        <v/>
      </c>
      <c r="G1447" s="67">
        <f>IF($B1447="",0,IF(LEFT($B1447,1)="━",0,$C1447*VLOOKUP($B1447,'4. CÀI ĐẶT'!$A$2:$H$32,4,FALSE)))</f>
        <v/>
      </c>
      <c r="H1447" s="67">
        <f>IF($B1447="",0,IF(LEFT($B1447,1)="━",0,$C1447*VLOOKUP($B1447,'4. CÀI ĐẶT'!$A$2:$H$32,5,FALSE)))</f>
        <v/>
      </c>
      <c r="I1447">
        <f>IF($B1447="","",IF(LEFT($B1447,1)="━","",VLOOKUP($B1447,'4. CÀI ĐẶT'!$A$2:$H$32,6,FALSE)))</f>
        <v/>
      </c>
      <c r="J1447" s="13">
        <f>IF($A1447="","",EOMONTH($A1447,0))</f>
        <v/>
      </c>
      <c r="K1447" s="67">
        <f>IF($B1447="",0,IF(LEFT($B1447,1)="━",0,$C1447*VLOOKUP($B1447,'4. CÀI ĐẶT'!$A$2:$H$32,7,FALSE)))</f>
        <v/>
      </c>
    </row>
    <row r="1448">
      <c r="A1448" s="8" t="n"/>
      <c r="B1448" s="9" t="n"/>
      <c r="C1448" s="65" t="n"/>
      <c r="D1448" s="9" t="n"/>
      <c r="E1448" s="66">
        <f>IF($B1448="","",IF(LEFT($B1448,1)="━","⚠️ Chọn hạng mục cụ thể",$C1448*VLOOKUP($B1448,'4. CÀI ĐẶT'!$A$2:$H$32,2,FALSE)))</f>
        <v/>
      </c>
      <c r="F1448" s="67">
        <f>IF($B1448="",0,IF(LEFT($B1448,1)="━",0,$C1448*VLOOKUP($B1448,'4. CÀI ĐẶT'!$A$2:$H$32,3,FALSE)))</f>
        <v/>
      </c>
      <c r="G1448" s="67">
        <f>IF($B1448="",0,IF(LEFT($B1448,1)="━",0,$C1448*VLOOKUP($B1448,'4. CÀI ĐẶT'!$A$2:$H$32,4,FALSE)))</f>
        <v/>
      </c>
      <c r="H1448" s="67">
        <f>IF($B1448="",0,IF(LEFT($B1448,1)="━",0,$C1448*VLOOKUP($B1448,'4. CÀI ĐẶT'!$A$2:$H$32,5,FALSE)))</f>
        <v/>
      </c>
      <c r="I1448">
        <f>IF($B1448="","",IF(LEFT($B1448,1)="━","",VLOOKUP($B1448,'4. CÀI ĐẶT'!$A$2:$H$32,6,FALSE)))</f>
        <v/>
      </c>
      <c r="J1448" s="13">
        <f>IF($A1448="","",EOMONTH($A1448,0))</f>
        <v/>
      </c>
      <c r="K1448" s="67">
        <f>IF($B1448="",0,IF(LEFT($B1448,1)="━",0,$C1448*VLOOKUP($B1448,'4. CÀI ĐẶT'!$A$2:$H$32,7,FALSE)))</f>
        <v/>
      </c>
    </row>
    <row r="1449">
      <c r="A1449" s="8" t="n"/>
      <c r="B1449" s="9" t="n"/>
      <c r="C1449" s="65" t="n"/>
      <c r="D1449" s="9" t="n"/>
      <c r="E1449" s="66">
        <f>IF($B1449="","",IF(LEFT($B1449,1)="━","⚠️ Chọn hạng mục cụ thể",$C1449*VLOOKUP($B1449,'4. CÀI ĐẶT'!$A$2:$H$32,2,FALSE)))</f>
        <v/>
      </c>
      <c r="F1449" s="67">
        <f>IF($B1449="",0,IF(LEFT($B1449,1)="━",0,$C1449*VLOOKUP($B1449,'4. CÀI ĐẶT'!$A$2:$H$32,3,FALSE)))</f>
        <v/>
      </c>
      <c r="G1449" s="67">
        <f>IF($B1449="",0,IF(LEFT($B1449,1)="━",0,$C1449*VLOOKUP($B1449,'4. CÀI ĐẶT'!$A$2:$H$32,4,FALSE)))</f>
        <v/>
      </c>
      <c r="H1449" s="67">
        <f>IF($B1449="",0,IF(LEFT($B1449,1)="━",0,$C1449*VLOOKUP($B1449,'4. CÀI ĐẶT'!$A$2:$H$32,5,FALSE)))</f>
        <v/>
      </c>
      <c r="I1449">
        <f>IF($B1449="","",IF(LEFT($B1449,1)="━","",VLOOKUP($B1449,'4. CÀI ĐẶT'!$A$2:$H$32,6,FALSE)))</f>
        <v/>
      </c>
      <c r="J1449" s="13">
        <f>IF($A1449="","",EOMONTH($A1449,0))</f>
        <v/>
      </c>
      <c r="K1449" s="67">
        <f>IF($B1449="",0,IF(LEFT($B1449,1)="━",0,$C1449*VLOOKUP($B1449,'4. CÀI ĐẶT'!$A$2:$H$32,7,FALSE)))</f>
        <v/>
      </c>
    </row>
    <row r="1450">
      <c r="A1450" s="8" t="n"/>
      <c r="B1450" s="9" t="n"/>
      <c r="C1450" s="65" t="n"/>
      <c r="D1450" s="9" t="n"/>
      <c r="E1450" s="66">
        <f>IF($B1450="","",IF(LEFT($B1450,1)="━","⚠️ Chọn hạng mục cụ thể",$C1450*VLOOKUP($B1450,'4. CÀI ĐẶT'!$A$2:$H$32,2,FALSE)))</f>
        <v/>
      </c>
      <c r="F1450" s="67">
        <f>IF($B1450="",0,IF(LEFT($B1450,1)="━",0,$C1450*VLOOKUP($B1450,'4. CÀI ĐẶT'!$A$2:$H$32,3,FALSE)))</f>
        <v/>
      </c>
      <c r="G1450" s="67">
        <f>IF($B1450="",0,IF(LEFT($B1450,1)="━",0,$C1450*VLOOKUP($B1450,'4. CÀI ĐẶT'!$A$2:$H$32,4,FALSE)))</f>
        <v/>
      </c>
      <c r="H1450" s="67">
        <f>IF($B1450="",0,IF(LEFT($B1450,1)="━",0,$C1450*VLOOKUP($B1450,'4. CÀI ĐẶT'!$A$2:$H$32,5,FALSE)))</f>
        <v/>
      </c>
      <c r="I1450">
        <f>IF($B1450="","",IF(LEFT($B1450,1)="━","",VLOOKUP($B1450,'4. CÀI ĐẶT'!$A$2:$H$32,6,FALSE)))</f>
        <v/>
      </c>
      <c r="J1450" s="13">
        <f>IF($A1450="","",EOMONTH($A1450,0))</f>
        <v/>
      </c>
      <c r="K1450" s="67">
        <f>IF($B1450="",0,IF(LEFT($B1450,1)="━",0,$C1450*VLOOKUP($B1450,'4. CÀI ĐẶT'!$A$2:$H$32,7,FALSE)))</f>
        <v/>
      </c>
    </row>
    <row r="1451">
      <c r="A1451" s="8" t="n"/>
      <c r="B1451" s="9" t="n"/>
      <c r="C1451" s="65" t="n"/>
      <c r="D1451" s="9" t="n"/>
      <c r="E1451" s="66">
        <f>IF($B1451="","",IF(LEFT($B1451,1)="━","⚠️ Chọn hạng mục cụ thể",$C1451*VLOOKUP($B1451,'4. CÀI ĐẶT'!$A$2:$H$32,2,FALSE)))</f>
        <v/>
      </c>
      <c r="F1451" s="67">
        <f>IF($B1451="",0,IF(LEFT($B1451,1)="━",0,$C1451*VLOOKUP($B1451,'4. CÀI ĐẶT'!$A$2:$H$32,3,FALSE)))</f>
        <v/>
      </c>
      <c r="G1451" s="67">
        <f>IF($B1451="",0,IF(LEFT($B1451,1)="━",0,$C1451*VLOOKUP($B1451,'4. CÀI ĐẶT'!$A$2:$H$32,4,FALSE)))</f>
        <v/>
      </c>
      <c r="H1451" s="67">
        <f>IF($B1451="",0,IF(LEFT($B1451,1)="━",0,$C1451*VLOOKUP($B1451,'4. CÀI ĐẶT'!$A$2:$H$32,5,FALSE)))</f>
        <v/>
      </c>
      <c r="I1451">
        <f>IF($B1451="","",IF(LEFT($B1451,1)="━","",VLOOKUP($B1451,'4. CÀI ĐẶT'!$A$2:$H$32,6,FALSE)))</f>
        <v/>
      </c>
      <c r="J1451" s="13">
        <f>IF($A1451="","",EOMONTH($A1451,0))</f>
        <v/>
      </c>
      <c r="K1451" s="67">
        <f>IF($B1451="",0,IF(LEFT($B1451,1)="━",0,$C1451*VLOOKUP($B1451,'4. CÀI ĐẶT'!$A$2:$H$32,7,FALSE)))</f>
        <v/>
      </c>
    </row>
    <row r="1452">
      <c r="A1452" s="8" t="n"/>
      <c r="B1452" s="9" t="n"/>
      <c r="C1452" s="65" t="n"/>
      <c r="D1452" s="9" t="n"/>
      <c r="E1452" s="66">
        <f>IF($B1452="","",IF(LEFT($B1452,1)="━","⚠️ Chọn hạng mục cụ thể",$C1452*VLOOKUP($B1452,'4. CÀI ĐẶT'!$A$2:$H$32,2,FALSE)))</f>
        <v/>
      </c>
      <c r="F1452" s="67">
        <f>IF($B1452="",0,IF(LEFT($B1452,1)="━",0,$C1452*VLOOKUP($B1452,'4. CÀI ĐẶT'!$A$2:$H$32,3,FALSE)))</f>
        <v/>
      </c>
      <c r="G1452" s="67">
        <f>IF($B1452="",0,IF(LEFT($B1452,1)="━",0,$C1452*VLOOKUP($B1452,'4. CÀI ĐẶT'!$A$2:$H$32,4,FALSE)))</f>
        <v/>
      </c>
      <c r="H1452" s="67">
        <f>IF($B1452="",0,IF(LEFT($B1452,1)="━",0,$C1452*VLOOKUP($B1452,'4. CÀI ĐẶT'!$A$2:$H$32,5,FALSE)))</f>
        <v/>
      </c>
      <c r="I1452">
        <f>IF($B1452="","",IF(LEFT($B1452,1)="━","",VLOOKUP($B1452,'4. CÀI ĐẶT'!$A$2:$H$32,6,FALSE)))</f>
        <v/>
      </c>
      <c r="J1452" s="13">
        <f>IF($A1452="","",EOMONTH($A1452,0))</f>
        <v/>
      </c>
      <c r="K1452" s="67">
        <f>IF($B1452="",0,IF(LEFT($B1452,1)="━",0,$C1452*VLOOKUP($B1452,'4. CÀI ĐẶT'!$A$2:$H$32,7,FALSE)))</f>
        <v/>
      </c>
    </row>
    <row r="1453">
      <c r="A1453" s="8" t="n"/>
      <c r="B1453" s="9" t="n"/>
      <c r="C1453" s="65" t="n"/>
      <c r="D1453" s="9" t="n"/>
      <c r="E1453" s="66">
        <f>IF($B1453="","",IF(LEFT($B1453,1)="━","⚠️ Chọn hạng mục cụ thể",$C1453*VLOOKUP($B1453,'4. CÀI ĐẶT'!$A$2:$H$32,2,FALSE)))</f>
        <v/>
      </c>
      <c r="F1453" s="67">
        <f>IF($B1453="",0,IF(LEFT($B1453,1)="━",0,$C1453*VLOOKUP($B1453,'4. CÀI ĐẶT'!$A$2:$H$32,3,FALSE)))</f>
        <v/>
      </c>
      <c r="G1453" s="67">
        <f>IF($B1453="",0,IF(LEFT($B1453,1)="━",0,$C1453*VLOOKUP($B1453,'4. CÀI ĐẶT'!$A$2:$H$32,4,FALSE)))</f>
        <v/>
      </c>
      <c r="H1453" s="67">
        <f>IF($B1453="",0,IF(LEFT($B1453,1)="━",0,$C1453*VLOOKUP($B1453,'4. CÀI ĐẶT'!$A$2:$H$32,5,FALSE)))</f>
        <v/>
      </c>
      <c r="I1453">
        <f>IF($B1453="","",IF(LEFT($B1453,1)="━","",VLOOKUP($B1453,'4. CÀI ĐẶT'!$A$2:$H$32,6,FALSE)))</f>
        <v/>
      </c>
      <c r="J1453" s="13">
        <f>IF($A1453="","",EOMONTH($A1453,0))</f>
        <v/>
      </c>
      <c r="K1453" s="67">
        <f>IF($B1453="",0,IF(LEFT($B1453,1)="━",0,$C1453*VLOOKUP($B1453,'4. CÀI ĐẶT'!$A$2:$H$32,7,FALSE)))</f>
        <v/>
      </c>
    </row>
    <row r="1454">
      <c r="A1454" s="8" t="n"/>
      <c r="B1454" s="9" t="n"/>
      <c r="C1454" s="65" t="n"/>
      <c r="D1454" s="9" t="n"/>
      <c r="E1454" s="66">
        <f>IF($B1454="","",IF(LEFT($B1454,1)="━","⚠️ Chọn hạng mục cụ thể",$C1454*VLOOKUP($B1454,'4. CÀI ĐẶT'!$A$2:$H$32,2,FALSE)))</f>
        <v/>
      </c>
      <c r="F1454" s="67">
        <f>IF($B1454="",0,IF(LEFT($B1454,1)="━",0,$C1454*VLOOKUP($B1454,'4. CÀI ĐẶT'!$A$2:$H$32,3,FALSE)))</f>
        <v/>
      </c>
      <c r="G1454" s="67">
        <f>IF($B1454="",0,IF(LEFT($B1454,1)="━",0,$C1454*VLOOKUP($B1454,'4. CÀI ĐẶT'!$A$2:$H$32,4,FALSE)))</f>
        <v/>
      </c>
      <c r="H1454" s="67">
        <f>IF($B1454="",0,IF(LEFT($B1454,1)="━",0,$C1454*VLOOKUP($B1454,'4. CÀI ĐẶT'!$A$2:$H$32,5,FALSE)))</f>
        <v/>
      </c>
      <c r="I1454">
        <f>IF($B1454="","",IF(LEFT($B1454,1)="━","",VLOOKUP($B1454,'4. CÀI ĐẶT'!$A$2:$H$32,6,FALSE)))</f>
        <v/>
      </c>
      <c r="J1454" s="13">
        <f>IF($A1454="","",EOMONTH($A1454,0))</f>
        <v/>
      </c>
      <c r="K1454" s="67">
        <f>IF($B1454="",0,IF(LEFT($B1454,1)="━",0,$C1454*VLOOKUP($B1454,'4. CÀI ĐẶT'!$A$2:$H$32,7,FALSE)))</f>
        <v/>
      </c>
    </row>
    <row r="1455">
      <c r="A1455" s="8" t="n"/>
      <c r="B1455" s="9" t="n"/>
      <c r="C1455" s="65" t="n"/>
      <c r="D1455" s="9" t="n"/>
      <c r="E1455" s="66">
        <f>IF($B1455="","",IF(LEFT($B1455,1)="━","⚠️ Chọn hạng mục cụ thể",$C1455*VLOOKUP($B1455,'4. CÀI ĐẶT'!$A$2:$H$32,2,FALSE)))</f>
        <v/>
      </c>
      <c r="F1455" s="67">
        <f>IF($B1455="",0,IF(LEFT($B1455,1)="━",0,$C1455*VLOOKUP($B1455,'4. CÀI ĐẶT'!$A$2:$H$32,3,FALSE)))</f>
        <v/>
      </c>
      <c r="G1455" s="67">
        <f>IF($B1455="",0,IF(LEFT($B1455,1)="━",0,$C1455*VLOOKUP($B1455,'4. CÀI ĐẶT'!$A$2:$H$32,4,FALSE)))</f>
        <v/>
      </c>
      <c r="H1455" s="67">
        <f>IF($B1455="",0,IF(LEFT($B1455,1)="━",0,$C1455*VLOOKUP($B1455,'4. CÀI ĐẶT'!$A$2:$H$32,5,FALSE)))</f>
        <v/>
      </c>
      <c r="I1455">
        <f>IF($B1455="","",IF(LEFT($B1455,1)="━","",VLOOKUP($B1455,'4. CÀI ĐẶT'!$A$2:$H$32,6,FALSE)))</f>
        <v/>
      </c>
      <c r="J1455" s="13">
        <f>IF($A1455="","",EOMONTH($A1455,0))</f>
        <v/>
      </c>
      <c r="K1455" s="67">
        <f>IF($B1455="",0,IF(LEFT($B1455,1)="━",0,$C1455*VLOOKUP($B1455,'4. CÀI ĐẶT'!$A$2:$H$32,7,FALSE)))</f>
        <v/>
      </c>
    </row>
    <row r="1456">
      <c r="A1456" s="8" t="n"/>
      <c r="B1456" s="9" t="n"/>
      <c r="C1456" s="65" t="n"/>
      <c r="D1456" s="9" t="n"/>
      <c r="E1456" s="66">
        <f>IF($B1456="","",IF(LEFT($B1456,1)="━","⚠️ Chọn hạng mục cụ thể",$C1456*VLOOKUP($B1456,'4. CÀI ĐẶT'!$A$2:$H$32,2,FALSE)))</f>
        <v/>
      </c>
      <c r="F1456" s="67">
        <f>IF($B1456="",0,IF(LEFT($B1456,1)="━",0,$C1456*VLOOKUP($B1456,'4. CÀI ĐẶT'!$A$2:$H$32,3,FALSE)))</f>
        <v/>
      </c>
      <c r="G1456" s="67">
        <f>IF($B1456="",0,IF(LEFT($B1456,1)="━",0,$C1456*VLOOKUP($B1456,'4. CÀI ĐẶT'!$A$2:$H$32,4,FALSE)))</f>
        <v/>
      </c>
      <c r="H1456" s="67">
        <f>IF($B1456="",0,IF(LEFT($B1456,1)="━",0,$C1456*VLOOKUP($B1456,'4. CÀI ĐẶT'!$A$2:$H$32,5,FALSE)))</f>
        <v/>
      </c>
      <c r="I1456">
        <f>IF($B1456="","",IF(LEFT($B1456,1)="━","",VLOOKUP($B1456,'4. CÀI ĐẶT'!$A$2:$H$32,6,FALSE)))</f>
        <v/>
      </c>
      <c r="J1456" s="13">
        <f>IF($A1456="","",EOMONTH($A1456,0))</f>
        <v/>
      </c>
      <c r="K1456" s="67">
        <f>IF($B1456="",0,IF(LEFT($B1456,1)="━",0,$C1456*VLOOKUP($B1456,'4. CÀI ĐẶT'!$A$2:$H$32,7,FALSE)))</f>
        <v/>
      </c>
    </row>
    <row r="1457">
      <c r="A1457" s="8" t="n"/>
      <c r="B1457" s="9" t="n"/>
      <c r="C1457" s="65" t="n"/>
      <c r="D1457" s="9" t="n"/>
      <c r="E1457" s="66">
        <f>IF($B1457="","",IF(LEFT($B1457,1)="━","⚠️ Chọn hạng mục cụ thể",$C1457*VLOOKUP($B1457,'4. CÀI ĐẶT'!$A$2:$H$32,2,FALSE)))</f>
        <v/>
      </c>
      <c r="F1457" s="67">
        <f>IF($B1457="",0,IF(LEFT($B1457,1)="━",0,$C1457*VLOOKUP($B1457,'4. CÀI ĐẶT'!$A$2:$H$32,3,FALSE)))</f>
        <v/>
      </c>
      <c r="G1457" s="67">
        <f>IF($B1457="",0,IF(LEFT($B1457,1)="━",0,$C1457*VLOOKUP($B1457,'4. CÀI ĐẶT'!$A$2:$H$32,4,FALSE)))</f>
        <v/>
      </c>
      <c r="H1457" s="67">
        <f>IF($B1457="",0,IF(LEFT($B1457,1)="━",0,$C1457*VLOOKUP($B1457,'4. CÀI ĐẶT'!$A$2:$H$32,5,FALSE)))</f>
        <v/>
      </c>
      <c r="I1457">
        <f>IF($B1457="","",IF(LEFT($B1457,1)="━","",VLOOKUP($B1457,'4. CÀI ĐẶT'!$A$2:$H$32,6,FALSE)))</f>
        <v/>
      </c>
      <c r="J1457" s="13">
        <f>IF($A1457="","",EOMONTH($A1457,0))</f>
        <v/>
      </c>
      <c r="K1457" s="67">
        <f>IF($B1457="",0,IF(LEFT($B1457,1)="━",0,$C1457*VLOOKUP($B1457,'4. CÀI ĐẶT'!$A$2:$H$32,7,FALSE)))</f>
        <v/>
      </c>
    </row>
    <row r="1458">
      <c r="A1458" s="8" t="n"/>
      <c r="B1458" s="9" t="n"/>
      <c r="C1458" s="65" t="n"/>
      <c r="D1458" s="9" t="n"/>
      <c r="E1458" s="66">
        <f>IF($B1458="","",IF(LEFT($B1458,1)="━","⚠️ Chọn hạng mục cụ thể",$C1458*VLOOKUP($B1458,'4. CÀI ĐẶT'!$A$2:$H$32,2,FALSE)))</f>
        <v/>
      </c>
      <c r="F1458" s="67">
        <f>IF($B1458="",0,IF(LEFT($B1458,1)="━",0,$C1458*VLOOKUP($B1458,'4. CÀI ĐẶT'!$A$2:$H$32,3,FALSE)))</f>
        <v/>
      </c>
      <c r="G1458" s="67">
        <f>IF($B1458="",0,IF(LEFT($B1458,1)="━",0,$C1458*VLOOKUP($B1458,'4. CÀI ĐẶT'!$A$2:$H$32,4,FALSE)))</f>
        <v/>
      </c>
      <c r="H1458" s="67">
        <f>IF($B1458="",0,IF(LEFT($B1458,1)="━",0,$C1458*VLOOKUP($B1458,'4. CÀI ĐẶT'!$A$2:$H$32,5,FALSE)))</f>
        <v/>
      </c>
      <c r="I1458">
        <f>IF($B1458="","",IF(LEFT($B1458,1)="━","",VLOOKUP($B1458,'4. CÀI ĐẶT'!$A$2:$H$32,6,FALSE)))</f>
        <v/>
      </c>
      <c r="J1458" s="13">
        <f>IF($A1458="","",EOMONTH($A1458,0))</f>
        <v/>
      </c>
      <c r="K1458" s="67">
        <f>IF($B1458="",0,IF(LEFT($B1458,1)="━",0,$C1458*VLOOKUP($B1458,'4. CÀI ĐẶT'!$A$2:$H$32,7,FALSE)))</f>
        <v/>
      </c>
    </row>
    <row r="1459">
      <c r="A1459" s="8" t="n"/>
      <c r="B1459" s="9" t="n"/>
      <c r="C1459" s="65" t="n"/>
      <c r="D1459" s="9" t="n"/>
      <c r="E1459" s="66">
        <f>IF($B1459="","",IF(LEFT($B1459,1)="━","⚠️ Chọn hạng mục cụ thể",$C1459*VLOOKUP($B1459,'4. CÀI ĐẶT'!$A$2:$H$32,2,FALSE)))</f>
        <v/>
      </c>
      <c r="F1459" s="67">
        <f>IF($B1459="",0,IF(LEFT($B1459,1)="━",0,$C1459*VLOOKUP($B1459,'4. CÀI ĐẶT'!$A$2:$H$32,3,FALSE)))</f>
        <v/>
      </c>
      <c r="G1459" s="67">
        <f>IF($B1459="",0,IF(LEFT($B1459,1)="━",0,$C1459*VLOOKUP($B1459,'4. CÀI ĐẶT'!$A$2:$H$32,4,FALSE)))</f>
        <v/>
      </c>
      <c r="H1459" s="67">
        <f>IF($B1459="",0,IF(LEFT($B1459,1)="━",0,$C1459*VLOOKUP($B1459,'4. CÀI ĐẶT'!$A$2:$H$32,5,FALSE)))</f>
        <v/>
      </c>
      <c r="I1459">
        <f>IF($B1459="","",IF(LEFT($B1459,1)="━","",VLOOKUP($B1459,'4. CÀI ĐẶT'!$A$2:$H$32,6,FALSE)))</f>
        <v/>
      </c>
      <c r="J1459" s="13">
        <f>IF($A1459="","",EOMONTH($A1459,0))</f>
        <v/>
      </c>
      <c r="K1459" s="67">
        <f>IF($B1459="",0,IF(LEFT($B1459,1)="━",0,$C1459*VLOOKUP($B1459,'4. CÀI ĐẶT'!$A$2:$H$32,7,FALSE)))</f>
        <v/>
      </c>
    </row>
    <row r="1460">
      <c r="A1460" s="8" t="n"/>
      <c r="B1460" s="9" t="n"/>
      <c r="C1460" s="65" t="n"/>
      <c r="D1460" s="9" t="n"/>
      <c r="E1460" s="66">
        <f>IF($B1460="","",IF(LEFT($B1460,1)="━","⚠️ Chọn hạng mục cụ thể",$C1460*VLOOKUP($B1460,'4. CÀI ĐẶT'!$A$2:$H$32,2,FALSE)))</f>
        <v/>
      </c>
      <c r="F1460" s="67">
        <f>IF($B1460="",0,IF(LEFT($B1460,1)="━",0,$C1460*VLOOKUP($B1460,'4. CÀI ĐẶT'!$A$2:$H$32,3,FALSE)))</f>
        <v/>
      </c>
      <c r="G1460" s="67">
        <f>IF($B1460="",0,IF(LEFT($B1460,1)="━",0,$C1460*VLOOKUP($B1460,'4. CÀI ĐẶT'!$A$2:$H$32,4,FALSE)))</f>
        <v/>
      </c>
      <c r="H1460" s="67">
        <f>IF($B1460="",0,IF(LEFT($B1460,1)="━",0,$C1460*VLOOKUP($B1460,'4. CÀI ĐẶT'!$A$2:$H$32,5,FALSE)))</f>
        <v/>
      </c>
      <c r="I1460">
        <f>IF($B1460="","",IF(LEFT($B1460,1)="━","",VLOOKUP($B1460,'4. CÀI ĐẶT'!$A$2:$H$32,6,FALSE)))</f>
        <v/>
      </c>
      <c r="J1460" s="13">
        <f>IF($A1460="","",EOMONTH($A1460,0))</f>
        <v/>
      </c>
      <c r="K1460" s="67">
        <f>IF($B1460="",0,IF(LEFT($B1460,1)="━",0,$C1460*VLOOKUP($B1460,'4. CÀI ĐẶT'!$A$2:$H$32,7,FALSE)))</f>
        <v/>
      </c>
    </row>
    <row r="1461">
      <c r="A1461" s="8" t="n"/>
      <c r="B1461" s="9" t="n"/>
      <c r="C1461" s="65" t="n"/>
      <c r="D1461" s="9" t="n"/>
      <c r="E1461" s="66">
        <f>IF($B1461="","",IF(LEFT($B1461,1)="━","⚠️ Chọn hạng mục cụ thể",$C1461*VLOOKUP($B1461,'4. CÀI ĐẶT'!$A$2:$H$32,2,FALSE)))</f>
        <v/>
      </c>
      <c r="F1461" s="67">
        <f>IF($B1461="",0,IF(LEFT($B1461,1)="━",0,$C1461*VLOOKUP($B1461,'4. CÀI ĐẶT'!$A$2:$H$32,3,FALSE)))</f>
        <v/>
      </c>
      <c r="G1461" s="67">
        <f>IF($B1461="",0,IF(LEFT($B1461,1)="━",0,$C1461*VLOOKUP($B1461,'4. CÀI ĐẶT'!$A$2:$H$32,4,FALSE)))</f>
        <v/>
      </c>
      <c r="H1461" s="67">
        <f>IF($B1461="",0,IF(LEFT($B1461,1)="━",0,$C1461*VLOOKUP($B1461,'4. CÀI ĐẶT'!$A$2:$H$32,5,FALSE)))</f>
        <v/>
      </c>
      <c r="I1461">
        <f>IF($B1461="","",IF(LEFT($B1461,1)="━","",VLOOKUP($B1461,'4. CÀI ĐẶT'!$A$2:$H$32,6,FALSE)))</f>
        <v/>
      </c>
      <c r="J1461" s="13">
        <f>IF($A1461="","",EOMONTH($A1461,0))</f>
        <v/>
      </c>
      <c r="K1461" s="67">
        <f>IF($B1461="",0,IF(LEFT($B1461,1)="━",0,$C1461*VLOOKUP($B1461,'4. CÀI ĐẶT'!$A$2:$H$32,7,FALSE)))</f>
        <v/>
      </c>
    </row>
    <row r="1462">
      <c r="A1462" s="8" t="n"/>
      <c r="B1462" s="9" t="n"/>
      <c r="C1462" s="65" t="n"/>
      <c r="D1462" s="9" t="n"/>
      <c r="E1462" s="66">
        <f>IF($B1462="","",IF(LEFT($B1462,1)="━","⚠️ Chọn hạng mục cụ thể",$C1462*VLOOKUP($B1462,'4. CÀI ĐẶT'!$A$2:$H$32,2,FALSE)))</f>
        <v/>
      </c>
      <c r="F1462" s="67">
        <f>IF($B1462="",0,IF(LEFT($B1462,1)="━",0,$C1462*VLOOKUP($B1462,'4. CÀI ĐẶT'!$A$2:$H$32,3,FALSE)))</f>
        <v/>
      </c>
      <c r="G1462" s="67">
        <f>IF($B1462="",0,IF(LEFT($B1462,1)="━",0,$C1462*VLOOKUP($B1462,'4. CÀI ĐẶT'!$A$2:$H$32,4,FALSE)))</f>
        <v/>
      </c>
      <c r="H1462" s="67">
        <f>IF($B1462="",0,IF(LEFT($B1462,1)="━",0,$C1462*VLOOKUP($B1462,'4. CÀI ĐẶT'!$A$2:$H$32,5,FALSE)))</f>
        <v/>
      </c>
      <c r="I1462">
        <f>IF($B1462="","",IF(LEFT($B1462,1)="━","",VLOOKUP($B1462,'4. CÀI ĐẶT'!$A$2:$H$32,6,FALSE)))</f>
        <v/>
      </c>
      <c r="J1462" s="13">
        <f>IF($A1462="","",EOMONTH($A1462,0))</f>
        <v/>
      </c>
      <c r="K1462" s="67">
        <f>IF($B1462="",0,IF(LEFT($B1462,1)="━",0,$C1462*VLOOKUP($B1462,'4. CÀI ĐẶT'!$A$2:$H$32,7,FALSE)))</f>
        <v/>
      </c>
    </row>
    <row r="1463">
      <c r="A1463" s="8" t="n"/>
      <c r="B1463" s="9" t="n"/>
      <c r="C1463" s="65" t="n"/>
      <c r="D1463" s="9" t="n"/>
      <c r="E1463" s="66">
        <f>IF($B1463="","",IF(LEFT($B1463,1)="━","⚠️ Chọn hạng mục cụ thể",$C1463*VLOOKUP($B1463,'4. CÀI ĐẶT'!$A$2:$H$32,2,FALSE)))</f>
        <v/>
      </c>
      <c r="F1463" s="67">
        <f>IF($B1463="",0,IF(LEFT($B1463,1)="━",0,$C1463*VLOOKUP($B1463,'4. CÀI ĐẶT'!$A$2:$H$32,3,FALSE)))</f>
        <v/>
      </c>
      <c r="G1463" s="67">
        <f>IF($B1463="",0,IF(LEFT($B1463,1)="━",0,$C1463*VLOOKUP($B1463,'4. CÀI ĐẶT'!$A$2:$H$32,4,FALSE)))</f>
        <v/>
      </c>
      <c r="H1463" s="67">
        <f>IF($B1463="",0,IF(LEFT($B1463,1)="━",0,$C1463*VLOOKUP($B1463,'4. CÀI ĐẶT'!$A$2:$H$32,5,FALSE)))</f>
        <v/>
      </c>
      <c r="I1463">
        <f>IF($B1463="","",IF(LEFT($B1463,1)="━","",VLOOKUP($B1463,'4. CÀI ĐẶT'!$A$2:$H$32,6,FALSE)))</f>
        <v/>
      </c>
      <c r="J1463" s="13">
        <f>IF($A1463="","",EOMONTH($A1463,0))</f>
        <v/>
      </c>
      <c r="K1463" s="67">
        <f>IF($B1463="",0,IF(LEFT($B1463,1)="━",0,$C1463*VLOOKUP($B1463,'4. CÀI ĐẶT'!$A$2:$H$32,7,FALSE)))</f>
        <v/>
      </c>
    </row>
    <row r="1464">
      <c r="A1464" s="8" t="n"/>
      <c r="B1464" s="9" t="n"/>
      <c r="C1464" s="65" t="n"/>
      <c r="D1464" s="9" t="n"/>
      <c r="E1464" s="66">
        <f>IF($B1464="","",IF(LEFT($B1464,1)="━","⚠️ Chọn hạng mục cụ thể",$C1464*VLOOKUP($B1464,'4. CÀI ĐẶT'!$A$2:$H$32,2,FALSE)))</f>
        <v/>
      </c>
      <c r="F1464" s="67">
        <f>IF($B1464="",0,IF(LEFT($B1464,1)="━",0,$C1464*VLOOKUP($B1464,'4. CÀI ĐẶT'!$A$2:$H$32,3,FALSE)))</f>
        <v/>
      </c>
      <c r="G1464" s="67">
        <f>IF($B1464="",0,IF(LEFT($B1464,1)="━",0,$C1464*VLOOKUP($B1464,'4. CÀI ĐẶT'!$A$2:$H$32,4,FALSE)))</f>
        <v/>
      </c>
      <c r="H1464" s="67">
        <f>IF($B1464="",0,IF(LEFT($B1464,1)="━",0,$C1464*VLOOKUP($B1464,'4. CÀI ĐẶT'!$A$2:$H$32,5,FALSE)))</f>
        <v/>
      </c>
      <c r="I1464">
        <f>IF($B1464="","",IF(LEFT($B1464,1)="━","",VLOOKUP($B1464,'4. CÀI ĐẶT'!$A$2:$H$32,6,FALSE)))</f>
        <v/>
      </c>
      <c r="J1464" s="13">
        <f>IF($A1464="","",EOMONTH($A1464,0))</f>
        <v/>
      </c>
      <c r="K1464" s="67">
        <f>IF($B1464="",0,IF(LEFT($B1464,1)="━",0,$C1464*VLOOKUP($B1464,'4. CÀI ĐẶT'!$A$2:$H$32,7,FALSE)))</f>
        <v/>
      </c>
    </row>
    <row r="1465">
      <c r="A1465" s="8" t="n"/>
      <c r="B1465" s="9" t="n"/>
      <c r="C1465" s="65" t="n"/>
      <c r="D1465" s="9" t="n"/>
      <c r="E1465" s="66">
        <f>IF($B1465="","",IF(LEFT($B1465,1)="━","⚠️ Chọn hạng mục cụ thể",$C1465*VLOOKUP($B1465,'4. CÀI ĐẶT'!$A$2:$H$32,2,FALSE)))</f>
        <v/>
      </c>
      <c r="F1465" s="67">
        <f>IF($B1465="",0,IF(LEFT($B1465,1)="━",0,$C1465*VLOOKUP($B1465,'4. CÀI ĐẶT'!$A$2:$H$32,3,FALSE)))</f>
        <v/>
      </c>
      <c r="G1465" s="67">
        <f>IF($B1465="",0,IF(LEFT($B1465,1)="━",0,$C1465*VLOOKUP($B1465,'4. CÀI ĐẶT'!$A$2:$H$32,4,FALSE)))</f>
        <v/>
      </c>
      <c r="H1465" s="67">
        <f>IF($B1465="",0,IF(LEFT($B1465,1)="━",0,$C1465*VLOOKUP($B1465,'4. CÀI ĐẶT'!$A$2:$H$32,5,FALSE)))</f>
        <v/>
      </c>
      <c r="I1465">
        <f>IF($B1465="","",IF(LEFT($B1465,1)="━","",VLOOKUP($B1465,'4. CÀI ĐẶT'!$A$2:$H$32,6,FALSE)))</f>
        <v/>
      </c>
      <c r="J1465" s="13">
        <f>IF($A1465="","",EOMONTH($A1465,0))</f>
        <v/>
      </c>
      <c r="K1465" s="67">
        <f>IF($B1465="",0,IF(LEFT($B1465,1)="━",0,$C1465*VLOOKUP($B1465,'4. CÀI ĐẶT'!$A$2:$H$32,7,FALSE)))</f>
        <v/>
      </c>
    </row>
    <row r="1466">
      <c r="A1466" s="8" t="n"/>
      <c r="B1466" s="9" t="n"/>
      <c r="C1466" s="65" t="n"/>
      <c r="D1466" s="9" t="n"/>
      <c r="E1466" s="66">
        <f>IF($B1466="","",IF(LEFT($B1466,1)="━","⚠️ Chọn hạng mục cụ thể",$C1466*VLOOKUP($B1466,'4. CÀI ĐẶT'!$A$2:$H$32,2,FALSE)))</f>
        <v/>
      </c>
      <c r="F1466" s="67">
        <f>IF($B1466="",0,IF(LEFT($B1466,1)="━",0,$C1466*VLOOKUP($B1466,'4. CÀI ĐẶT'!$A$2:$H$32,3,FALSE)))</f>
        <v/>
      </c>
      <c r="G1466" s="67">
        <f>IF($B1466="",0,IF(LEFT($B1466,1)="━",0,$C1466*VLOOKUP($B1466,'4. CÀI ĐẶT'!$A$2:$H$32,4,FALSE)))</f>
        <v/>
      </c>
      <c r="H1466" s="67">
        <f>IF($B1466="",0,IF(LEFT($B1466,1)="━",0,$C1466*VLOOKUP($B1466,'4. CÀI ĐẶT'!$A$2:$H$32,5,FALSE)))</f>
        <v/>
      </c>
      <c r="I1466">
        <f>IF($B1466="","",IF(LEFT($B1466,1)="━","",VLOOKUP($B1466,'4. CÀI ĐẶT'!$A$2:$H$32,6,FALSE)))</f>
        <v/>
      </c>
      <c r="J1466" s="13">
        <f>IF($A1466="","",EOMONTH($A1466,0))</f>
        <v/>
      </c>
      <c r="K1466" s="67">
        <f>IF($B1466="",0,IF(LEFT($B1466,1)="━",0,$C1466*VLOOKUP($B1466,'4. CÀI ĐẶT'!$A$2:$H$32,7,FALSE)))</f>
        <v/>
      </c>
    </row>
    <row r="1467">
      <c r="A1467" s="8" t="n"/>
      <c r="B1467" s="9" t="n"/>
      <c r="C1467" s="65" t="n"/>
      <c r="D1467" s="9" t="n"/>
      <c r="E1467" s="66">
        <f>IF($B1467="","",IF(LEFT($B1467,1)="━","⚠️ Chọn hạng mục cụ thể",$C1467*VLOOKUP($B1467,'4. CÀI ĐẶT'!$A$2:$H$32,2,FALSE)))</f>
        <v/>
      </c>
      <c r="F1467" s="67">
        <f>IF($B1467="",0,IF(LEFT($B1467,1)="━",0,$C1467*VLOOKUP($B1467,'4. CÀI ĐẶT'!$A$2:$H$32,3,FALSE)))</f>
        <v/>
      </c>
      <c r="G1467" s="67">
        <f>IF($B1467="",0,IF(LEFT($B1467,1)="━",0,$C1467*VLOOKUP($B1467,'4. CÀI ĐẶT'!$A$2:$H$32,4,FALSE)))</f>
        <v/>
      </c>
      <c r="H1467" s="67">
        <f>IF($B1467="",0,IF(LEFT($B1467,1)="━",0,$C1467*VLOOKUP($B1467,'4. CÀI ĐẶT'!$A$2:$H$32,5,FALSE)))</f>
        <v/>
      </c>
      <c r="I1467">
        <f>IF($B1467="","",IF(LEFT($B1467,1)="━","",VLOOKUP($B1467,'4. CÀI ĐẶT'!$A$2:$H$32,6,FALSE)))</f>
        <v/>
      </c>
      <c r="J1467" s="13">
        <f>IF($A1467="","",EOMONTH($A1467,0))</f>
        <v/>
      </c>
      <c r="K1467" s="67">
        <f>IF($B1467="",0,IF(LEFT($B1467,1)="━",0,$C1467*VLOOKUP($B1467,'4. CÀI ĐẶT'!$A$2:$H$32,7,FALSE)))</f>
        <v/>
      </c>
    </row>
    <row r="1468">
      <c r="A1468" s="8" t="n"/>
      <c r="B1468" s="9" t="n"/>
      <c r="C1468" s="65" t="n"/>
      <c r="D1468" s="9" t="n"/>
      <c r="E1468" s="66">
        <f>IF($B1468="","",IF(LEFT($B1468,1)="━","⚠️ Chọn hạng mục cụ thể",$C1468*VLOOKUP($B1468,'4. CÀI ĐẶT'!$A$2:$H$32,2,FALSE)))</f>
        <v/>
      </c>
      <c r="F1468" s="67">
        <f>IF($B1468="",0,IF(LEFT($B1468,1)="━",0,$C1468*VLOOKUP($B1468,'4. CÀI ĐẶT'!$A$2:$H$32,3,FALSE)))</f>
        <v/>
      </c>
      <c r="G1468" s="67">
        <f>IF($B1468="",0,IF(LEFT($B1468,1)="━",0,$C1468*VLOOKUP($B1468,'4. CÀI ĐẶT'!$A$2:$H$32,4,FALSE)))</f>
        <v/>
      </c>
      <c r="H1468" s="67">
        <f>IF($B1468="",0,IF(LEFT($B1468,1)="━",0,$C1468*VLOOKUP($B1468,'4. CÀI ĐẶT'!$A$2:$H$32,5,FALSE)))</f>
        <v/>
      </c>
      <c r="I1468">
        <f>IF($B1468="","",IF(LEFT($B1468,1)="━","",VLOOKUP($B1468,'4. CÀI ĐẶT'!$A$2:$H$32,6,FALSE)))</f>
        <v/>
      </c>
      <c r="J1468" s="13">
        <f>IF($A1468="","",EOMONTH($A1468,0))</f>
        <v/>
      </c>
      <c r="K1468" s="67">
        <f>IF($B1468="",0,IF(LEFT($B1468,1)="━",0,$C1468*VLOOKUP($B1468,'4. CÀI ĐẶT'!$A$2:$H$32,7,FALSE)))</f>
        <v/>
      </c>
    </row>
    <row r="1469">
      <c r="A1469" s="8" t="n"/>
      <c r="B1469" s="9" t="n"/>
      <c r="C1469" s="65" t="n"/>
      <c r="D1469" s="9" t="n"/>
      <c r="E1469" s="66">
        <f>IF($B1469="","",IF(LEFT($B1469,1)="━","⚠️ Chọn hạng mục cụ thể",$C1469*VLOOKUP($B1469,'4. CÀI ĐẶT'!$A$2:$H$32,2,FALSE)))</f>
        <v/>
      </c>
      <c r="F1469" s="67">
        <f>IF($B1469="",0,IF(LEFT($B1469,1)="━",0,$C1469*VLOOKUP($B1469,'4. CÀI ĐẶT'!$A$2:$H$32,3,FALSE)))</f>
        <v/>
      </c>
      <c r="G1469" s="67">
        <f>IF($B1469="",0,IF(LEFT($B1469,1)="━",0,$C1469*VLOOKUP($B1469,'4. CÀI ĐẶT'!$A$2:$H$32,4,FALSE)))</f>
        <v/>
      </c>
      <c r="H1469" s="67">
        <f>IF($B1469="",0,IF(LEFT($B1469,1)="━",0,$C1469*VLOOKUP($B1469,'4. CÀI ĐẶT'!$A$2:$H$32,5,FALSE)))</f>
        <v/>
      </c>
      <c r="I1469">
        <f>IF($B1469="","",IF(LEFT($B1469,1)="━","",VLOOKUP($B1469,'4. CÀI ĐẶT'!$A$2:$H$32,6,FALSE)))</f>
        <v/>
      </c>
      <c r="J1469" s="13">
        <f>IF($A1469="","",EOMONTH($A1469,0))</f>
        <v/>
      </c>
      <c r="K1469" s="67">
        <f>IF($B1469="",0,IF(LEFT($B1469,1)="━",0,$C1469*VLOOKUP($B1469,'4. CÀI ĐẶT'!$A$2:$H$32,7,FALSE)))</f>
        <v/>
      </c>
    </row>
    <row r="1470">
      <c r="A1470" s="8" t="n"/>
      <c r="B1470" s="9" t="n"/>
      <c r="C1470" s="65" t="n"/>
      <c r="D1470" s="9" t="n"/>
      <c r="E1470" s="66">
        <f>IF($B1470="","",IF(LEFT($B1470,1)="━","⚠️ Chọn hạng mục cụ thể",$C1470*VLOOKUP($B1470,'4. CÀI ĐẶT'!$A$2:$H$32,2,FALSE)))</f>
        <v/>
      </c>
      <c r="F1470" s="67">
        <f>IF($B1470="",0,IF(LEFT($B1470,1)="━",0,$C1470*VLOOKUP($B1470,'4. CÀI ĐẶT'!$A$2:$H$32,3,FALSE)))</f>
        <v/>
      </c>
      <c r="G1470" s="67">
        <f>IF($B1470="",0,IF(LEFT($B1470,1)="━",0,$C1470*VLOOKUP($B1470,'4. CÀI ĐẶT'!$A$2:$H$32,4,FALSE)))</f>
        <v/>
      </c>
      <c r="H1470" s="67">
        <f>IF($B1470="",0,IF(LEFT($B1470,1)="━",0,$C1470*VLOOKUP($B1470,'4. CÀI ĐẶT'!$A$2:$H$32,5,FALSE)))</f>
        <v/>
      </c>
      <c r="I1470">
        <f>IF($B1470="","",IF(LEFT($B1470,1)="━","",VLOOKUP($B1470,'4. CÀI ĐẶT'!$A$2:$H$32,6,FALSE)))</f>
        <v/>
      </c>
      <c r="J1470" s="13">
        <f>IF($A1470="","",EOMONTH($A1470,0))</f>
        <v/>
      </c>
      <c r="K1470" s="67">
        <f>IF($B1470="",0,IF(LEFT($B1470,1)="━",0,$C1470*VLOOKUP($B1470,'4. CÀI ĐẶT'!$A$2:$H$32,7,FALSE)))</f>
        <v/>
      </c>
    </row>
    <row r="1471">
      <c r="A1471" s="8" t="n"/>
      <c r="B1471" s="9" t="n"/>
      <c r="C1471" s="65" t="n"/>
      <c r="D1471" s="9" t="n"/>
      <c r="E1471" s="66">
        <f>IF($B1471="","",IF(LEFT($B1471,1)="━","⚠️ Chọn hạng mục cụ thể",$C1471*VLOOKUP($B1471,'4. CÀI ĐẶT'!$A$2:$H$32,2,FALSE)))</f>
        <v/>
      </c>
      <c r="F1471" s="67">
        <f>IF($B1471="",0,IF(LEFT($B1471,1)="━",0,$C1471*VLOOKUP($B1471,'4. CÀI ĐẶT'!$A$2:$H$32,3,FALSE)))</f>
        <v/>
      </c>
      <c r="G1471" s="67">
        <f>IF($B1471="",0,IF(LEFT($B1471,1)="━",0,$C1471*VLOOKUP($B1471,'4. CÀI ĐẶT'!$A$2:$H$32,4,FALSE)))</f>
        <v/>
      </c>
      <c r="H1471" s="67">
        <f>IF($B1471="",0,IF(LEFT($B1471,1)="━",0,$C1471*VLOOKUP($B1471,'4. CÀI ĐẶT'!$A$2:$H$32,5,FALSE)))</f>
        <v/>
      </c>
      <c r="I1471">
        <f>IF($B1471="","",IF(LEFT($B1471,1)="━","",VLOOKUP($B1471,'4. CÀI ĐẶT'!$A$2:$H$32,6,FALSE)))</f>
        <v/>
      </c>
      <c r="J1471" s="13">
        <f>IF($A1471="","",EOMONTH($A1471,0))</f>
        <v/>
      </c>
      <c r="K1471" s="67">
        <f>IF($B1471="",0,IF(LEFT($B1471,1)="━",0,$C1471*VLOOKUP($B1471,'4. CÀI ĐẶT'!$A$2:$H$32,7,FALSE)))</f>
        <v/>
      </c>
    </row>
    <row r="1472">
      <c r="A1472" s="8" t="n"/>
      <c r="B1472" s="9" t="n"/>
      <c r="C1472" s="65" t="n"/>
      <c r="D1472" s="9" t="n"/>
      <c r="E1472" s="66">
        <f>IF($B1472="","",IF(LEFT($B1472,1)="━","⚠️ Chọn hạng mục cụ thể",$C1472*VLOOKUP($B1472,'4. CÀI ĐẶT'!$A$2:$H$32,2,FALSE)))</f>
        <v/>
      </c>
      <c r="F1472" s="67">
        <f>IF($B1472="",0,IF(LEFT($B1472,1)="━",0,$C1472*VLOOKUP($B1472,'4. CÀI ĐẶT'!$A$2:$H$32,3,FALSE)))</f>
        <v/>
      </c>
      <c r="G1472" s="67">
        <f>IF($B1472="",0,IF(LEFT($B1472,1)="━",0,$C1472*VLOOKUP($B1472,'4. CÀI ĐẶT'!$A$2:$H$32,4,FALSE)))</f>
        <v/>
      </c>
      <c r="H1472" s="67">
        <f>IF($B1472="",0,IF(LEFT($B1472,1)="━",0,$C1472*VLOOKUP($B1472,'4. CÀI ĐẶT'!$A$2:$H$32,5,FALSE)))</f>
        <v/>
      </c>
      <c r="I1472">
        <f>IF($B1472="","",IF(LEFT($B1472,1)="━","",VLOOKUP($B1472,'4. CÀI ĐẶT'!$A$2:$H$32,6,FALSE)))</f>
        <v/>
      </c>
      <c r="J1472" s="13">
        <f>IF($A1472="","",EOMONTH($A1472,0))</f>
        <v/>
      </c>
      <c r="K1472" s="67">
        <f>IF($B1472="",0,IF(LEFT($B1472,1)="━",0,$C1472*VLOOKUP($B1472,'4. CÀI ĐẶT'!$A$2:$H$32,7,FALSE)))</f>
        <v/>
      </c>
    </row>
    <row r="1473">
      <c r="A1473" s="8" t="n"/>
      <c r="B1473" s="9" t="n"/>
      <c r="C1473" s="65" t="n"/>
      <c r="D1473" s="9" t="n"/>
      <c r="E1473" s="66">
        <f>IF($B1473="","",IF(LEFT($B1473,1)="━","⚠️ Chọn hạng mục cụ thể",$C1473*VLOOKUP($B1473,'4. CÀI ĐẶT'!$A$2:$H$32,2,FALSE)))</f>
        <v/>
      </c>
      <c r="F1473" s="67">
        <f>IF($B1473="",0,IF(LEFT($B1473,1)="━",0,$C1473*VLOOKUP($B1473,'4. CÀI ĐẶT'!$A$2:$H$32,3,FALSE)))</f>
        <v/>
      </c>
      <c r="G1473" s="67">
        <f>IF($B1473="",0,IF(LEFT($B1473,1)="━",0,$C1473*VLOOKUP($B1473,'4. CÀI ĐẶT'!$A$2:$H$32,4,FALSE)))</f>
        <v/>
      </c>
      <c r="H1473" s="67">
        <f>IF($B1473="",0,IF(LEFT($B1473,1)="━",0,$C1473*VLOOKUP($B1473,'4. CÀI ĐẶT'!$A$2:$H$32,5,FALSE)))</f>
        <v/>
      </c>
      <c r="I1473">
        <f>IF($B1473="","",IF(LEFT($B1473,1)="━","",VLOOKUP($B1473,'4. CÀI ĐẶT'!$A$2:$H$32,6,FALSE)))</f>
        <v/>
      </c>
      <c r="J1473" s="13">
        <f>IF($A1473="","",EOMONTH($A1473,0))</f>
        <v/>
      </c>
      <c r="K1473" s="67">
        <f>IF($B1473="",0,IF(LEFT($B1473,1)="━",0,$C1473*VLOOKUP($B1473,'4. CÀI ĐẶT'!$A$2:$H$32,7,FALSE)))</f>
        <v/>
      </c>
    </row>
    <row r="1474">
      <c r="A1474" s="8" t="n"/>
      <c r="B1474" s="9" t="n"/>
      <c r="C1474" s="65" t="n"/>
      <c r="D1474" s="9" t="n"/>
      <c r="E1474" s="66">
        <f>IF($B1474="","",IF(LEFT($B1474,1)="━","⚠️ Chọn hạng mục cụ thể",$C1474*VLOOKUP($B1474,'4. CÀI ĐẶT'!$A$2:$H$32,2,FALSE)))</f>
        <v/>
      </c>
      <c r="F1474" s="67">
        <f>IF($B1474="",0,IF(LEFT($B1474,1)="━",0,$C1474*VLOOKUP($B1474,'4. CÀI ĐẶT'!$A$2:$H$32,3,FALSE)))</f>
        <v/>
      </c>
      <c r="G1474" s="67">
        <f>IF($B1474="",0,IF(LEFT($B1474,1)="━",0,$C1474*VLOOKUP($B1474,'4. CÀI ĐẶT'!$A$2:$H$32,4,FALSE)))</f>
        <v/>
      </c>
      <c r="H1474" s="67">
        <f>IF($B1474="",0,IF(LEFT($B1474,1)="━",0,$C1474*VLOOKUP($B1474,'4. CÀI ĐẶT'!$A$2:$H$32,5,FALSE)))</f>
        <v/>
      </c>
      <c r="I1474">
        <f>IF($B1474="","",IF(LEFT($B1474,1)="━","",VLOOKUP($B1474,'4. CÀI ĐẶT'!$A$2:$H$32,6,FALSE)))</f>
        <v/>
      </c>
      <c r="J1474" s="13">
        <f>IF($A1474="","",EOMONTH($A1474,0))</f>
        <v/>
      </c>
      <c r="K1474" s="67">
        <f>IF($B1474="",0,IF(LEFT($B1474,1)="━",0,$C1474*VLOOKUP($B1474,'4. CÀI ĐẶT'!$A$2:$H$32,7,FALSE)))</f>
        <v/>
      </c>
    </row>
    <row r="1475">
      <c r="A1475" s="8" t="n"/>
      <c r="B1475" s="9" t="n"/>
      <c r="C1475" s="65" t="n"/>
      <c r="D1475" s="9" t="n"/>
      <c r="E1475" s="66">
        <f>IF($B1475="","",IF(LEFT($B1475,1)="━","⚠️ Chọn hạng mục cụ thể",$C1475*VLOOKUP($B1475,'4. CÀI ĐẶT'!$A$2:$H$32,2,FALSE)))</f>
        <v/>
      </c>
      <c r="F1475" s="67">
        <f>IF($B1475="",0,IF(LEFT($B1475,1)="━",0,$C1475*VLOOKUP($B1475,'4. CÀI ĐẶT'!$A$2:$H$32,3,FALSE)))</f>
        <v/>
      </c>
      <c r="G1475" s="67">
        <f>IF($B1475="",0,IF(LEFT($B1475,1)="━",0,$C1475*VLOOKUP($B1475,'4. CÀI ĐẶT'!$A$2:$H$32,4,FALSE)))</f>
        <v/>
      </c>
      <c r="H1475" s="67">
        <f>IF($B1475="",0,IF(LEFT($B1475,1)="━",0,$C1475*VLOOKUP($B1475,'4. CÀI ĐẶT'!$A$2:$H$32,5,FALSE)))</f>
        <v/>
      </c>
      <c r="I1475">
        <f>IF($B1475="","",IF(LEFT($B1475,1)="━","",VLOOKUP($B1475,'4. CÀI ĐẶT'!$A$2:$H$32,6,FALSE)))</f>
        <v/>
      </c>
      <c r="J1475" s="13">
        <f>IF($A1475="","",EOMONTH($A1475,0))</f>
        <v/>
      </c>
      <c r="K1475" s="67">
        <f>IF($B1475="",0,IF(LEFT($B1475,1)="━",0,$C1475*VLOOKUP($B1475,'4. CÀI ĐẶT'!$A$2:$H$32,7,FALSE)))</f>
        <v/>
      </c>
    </row>
    <row r="1476">
      <c r="A1476" s="8" t="n"/>
      <c r="B1476" s="9" t="n"/>
      <c r="C1476" s="65" t="n"/>
      <c r="D1476" s="9" t="n"/>
      <c r="E1476" s="66">
        <f>IF($B1476="","",IF(LEFT($B1476,1)="━","⚠️ Chọn hạng mục cụ thể",$C1476*VLOOKUP($B1476,'4. CÀI ĐẶT'!$A$2:$H$32,2,FALSE)))</f>
        <v/>
      </c>
      <c r="F1476" s="67">
        <f>IF($B1476="",0,IF(LEFT($B1476,1)="━",0,$C1476*VLOOKUP($B1476,'4. CÀI ĐẶT'!$A$2:$H$32,3,FALSE)))</f>
        <v/>
      </c>
      <c r="G1476" s="67">
        <f>IF($B1476="",0,IF(LEFT($B1476,1)="━",0,$C1476*VLOOKUP($B1476,'4. CÀI ĐẶT'!$A$2:$H$32,4,FALSE)))</f>
        <v/>
      </c>
      <c r="H1476" s="67">
        <f>IF($B1476="",0,IF(LEFT($B1476,1)="━",0,$C1476*VLOOKUP($B1476,'4. CÀI ĐẶT'!$A$2:$H$32,5,FALSE)))</f>
        <v/>
      </c>
      <c r="I1476">
        <f>IF($B1476="","",IF(LEFT($B1476,1)="━","",VLOOKUP($B1476,'4. CÀI ĐẶT'!$A$2:$H$32,6,FALSE)))</f>
        <v/>
      </c>
      <c r="J1476" s="13">
        <f>IF($A1476="","",EOMONTH($A1476,0))</f>
        <v/>
      </c>
      <c r="K1476" s="67">
        <f>IF($B1476="",0,IF(LEFT($B1476,1)="━",0,$C1476*VLOOKUP($B1476,'4. CÀI ĐẶT'!$A$2:$H$32,7,FALSE)))</f>
        <v/>
      </c>
    </row>
    <row r="1477">
      <c r="A1477" s="8" t="n"/>
      <c r="B1477" s="9" t="n"/>
      <c r="C1477" s="65" t="n"/>
      <c r="D1477" s="9" t="n"/>
      <c r="E1477" s="66">
        <f>IF($B1477="","",IF(LEFT($B1477,1)="━","⚠️ Chọn hạng mục cụ thể",$C1477*VLOOKUP($B1477,'4. CÀI ĐẶT'!$A$2:$H$32,2,FALSE)))</f>
        <v/>
      </c>
      <c r="F1477" s="67">
        <f>IF($B1477="",0,IF(LEFT($B1477,1)="━",0,$C1477*VLOOKUP($B1477,'4. CÀI ĐẶT'!$A$2:$H$32,3,FALSE)))</f>
        <v/>
      </c>
      <c r="G1477" s="67">
        <f>IF($B1477="",0,IF(LEFT($B1477,1)="━",0,$C1477*VLOOKUP($B1477,'4. CÀI ĐẶT'!$A$2:$H$32,4,FALSE)))</f>
        <v/>
      </c>
      <c r="H1477" s="67">
        <f>IF($B1477="",0,IF(LEFT($B1477,1)="━",0,$C1477*VLOOKUP($B1477,'4. CÀI ĐẶT'!$A$2:$H$32,5,FALSE)))</f>
        <v/>
      </c>
      <c r="I1477">
        <f>IF($B1477="","",IF(LEFT($B1477,1)="━","",VLOOKUP($B1477,'4. CÀI ĐẶT'!$A$2:$H$32,6,FALSE)))</f>
        <v/>
      </c>
      <c r="J1477" s="13">
        <f>IF($A1477="","",EOMONTH($A1477,0))</f>
        <v/>
      </c>
      <c r="K1477" s="67">
        <f>IF($B1477="",0,IF(LEFT($B1477,1)="━",0,$C1477*VLOOKUP($B1477,'4. CÀI ĐẶT'!$A$2:$H$32,7,FALSE)))</f>
        <v/>
      </c>
    </row>
    <row r="1478">
      <c r="A1478" s="8" t="n"/>
      <c r="B1478" s="9" t="n"/>
      <c r="C1478" s="65" t="n"/>
      <c r="D1478" s="9" t="n"/>
      <c r="E1478" s="66">
        <f>IF($B1478="","",IF(LEFT($B1478,1)="━","⚠️ Chọn hạng mục cụ thể",$C1478*VLOOKUP($B1478,'4. CÀI ĐẶT'!$A$2:$H$32,2,FALSE)))</f>
        <v/>
      </c>
      <c r="F1478" s="67">
        <f>IF($B1478="",0,IF(LEFT($B1478,1)="━",0,$C1478*VLOOKUP($B1478,'4. CÀI ĐẶT'!$A$2:$H$32,3,FALSE)))</f>
        <v/>
      </c>
      <c r="G1478" s="67">
        <f>IF($B1478="",0,IF(LEFT($B1478,1)="━",0,$C1478*VLOOKUP($B1478,'4. CÀI ĐẶT'!$A$2:$H$32,4,FALSE)))</f>
        <v/>
      </c>
      <c r="H1478" s="67">
        <f>IF($B1478="",0,IF(LEFT($B1478,1)="━",0,$C1478*VLOOKUP($B1478,'4. CÀI ĐẶT'!$A$2:$H$32,5,FALSE)))</f>
        <v/>
      </c>
      <c r="I1478">
        <f>IF($B1478="","",IF(LEFT($B1478,1)="━","",VLOOKUP($B1478,'4. CÀI ĐẶT'!$A$2:$H$32,6,FALSE)))</f>
        <v/>
      </c>
      <c r="J1478" s="13">
        <f>IF($A1478="","",EOMONTH($A1478,0))</f>
        <v/>
      </c>
      <c r="K1478" s="67">
        <f>IF($B1478="",0,IF(LEFT($B1478,1)="━",0,$C1478*VLOOKUP($B1478,'4. CÀI ĐẶT'!$A$2:$H$32,7,FALSE)))</f>
        <v/>
      </c>
    </row>
    <row r="1479">
      <c r="A1479" s="8" t="n"/>
      <c r="B1479" s="9" t="n"/>
      <c r="C1479" s="65" t="n"/>
      <c r="D1479" s="9" t="n"/>
      <c r="E1479" s="66">
        <f>IF($B1479="","",IF(LEFT($B1479,1)="━","⚠️ Chọn hạng mục cụ thể",$C1479*VLOOKUP($B1479,'4. CÀI ĐẶT'!$A$2:$H$32,2,FALSE)))</f>
        <v/>
      </c>
      <c r="F1479" s="67">
        <f>IF($B1479="",0,IF(LEFT($B1479,1)="━",0,$C1479*VLOOKUP($B1479,'4. CÀI ĐẶT'!$A$2:$H$32,3,FALSE)))</f>
        <v/>
      </c>
      <c r="G1479" s="67">
        <f>IF($B1479="",0,IF(LEFT($B1479,1)="━",0,$C1479*VLOOKUP($B1479,'4. CÀI ĐẶT'!$A$2:$H$32,4,FALSE)))</f>
        <v/>
      </c>
      <c r="H1479" s="67">
        <f>IF($B1479="",0,IF(LEFT($B1479,1)="━",0,$C1479*VLOOKUP($B1479,'4. CÀI ĐẶT'!$A$2:$H$32,5,FALSE)))</f>
        <v/>
      </c>
      <c r="I1479">
        <f>IF($B1479="","",IF(LEFT($B1479,1)="━","",VLOOKUP($B1479,'4. CÀI ĐẶT'!$A$2:$H$32,6,FALSE)))</f>
        <v/>
      </c>
      <c r="J1479" s="13">
        <f>IF($A1479="","",EOMONTH($A1479,0))</f>
        <v/>
      </c>
      <c r="K1479" s="67">
        <f>IF($B1479="",0,IF(LEFT($B1479,1)="━",0,$C1479*VLOOKUP($B1479,'4. CÀI ĐẶT'!$A$2:$H$32,7,FALSE)))</f>
        <v/>
      </c>
    </row>
    <row r="1480">
      <c r="A1480" s="8" t="n"/>
      <c r="B1480" s="9" t="n"/>
      <c r="C1480" s="65" t="n"/>
      <c r="D1480" s="9" t="n"/>
      <c r="E1480" s="66">
        <f>IF($B1480="","",IF(LEFT($B1480,1)="━","⚠️ Chọn hạng mục cụ thể",$C1480*VLOOKUP($B1480,'4. CÀI ĐẶT'!$A$2:$H$32,2,FALSE)))</f>
        <v/>
      </c>
      <c r="F1480" s="67">
        <f>IF($B1480="",0,IF(LEFT($B1480,1)="━",0,$C1480*VLOOKUP($B1480,'4. CÀI ĐẶT'!$A$2:$H$32,3,FALSE)))</f>
        <v/>
      </c>
      <c r="G1480" s="67">
        <f>IF($B1480="",0,IF(LEFT($B1480,1)="━",0,$C1480*VLOOKUP($B1480,'4. CÀI ĐẶT'!$A$2:$H$32,4,FALSE)))</f>
        <v/>
      </c>
      <c r="H1480" s="67">
        <f>IF($B1480="",0,IF(LEFT($B1480,1)="━",0,$C1480*VLOOKUP($B1480,'4. CÀI ĐẶT'!$A$2:$H$32,5,FALSE)))</f>
        <v/>
      </c>
      <c r="I1480">
        <f>IF($B1480="","",IF(LEFT($B1480,1)="━","",VLOOKUP($B1480,'4. CÀI ĐẶT'!$A$2:$H$32,6,FALSE)))</f>
        <v/>
      </c>
      <c r="J1480" s="13">
        <f>IF($A1480="","",EOMONTH($A1480,0))</f>
        <v/>
      </c>
      <c r="K1480" s="67">
        <f>IF($B1480="",0,IF(LEFT($B1480,1)="━",0,$C1480*VLOOKUP($B1480,'4. CÀI ĐẶT'!$A$2:$H$32,7,FALSE)))</f>
        <v/>
      </c>
    </row>
    <row r="1481">
      <c r="A1481" s="8" t="n"/>
      <c r="B1481" s="9" t="n"/>
      <c r="C1481" s="65" t="n"/>
      <c r="D1481" s="9" t="n"/>
      <c r="E1481" s="66">
        <f>IF($B1481="","",IF(LEFT($B1481,1)="━","⚠️ Chọn hạng mục cụ thể",$C1481*VLOOKUP($B1481,'4. CÀI ĐẶT'!$A$2:$H$32,2,FALSE)))</f>
        <v/>
      </c>
      <c r="F1481" s="67">
        <f>IF($B1481="",0,IF(LEFT($B1481,1)="━",0,$C1481*VLOOKUP($B1481,'4. CÀI ĐẶT'!$A$2:$H$32,3,FALSE)))</f>
        <v/>
      </c>
      <c r="G1481" s="67">
        <f>IF($B1481="",0,IF(LEFT($B1481,1)="━",0,$C1481*VLOOKUP($B1481,'4. CÀI ĐẶT'!$A$2:$H$32,4,FALSE)))</f>
        <v/>
      </c>
      <c r="H1481" s="67">
        <f>IF($B1481="",0,IF(LEFT($B1481,1)="━",0,$C1481*VLOOKUP($B1481,'4. CÀI ĐẶT'!$A$2:$H$32,5,FALSE)))</f>
        <v/>
      </c>
      <c r="I1481">
        <f>IF($B1481="","",IF(LEFT($B1481,1)="━","",VLOOKUP($B1481,'4. CÀI ĐẶT'!$A$2:$H$32,6,FALSE)))</f>
        <v/>
      </c>
      <c r="J1481" s="13">
        <f>IF($A1481="","",EOMONTH($A1481,0))</f>
        <v/>
      </c>
      <c r="K1481" s="67">
        <f>IF($B1481="",0,IF(LEFT($B1481,1)="━",0,$C1481*VLOOKUP($B1481,'4. CÀI ĐẶT'!$A$2:$H$32,7,FALSE)))</f>
        <v/>
      </c>
    </row>
    <row r="1482">
      <c r="A1482" s="8" t="n"/>
      <c r="B1482" s="9" t="n"/>
      <c r="C1482" s="65" t="n"/>
      <c r="D1482" s="9" t="n"/>
      <c r="E1482" s="66">
        <f>IF($B1482="","",IF(LEFT($B1482,1)="━","⚠️ Chọn hạng mục cụ thể",$C1482*VLOOKUP($B1482,'4. CÀI ĐẶT'!$A$2:$H$32,2,FALSE)))</f>
        <v/>
      </c>
      <c r="F1482" s="67">
        <f>IF($B1482="",0,IF(LEFT($B1482,1)="━",0,$C1482*VLOOKUP($B1482,'4. CÀI ĐẶT'!$A$2:$H$32,3,FALSE)))</f>
        <v/>
      </c>
      <c r="G1482" s="67">
        <f>IF($B1482="",0,IF(LEFT($B1482,1)="━",0,$C1482*VLOOKUP($B1482,'4. CÀI ĐẶT'!$A$2:$H$32,4,FALSE)))</f>
        <v/>
      </c>
      <c r="H1482" s="67">
        <f>IF($B1482="",0,IF(LEFT($B1482,1)="━",0,$C1482*VLOOKUP($B1482,'4. CÀI ĐẶT'!$A$2:$H$32,5,FALSE)))</f>
        <v/>
      </c>
      <c r="I1482">
        <f>IF($B1482="","",IF(LEFT($B1482,1)="━","",VLOOKUP($B1482,'4. CÀI ĐẶT'!$A$2:$H$32,6,FALSE)))</f>
        <v/>
      </c>
      <c r="J1482" s="13">
        <f>IF($A1482="","",EOMONTH($A1482,0))</f>
        <v/>
      </c>
      <c r="K1482" s="67">
        <f>IF($B1482="",0,IF(LEFT($B1482,1)="━",0,$C1482*VLOOKUP($B1482,'4. CÀI ĐẶT'!$A$2:$H$32,7,FALSE)))</f>
        <v/>
      </c>
    </row>
    <row r="1483">
      <c r="A1483" s="8" t="n"/>
      <c r="B1483" s="9" t="n"/>
      <c r="C1483" s="65" t="n"/>
      <c r="D1483" s="9" t="n"/>
      <c r="E1483" s="66">
        <f>IF($B1483="","",IF(LEFT($B1483,1)="━","⚠️ Chọn hạng mục cụ thể",$C1483*VLOOKUP($B1483,'4. CÀI ĐẶT'!$A$2:$H$32,2,FALSE)))</f>
        <v/>
      </c>
      <c r="F1483" s="67">
        <f>IF($B1483="",0,IF(LEFT($B1483,1)="━",0,$C1483*VLOOKUP($B1483,'4. CÀI ĐẶT'!$A$2:$H$32,3,FALSE)))</f>
        <v/>
      </c>
      <c r="G1483" s="67">
        <f>IF($B1483="",0,IF(LEFT($B1483,1)="━",0,$C1483*VLOOKUP($B1483,'4. CÀI ĐẶT'!$A$2:$H$32,4,FALSE)))</f>
        <v/>
      </c>
      <c r="H1483" s="67">
        <f>IF($B1483="",0,IF(LEFT($B1483,1)="━",0,$C1483*VLOOKUP($B1483,'4. CÀI ĐẶT'!$A$2:$H$32,5,FALSE)))</f>
        <v/>
      </c>
      <c r="I1483">
        <f>IF($B1483="","",IF(LEFT($B1483,1)="━","",VLOOKUP($B1483,'4. CÀI ĐẶT'!$A$2:$H$32,6,FALSE)))</f>
        <v/>
      </c>
      <c r="J1483" s="13">
        <f>IF($A1483="","",EOMONTH($A1483,0))</f>
        <v/>
      </c>
      <c r="K1483" s="67">
        <f>IF($B1483="",0,IF(LEFT($B1483,1)="━",0,$C1483*VLOOKUP($B1483,'4. CÀI ĐẶT'!$A$2:$H$32,7,FALSE)))</f>
        <v/>
      </c>
    </row>
    <row r="1484">
      <c r="A1484" s="8" t="n"/>
      <c r="B1484" s="9" t="n"/>
      <c r="C1484" s="65" t="n"/>
      <c r="D1484" s="9" t="n"/>
      <c r="E1484" s="66">
        <f>IF($B1484="","",IF(LEFT($B1484,1)="━","⚠️ Chọn hạng mục cụ thể",$C1484*VLOOKUP($B1484,'4. CÀI ĐẶT'!$A$2:$H$32,2,FALSE)))</f>
        <v/>
      </c>
      <c r="F1484" s="67">
        <f>IF($B1484="",0,IF(LEFT($B1484,1)="━",0,$C1484*VLOOKUP($B1484,'4. CÀI ĐẶT'!$A$2:$H$32,3,FALSE)))</f>
        <v/>
      </c>
      <c r="G1484" s="67">
        <f>IF($B1484="",0,IF(LEFT($B1484,1)="━",0,$C1484*VLOOKUP($B1484,'4. CÀI ĐẶT'!$A$2:$H$32,4,FALSE)))</f>
        <v/>
      </c>
      <c r="H1484" s="67">
        <f>IF($B1484="",0,IF(LEFT($B1484,1)="━",0,$C1484*VLOOKUP($B1484,'4. CÀI ĐẶT'!$A$2:$H$32,5,FALSE)))</f>
        <v/>
      </c>
      <c r="I1484">
        <f>IF($B1484="","",IF(LEFT($B1484,1)="━","",VLOOKUP($B1484,'4. CÀI ĐẶT'!$A$2:$H$32,6,FALSE)))</f>
        <v/>
      </c>
      <c r="J1484" s="13">
        <f>IF($A1484="","",EOMONTH($A1484,0))</f>
        <v/>
      </c>
      <c r="K1484" s="67">
        <f>IF($B1484="",0,IF(LEFT($B1484,1)="━",0,$C1484*VLOOKUP($B1484,'4. CÀI ĐẶT'!$A$2:$H$32,7,FALSE)))</f>
        <v/>
      </c>
    </row>
    <row r="1485">
      <c r="A1485" s="8" t="n"/>
      <c r="B1485" s="9" t="n"/>
      <c r="C1485" s="65" t="n"/>
      <c r="D1485" s="9" t="n"/>
      <c r="E1485" s="66">
        <f>IF($B1485="","",IF(LEFT($B1485,1)="━","⚠️ Chọn hạng mục cụ thể",$C1485*VLOOKUP($B1485,'4. CÀI ĐẶT'!$A$2:$H$32,2,FALSE)))</f>
        <v/>
      </c>
      <c r="F1485" s="67">
        <f>IF($B1485="",0,IF(LEFT($B1485,1)="━",0,$C1485*VLOOKUP($B1485,'4. CÀI ĐẶT'!$A$2:$H$32,3,FALSE)))</f>
        <v/>
      </c>
      <c r="G1485" s="67">
        <f>IF($B1485="",0,IF(LEFT($B1485,1)="━",0,$C1485*VLOOKUP($B1485,'4. CÀI ĐẶT'!$A$2:$H$32,4,FALSE)))</f>
        <v/>
      </c>
      <c r="H1485" s="67">
        <f>IF($B1485="",0,IF(LEFT($B1485,1)="━",0,$C1485*VLOOKUP($B1485,'4. CÀI ĐẶT'!$A$2:$H$32,5,FALSE)))</f>
        <v/>
      </c>
      <c r="I1485">
        <f>IF($B1485="","",IF(LEFT($B1485,1)="━","",VLOOKUP($B1485,'4. CÀI ĐẶT'!$A$2:$H$32,6,FALSE)))</f>
        <v/>
      </c>
      <c r="J1485" s="13">
        <f>IF($A1485="","",EOMONTH($A1485,0))</f>
        <v/>
      </c>
      <c r="K1485" s="67">
        <f>IF($B1485="",0,IF(LEFT($B1485,1)="━",0,$C1485*VLOOKUP($B1485,'4. CÀI ĐẶT'!$A$2:$H$32,7,FALSE)))</f>
        <v/>
      </c>
    </row>
    <row r="1486">
      <c r="A1486" s="8" t="n"/>
      <c r="B1486" s="9" t="n"/>
      <c r="C1486" s="65" t="n"/>
      <c r="D1486" s="9" t="n"/>
      <c r="E1486" s="66">
        <f>IF($B1486="","",IF(LEFT($B1486,1)="━","⚠️ Chọn hạng mục cụ thể",$C1486*VLOOKUP($B1486,'4. CÀI ĐẶT'!$A$2:$H$32,2,FALSE)))</f>
        <v/>
      </c>
      <c r="F1486" s="67">
        <f>IF($B1486="",0,IF(LEFT($B1486,1)="━",0,$C1486*VLOOKUP($B1486,'4. CÀI ĐẶT'!$A$2:$H$32,3,FALSE)))</f>
        <v/>
      </c>
      <c r="G1486" s="67">
        <f>IF($B1486="",0,IF(LEFT($B1486,1)="━",0,$C1486*VLOOKUP($B1486,'4. CÀI ĐẶT'!$A$2:$H$32,4,FALSE)))</f>
        <v/>
      </c>
      <c r="H1486" s="67">
        <f>IF($B1486="",0,IF(LEFT($B1486,1)="━",0,$C1486*VLOOKUP($B1486,'4. CÀI ĐẶT'!$A$2:$H$32,5,FALSE)))</f>
        <v/>
      </c>
      <c r="I1486">
        <f>IF($B1486="","",IF(LEFT($B1486,1)="━","",VLOOKUP($B1486,'4. CÀI ĐẶT'!$A$2:$H$32,6,FALSE)))</f>
        <v/>
      </c>
      <c r="J1486" s="13">
        <f>IF($A1486="","",EOMONTH($A1486,0))</f>
        <v/>
      </c>
      <c r="K1486" s="67">
        <f>IF($B1486="",0,IF(LEFT($B1486,1)="━",0,$C1486*VLOOKUP($B1486,'4. CÀI ĐẶT'!$A$2:$H$32,7,FALSE)))</f>
        <v/>
      </c>
    </row>
    <row r="1487">
      <c r="A1487" s="8" t="n"/>
      <c r="B1487" s="9" t="n"/>
      <c r="C1487" s="65" t="n"/>
      <c r="D1487" s="9" t="n"/>
      <c r="E1487" s="66">
        <f>IF($B1487="","",IF(LEFT($B1487,1)="━","⚠️ Chọn hạng mục cụ thể",$C1487*VLOOKUP($B1487,'4. CÀI ĐẶT'!$A$2:$H$32,2,FALSE)))</f>
        <v/>
      </c>
      <c r="F1487" s="67">
        <f>IF($B1487="",0,IF(LEFT($B1487,1)="━",0,$C1487*VLOOKUP($B1487,'4. CÀI ĐẶT'!$A$2:$H$32,3,FALSE)))</f>
        <v/>
      </c>
      <c r="G1487" s="67">
        <f>IF($B1487="",0,IF(LEFT($B1487,1)="━",0,$C1487*VLOOKUP($B1487,'4. CÀI ĐẶT'!$A$2:$H$32,4,FALSE)))</f>
        <v/>
      </c>
      <c r="H1487" s="67">
        <f>IF($B1487="",0,IF(LEFT($B1487,1)="━",0,$C1487*VLOOKUP($B1487,'4. CÀI ĐẶT'!$A$2:$H$32,5,FALSE)))</f>
        <v/>
      </c>
      <c r="I1487">
        <f>IF($B1487="","",IF(LEFT($B1487,1)="━","",VLOOKUP($B1487,'4. CÀI ĐẶT'!$A$2:$H$32,6,FALSE)))</f>
        <v/>
      </c>
      <c r="J1487" s="13">
        <f>IF($A1487="","",EOMONTH($A1487,0))</f>
        <v/>
      </c>
      <c r="K1487" s="67">
        <f>IF($B1487="",0,IF(LEFT($B1487,1)="━",0,$C1487*VLOOKUP($B1487,'4. CÀI ĐẶT'!$A$2:$H$32,7,FALSE)))</f>
        <v/>
      </c>
    </row>
    <row r="1488">
      <c r="A1488" s="8" t="n"/>
      <c r="B1488" s="9" t="n"/>
      <c r="C1488" s="65" t="n"/>
      <c r="D1488" s="9" t="n"/>
      <c r="E1488" s="66">
        <f>IF($B1488="","",IF(LEFT($B1488,1)="━","⚠️ Chọn hạng mục cụ thể",$C1488*VLOOKUP($B1488,'4. CÀI ĐẶT'!$A$2:$H$32,2,FALSE)))</f>
        <v/>
      </c>
      <c r="F1488" s="67">
        <f>IF($B1488="",0,IF(LEFT($B1488,1)="━",0,$C1488*VLOOKUP($B1488,'4. CÀI ĐẶT'!$A$2:$H$32,3,FALSE)))</f>
        <v/>
      </c>
      <c r="G1488" s="67">
        <f>IF($B1488="",0,IF(LEFT($B1488,1)="━",0,$C1488*VLOOKUP($B1488,'4. CÀI ĐẶT'!$A$2:$H$32,4,FALSE)))</f>
        <v/>
      </c>
      <c r="H1488" s="67">
        <f>IF($B1488="",0,IF(LEFT($B1488,1)="━",0,$C1488*VLOOKUP($B1488,'4. CÀI ĐẶT'!$A$2:$H$32,5,FALSE)))</f>
        <v/>
      </c>
      <c r="I1488">
        <f>IF($B1488="","",IF(LEFT($B1488,1)="━","",VLOOKUP($B1488,'4. CÀI ĐẶT'!$A$2:$H$32,6,FALSE)))</f>
        <v/>
      </c>
      <c r="J1488" s="13">
        <f>IF($A1488="","",EOMONTH($A1488,0))</f>
        <v/>
      </c>
      <c r="K1488" s="67">
        <f>IF($B1488="",0,IF(LEFT($B1488,1)="━",0,$C1488*VLOOKUP($B1488,'4. CÀI ĐẶT'!$A$2:$H$32,7,FALSE)))</f>
        <v/>
      </c>
    </row>
    <row r="1489">
      <c r="A1489" s="8" t="n"/>
      <c r="B1489" s="9" t="n"/>
      <c r="C1489" s="65" t="n"/>
      <c r="D1489" s="9" t="n"/>
      <c r="E1489" s="66">
        <f>IF($B1489="","",IF(LEFT($B1489,1)="━","⚠️ Chọn hạng mục cụ thể",$C1489*VLOOKUP($B1489,'4. CÀI ĐẶT'!$A$2:$H$32,2,FALSE)))</f>
        <v/>
      </c>
      <c r="F1489" s="67">
        <f>IF($B1489="",0,IF(LEFT($B1489,1)="━",0,$C1489*VLOOKUP($B1489,'4. CÀI ĐẶT'!$A$2:$H$32,3,FALSE)))</f>
        <v/>
      </c>
      <c r="G1489" s="67">
        <f>IF($B1489="",0,IF(LEFT($B1489,1)="━",0,$C1489*VLOOKUP($B1489,'4. CÀI ĐẶT'!$A$2:$H$32,4,FALSE)))</f>
        <v/>
      </c>
      <c r="H1489" s="67">
        <f>IF($B1489="",0,IF(LEFT($B1489,1)="━",0,$C1489*VLOOKUP($B1489,'4. CÀI ĐẶT'!$A$2:$H$32,5,FALSE)))</f>
        <v/>
      </c>
      <c r="I1489">
        <f>IF($B1489="","",IF(LEFT($B1489,1)="━","",VLOOKUP($B1489,'4. CÀI ĐẶT'!$A$2:$H$32,6,FALSE)))</f>
        <v/>
      </c>
      <c r="J1489" s="13">
        <f>IF($A1489="","",EOMONTH($A1489,0))</f>
        <v/>
      </c>
      <c r="K1489" s="67">
        <f>IF($B1489="",0,IF(LEFT($B1489,1)="━",0,$C1489*VLOOKUP($B1489,'4. CÀI ĐẶT'!$A$2:$H$32,7,FALSE)))</f>
        <v/>
      </c>
    </row>
    <row r="1490">
      <c r="A1490" s="8" t="n"/>
      <c r="B1490" s="9" t="n"/>
      <c r="C1490" s="65" t="n"/>
      <c r="D1490" s="9" t="n"/>
      <c r="E1490" s="66">
        <f>IF($B1490="","",IF(LEFT($B1490,1)="━","⚠️ Chọn hạng mục cụ thể",$C1490*VLOOKUP($B1490,'4. CÀI ĐẶT'!$A$2:$H$32,2,FALSE)))</f>
        <v/>
      </c>
      <c r="F1490" s="67">
        <f>IF($B1490="",0,IF(LEFT($B1490,1)="━",0,$C1490*VLOOKUP($B1490,'4. CÀI ĐẶT'!$A$2:$H$32,3,FALSE)))</f>
        <v/>
      </c>
      <c r="G1490" s="67">
        <f>IF($B1490="",0,IF(LEFT($B1490,1)="━",0,$C1490*VLOOKUP($B1490,'4. CÀI ĐẶT'!$A$2:$H$32,4,FALSE)))</f>
        <v/>
      </c>
      <c r="H1490" s="67">
        <f>IF($B1490="",0,IF(LEFT($B1490,1)="━",0,$C1490*VLOOKUP($B1490,'4. CÀI ĐẶT'!$A$2:$H$32,5,FALSE)))</f>
        <v/>
      </c>
      <c r="I1490">
        <f>IF($B1490="","",IF(LEFT($B1490,1)="━","",VLOOKUP($B1490,'4. CÀI ĐẶT'!$A$2:$H$32,6,FALSE)))</f>
        <v/>
      </c>
      <c r="J1490" s="13">
        <f>IF($A1490="","",EOMONTH($A1490,0))</f>
        <v/>
      </c>
      <c r="K1490" s="67">
        <f>IF($B1490="",0,IF(LEFT($B1490,1)="━",0,$C1490*VLOOKUP($B1490,'4. CÀI ĐẶT'!$A$2:$H$32,7,FALSE)))</f>
        <v/>
      </c>
    </row>
    <row r="1491">
      <c r="A1491" s="8" t="n"/>
      <c r="B1491" s="9" t="n"/>
      <c r="C1491" s="65" t="n"/>
      <c r="D1491" s="9" t="n"/>
      <c r="E1491" s="66">
        <f>IF($B1491="","",IF(LEFT($B1491,1)="━","⚠️ Chọn hạng mục cụ thể",$C1491*VLOOKUP($B1491,'4. CÀI ĐẶT'!$A$2:$H$32,2,FALSE)))</f>
        <v/>
      </c>
      <c r="F1491" s="67">
        <f>IF($B1491="",0,IF(LEFT($B1491,1)="━",0,$C1491*VLOOKUP($B1491,'4. CÀI ĐẶT'!$A$2:$H$32,3,FALSE)))</f>
        <v/>
      </c>
      <c r="G1491" s="67">
        <f>IF($B1491="",0,IF(LEFT($B1491,1)="━",0,$C1491*VLOOKUP($B1491,'4. CÀI ĐẶT'!$A$2:$H$32,4,FALSE)))</f>
        <v/>
      </c>
      <c r="H1491" s="67">
        <f>IF($B1491="",0,IF(LEFT($B1491,1)="━",0,$C1491*VLOOKUP($B1491,'4. CÀI ĐẶT'!$A$2:$H$32,5,FALSE)))</f>
        <v/>
      </c>
      <c r="I1491">
        <f>IF($B1491="","",IF(LEFT($B1491,1)="━","",VLOOKUP($B1491,'4. CÀI ĐẶT'!$A$2:$H$32,6,FALSE)))</f>
        <v/>
      </c>
      <c r="J1491" s="13">
        <f>IF($A1491="","",EOMONTH($A1491,0))</f>
        <v/>
      </c>
      <c r="K1491" s="67">
        <f>IF($B1491="",0,IF(LEFT($B1491,1)="━",0,$C1491*VLOOKUP($B1491,'4. CÀI ĐẶT'!$A$2:$H$32,7,FALSE)))</f>
        <v/>
      </c>
    </row>
    <row r="1492">
      <c r="A1492" s="8" t="n"/>
      <c r="B1492" s="9" t="n"/>
      <c r="C1492" s="65" t="n"/>
      <c r="D1492" s="9" t="n"/>
      <c r="E1492" s="66">
        <f>IF($B1492="","",IF(LEFT($B1492,1)="━","⚠️ Chọn hạng mục cụ thể",$C1492*VLOOKUP($B1492,'4. CÀI ĐẶT'!$A$2:$H$32,2,FALSE)))</f>
        <v/>
      </c>
      <c r="F1492" s="67">
        <f>IF($B1492="",0,IF(LEFT($B1492,1)="━",0,$C1492*VLOOKUP($B1492,'4. CÀI ĐẶT'!$A$2:$H$32,3,FALSE)))</f>
        <v/>
      </c>
      <c r="G1492" s="67">
        <f>IF($B1492="",0,IF(LEFT($B1492,1)="━",0,$C1492*VLOOKUP($B1492,'4. CÀI ĐẶT'!$A$2:$H$32,4,FALSE)))</f>
        <v/>
      </c>
      <c r="H1492" s="67">
        <f>IF($B1492="",0,IF(LEFT($B1492,1)="━",0,$C1492*VLOOKUP($B1492,'4. CÀI ĐẶT'!$A$2:$H$32,5,FALSE)))</f>
        <v/>
      </c>
      <c r="I1492">
        <f>IF($B1492="","",IF(LEFT($B1492,1)="━","",VLOOKUP($B1492,'4. CÀI ĐẶT'!$A$2:$H$32,6,FALSE)))</f>
        <v/>
      </c>
      <c r="J1492" s="13">
        <f>IF($A1492="","",EOMONTH($A1492,0))</f>
        <v/>
      </c>
      <c r="K1492" s="67">
        <f>IF($B1492="",0,IF(LEFT($B1492,1)="━",0,$C1492*VLOOKUP($B1492,'4. CÀI ĐẶT'!$A$2:$H$32,7,FALSE)))</f>
        <v/>
      </c>
    </row>
    <row r="1493">
      <c r="A1493" s="8" t="n"/>
      <c r="B1493" s="9" t="n"/>
      <c r="C1493" s="65" t="n"/>
      <c r="D1493" s="9" t="n"/>
      <c r="E1493" s="66">
        <f>IF($B1493="","",IF(LEFT($B1493,1)="━","⚠️ Chọn hạng mục cụ thể",$C1493*VLOOKUP($B1493,'4. CÀI ĐẶT'!$A$2:$H$32,2,FALSE)))</f>
        <v/>
      </c>
      <c r="F1493" s="67">
        <f>IF($B1493="",0,IF(LEFT($B1493,1)="━",0,$C1493*VLOOKUP($B1493,'4. CÀI ĐẶT'!$A$2:$H$32,3,FALSE)))</f>
        <v/>
      </c>
      <c r="G1493" s="67">
        <f>IF($B1493="",0,IF(LEFT($B1493,1)="━",0,$C1493*VLOOKUP($B1493,'4. CÀI ĐẶT'!$A$2:$H$32,4,FALSE)))</f>
        <v/>
      </c>
      <c r="H1493" s="67">
        <f>IF($B1493="",0,IF(LEFT($B1493,1)="━",0,$C1493*VLOOKUP($B1493,'4. CÀI ĐẶT'!$A$2:$H$32,5,FALSE)))</f>
        <v/>
      </c>
      <c r="I1493">
        <f>IF($B1493="","",IF(LEFT($B1493,1)="━","",VLOOKUP($B1493,'4. CÀI ĐẶT'!$A$2:$H$32,6,FALSE)))</f>
        <v/>
      </c>
      <c r="J1493" s="13">
        <f>IF($A1493="","",EOMONTH($A1493,0))</f>
        <v/>
      </c>
      <c r="K1493" s="67">
        <f>IF($B1493="",0,IF(LEFT($B1493,1)="━",0,$C1493*VLOOKUP($B1493,'4. CÀI ĐẶT'!$A$2:$H$32,7,FALSE)))</f>
        <v/>
      </c>
    </row>
    <row r="1494">
      <c r="A1494" s="8" t="n"/>
      <c r="B1494" s="9" t="n"/>
      <c r="C1494" s="65" t="n"/>
      <c r="D1494" s="9" t="n"/>
      <c r="E1494" s="66">
        <f>IF($B1494="","",IF(LEFT($B1494,1)="━","⚠️ Chọn hạng mục cụ thể",$C1494*VLOOKUP($B1494,'4. CÀI ĐẶT'!$A$2:$H$32,2,FALSE)))</f>
        <v/>
      </c>
      <c r="F1494" s="67">
        <f>IF($B1494="",0,IF(LEFT($B1494,1)="━",0,$C1494*VLOOKUP($B1494,'4. CÀI ĐẶT'!$A$2:$H$32,3,FALSE)))</f>
        <v/>
      </c>
      <c r="G1494" s="67">
        <f>IF($B1494="",0,IF(LEFT($B1494,1)="━",0,$C1494*VLOOKUP($B1494,'4. CÀI ĐẶT'!$A$2:$H$32,4,FALSE)))</f>
        <v/>
      </c>
      <c r="H1494" s="67">
        <f>IF($B1494="",0,IF(LEFT($B1494,1)="━",0,$C1494*VLOOKUP($B1494,'4. CÀI ĐẶT'!$A$2:$H$32,5,FALSE)))</f>
        <v/>
      </c>
      <c r="I1494">
        <f>IF($B1494="","",IF(LEFT($B1494,1)="━","",VLOOKUP($B1494,'4. CÀI ĐẶT'!$A$2:$H$32,6,FALSE)))</f>
        <v/>
      </c>
      <c r="J1494" s="13">
        <f>IF($A1494="","",EOMONTH($A1494,0))</f>
        <v/>
      </c>
      <c r="K1494" s="67">
        <f>IF($B1494="",0,IF(LEFT($B1494,1)="━",0,$C1494*VLOOKUP($B1494,'4. CÀI ĐẶT'!$A$2:$H$32,7,FALSE)))</f>
        <v/>
      </c>
    </row>
    <row r="1495">
      <c r="A1495" s="8" t="n"/>
      <c r="B1495" s="9" t="n"/>
      <c r="C1495" s="65" t="n"/>
      <c r="D1495" s="9" t="n"/>
      <c r="E1495" s="66">
        <f>IF($B1495="","",IF(LEFT($B1495,1)="━","⚠️ Chọn hạng mục cụ thể",$C1495*VLOOKUP($B1495,'4. CÀI ĐẶT'!$A$2:$H$32,2,FALSE)))</f>
        <v/>
      </c>
      <c r="F1495" s="67">
        <f>IF($B1495="",0,IF(LEFT($B1495,1)="━",0,$C1495*VLOOKUP($B1495,'4. CÀI ĐẶT'!$A$2:$H$32,3,FALSE)))</f>
        <v/>
      </c>
      <c r="G1495" s="67">
        <f>IF($B1495="",0,IF(LEFT($B1495,1)="━",0,$C1495*VLOOKUP($B1495,'4. CÀI ĐẶT'!$A$2:$H$32,4,FALSE)))</f>
        <v/>
      </c>
      <c r="H1495" s="67">
        <f>IF($B1495="",0,IF(LEFT($B1495,1)="━",0,$C1495*VLOOKUP($B1495,'4. CÀI ĐẶT'!$A$2:$H$32,5,FALSE)))</f>
        <v/>
      </c>
      <c r="I1495">
        <f>IF($B1495="","",IF(LEFT($B1495,1)="━","",VLOOKUP($B1495,'4. CÀI ĐẶT'!$A$2:$H$32,6,FALSE)))</f>
        <v/>
      </c>
      <c r="J1495" s="13">
        <f>IF($A1495="","",EOMONTH($A1495,0))</f>
        <v/>
      </c>
      <c r="K1495" s="67">
        <f>IF($B1495="",0,IF(LEFT($B1495,1)="━",0,$C1495*VLOOKUP($B1495,'4. CÀI ĐẶT'!$A$2:$H$32,7,FALSE)))</f>
        <v/>
      </c>
    </row>
    <row r="1496">
      <c r="A1496" s="8" t="n"/>
      <c r="B1496" s="9" t="n"/>
      <c r="C1496" s="65" t="n"/>
      <c r="D1496" s="9" t="n"/>
      <c r="E1496" s="66">
        <f>IF($B1496="","",IF(LEFT($B1496,1)="━","⚠️ Chọn hạng mục cụ thể",$C1496*VLOOKUP($B1496,'4. CÀI ĐẶT'!$A$2:$H$32,2,FALSE)))</f>
        <v/>
      </c>
      <c r="F1496" s="67">
        <f>IF($B1496="",0,IF(LEFT($B1496,1)="━",0,$C1496*VLOOKUP($B1496,'4. CÀI ĐẶT'!$A$2:$H$32,3,FALSE)))</f>
        <v/>
      </c>
      <c r="G1496" s="67">
        <f>IF($B1496="",0,IF(LEFT($B1496,1)="━",0,$C1496*VLOOKUP($B1496,'4. CÀI ĐẶT'!$A$2:$H$32,4,FALSE)))</f>
        <v/>
      </c>
      <c r="H1496" s="67">
        <f>IF($B1496="",0,IF(LEFT($B1496,1)="━",0,$C1496*VLOOKUP($B1496,'4. CÀI ĐẶT'!$A$2:$H$32,5,FALSE)))</f>
        <v/>
      </c>
      <c r="I1496">
        <f>IF($B1496="","",IF(LEFT($B1496,1)="━","",VLOOKUP($B1496,'4. CÀI ĐẶT'!$A$2:$H$32,6,FALSE)))</f>
        <v/>
      </c>
      <c r="J1496" s="13">
        <f>IF($A1496="","",EOMONTH($A1496,0))</f>
        <v/>
      </c>
      <c r="K1496" s="67">
        <f>IF($B1496="",0,IF(LEFT($B1496,1)="━",0,$C1496*VLOOKUP($B1496,'4. CÀI ĐẶT'!$A$2:$H$32,7,FALSE)))</f>
        <v/>
      </c>
    </row>
    <row r="1497">
      <c r="A1497" s="8" t="n"/>
      <c r="B1497" s="9" t="n"/>
      <c r="C1497" s="65" t="n"/>
      <c r="D1497" s="9" t="n"/>
      <c r="E1497" s="66">
        <f>IF($B1497="","",IF(LEFT($B1497,1)="━","⚠️ Chọn hạng mục cụ thể",$C1497*VLOOKUP($B1497,'4. CÀI ĐẶT'!$A$2:$H$32,2,FALSE)))</f>
        <v/>
      </c>
      <c r="F1497" s="67">
        <f>IF($B1497="",0,IF(LEFT($B1497,1)="━",0,$C1497*VLOOKUP($B1497,'4. CÀI ĐẶT'!$A$2:$H$32,3,FALSE)))</f>
        <v/>
      </c>
      <c r="G1497" s="67">
        <f>IF($B1497="",0,IF(LEFT($B1497,1)="━",0,$C1497*VLOOKUP($B1497,'4. CÀI ĐẶT'!$A$2:$H$32,4,FALSE)))</f>
        <v/>
      </c>
      <c r="H1497" s="67">
        <f>IF($B1497="",0,IF(LEFT($B1497,1)="━",0,$C1497*VLOOKUP($B1497,'4. CÀI ĐẶT'!$A$2:$H$32,5,FALSE)))</f>
        <v/>
      </c>
      <c r="I1497">
        <f>IF($B1497="","",IF(LEFT($B1497,1)="━","",VLOOKUP($B1497,'4. CÀI ĐẶT'!$A$2:$H$32,6,FALSE)))</f>
        <v/>
      </c>
      <c r="J1497" s="13">
        <f>IF($A1497="","",EOMONTH($A1497,0))</f>
        <v/>
      </c>
      <c r="K1497" s="67">
        <f>IF($B1497="",0,IF(LEFT($B1497,1)="━",0,$C1497*VLOOKUP($B1497,'4. CÀI ĐẶT'!$A$2:$H$32,7,FALSE)))</f>
        <v/>
      </c>
    </row>
    <row r="1498">
      <c r="A1498" s="8" t="n"/>
      <c r="B1498" s="9" t="n"/>
      <c r="C1498" s="65" t="n"/>
      <c r="D1498" s="9" t="n"/>
      <c r="E1498" s="66">
        <f>IF($B1498="","",IF(LEFT($B1498,1)="━","⚠️ Chọn hạng mục cụ thể",$C1498*VLOOKUP($B1498,'4. CÀI ĐẶT'!$A$2:$H$32,2,FALSE)))</f>
        <v/>
      </c>
      <c r="F1498" s="67">
        <f>IF($B1498="",0,IF(LEFT($B1498,1)="━",0,$C1498*VLOOKUP($B1498,'4. CÀI ĐẶT'!$A$2:$H$32,3,FALSE)))</f>
        <v/>
      </c>
      <c r="G1498" s="67">
        <f>IF($B1498="",0,IF(LEFT($B1498,1)="━",0,$C1498*VLOOKUP($B1498,'4. CÀI ĐẶT'!$A$2:$H$32,4,FALSE)))</f>
        <v/>
      </c>
      <c r="H1498" s="67">
        <f>IF($B1498="",0,IF(LEFT($B1498,1)="━",0,$C1498*VLOOKUP($B1498,'4. CÀI ĐẶT'!$A$2:$H$32,5,FALSE)))</f>
        <v/>
      </c>
      <c r="I1498">
        <f>IF($B1498="","",IF(LEFT($B1498,1)="━","",VLOOKUP($B1498,'4. CÀI ĐẶT'!$A$2:$H$32,6,FALSE)))</f>
        <v/>
      </c>
      <c r="J1498" s="13">
        <f>IF($A1498="","",EOMONTH($A1498,0))</f>
        <v/>
      </c>
      <c r="K1498" s="67">
        <f>IF($B1498="",0,IF(LEFT($B1498,1)="━",0,$C1498*VLOOKUP($B1498,'4. CÀI ĐẶT'!$A$2:$H$32,7,FALSE)))</f>
        <v/>
      </c>
    </row>
    <row r="1499">
      <c r="A1499" s="8" t="n"/>
      <c r="B1499" s="9" t="n"/>
      <c r="C1499" s="65" t="n"/>
      <c r="D1499" s="9" t="n"/>
      <c r="E1499" s="66">
        <f>IF($B1499="","",IF(LEFT($B1499,1)="━","⚠️ Chọn hạng mục cụ thể",$C1499*VLOOKUP($B1499,'4. CÀI ĐẶT'!$A$2:$H$32,2,FALSE)))</f>
        <v/>
      </c>
      <c r="F1499" s="67">
        <f>IF($B1499="",0,IF(LEFT($B1499,1)="━",0,$C1499*VLOOKUP($B1499,'4. CÀI ĐẶT'!$A$2:$H$32,3,FALSE)))</f>
        <v/>
      </c>
      <c r="G1499" s="67">
        <f>IF($B1499="",0,IF(LEFT($B1499,1)="━",0,$C1499*VLOOKUP($B1499,'4. CÀI ĐẶT'!$A$2:$H$32,4,FALSE)))</f>
        <v/>
      </c>
      <c r="H1499" s="67">
        <f>IF($B1499="",0,IF(LEFT($B1499,1)="━",0,$C1499*VLOOKUP($B1499,'4. CÀI ĐẶT'!$A$2:$H$32,5,FALSE)))</f>
        <v/>
      </c>
      <c r="I1499">
        <f>IF($B1499="","",IF(LEFT($B1499,1)="━","",VLOOKUP($B1499,'4. CÀI ĐẶT'!$A$2:$H$32,6,FALSE)))</f>
        <v/>
      </c>
      <c r="J1499" s="13">
        <f>IF($A1499="","",EOMONTH($A1499,0))</f>
        <v/>
      </c>
      <c r="K1499" s="67">
        <f>IF($B1499="",0,IF(LEFT($B1499,1)="━",0,$C1499*VLOOKUP($B1499,'4. CÀI ĐẶT'!$A$2:$H$32,7,FALSE)))</f>
        <v/>
      </c>
    </row>
    <row r="1500">
      <c r="A1500" s="8" t="n"/>
      <c r="B1500" s="9" t="n"/>
      <c r="C1500" s="65" t="n"/>
      <c r="D1500" s="9" t="n"/>
      <c r="E1500" s="66">
        <f>IF($B1500="","",IF(LEFT($B1500,1)="━","⚠️ Chọn hạng mục cụ thể",$C1500*VLOOKUP($B1500,'4. CÀI ĐẶT'!$A$2:$H$32,2,FALSE)))</f>
        <v/>
      </c>
      <c r="F1500" s="67">
        <f>IF($B1500="",0,IF(LEFT($B1500,1)="━",0,$C1500*VLOOKUP($B1500,'4. CÀI ĐẶT'!$A$2:$H$32,3,FALSE)))</f>
        <v/>
      </c>
      <c r="G1500" s="67">
        <f>IF($B1500="",0,IF(LEFT($B1500,1)="━",0,$C1500*VLOOKUP($B1500,'4. CÀI ĐẶT'!$A$2:$H$32,4,FALSE)))</f>
        <v/>
      </c>
      <c r="H1500" s="67">
        <f>IF($B1500="",0,IF(LEFT($B1500,1)="━",0,$C1500*VLOOKUP($B1500,'4. CÀI ĐẶT'!$A$2:$H$32,5,FALSE)))</f>
        <v/>
      </c>
      <c r="I1500">
        <f>IF($B1500="","",IF(LEFT($B1500,1)="━","",VLOOKUP($B1500,'4. CÀI ĐẶT'!$A$2:$H$32,6,FALSE)))</f>
        <v/>
      </c>
      <c r="J1500" s="13">
        <f>IF($A1500="","",EOMONTH($A1500,0))</f>
        <v/>
      </c>
      <c r="K1500" s="67">
        <f>IF($B1500="",0,IF(LEFT($B1500,1)="━",0,$C1500*VLOOKUP($B1500,'4. CÀI ĐẶT'!$A$2:$H$32,7,FALSE)))</f>
        <v/>
      </c>
    </row>
    <row r="1501">
      <c r="A1501" s="8" t="n"/>
      <c r="B1501" s="9" t="n"/>
      <c r="C1501" s="65" t="n"/>
      <c r="D1501" s="9" t="n"/>
      <c r="E1501" s="66">
        <f>IF($B1501="","",IF(LEFT($B1501,1)="━","⚠️ Chọn hạng mục cụ thể",$C1501*VLOOKUP($B1501,'4. CÀI ĐẶT'!$A$2:$H$32,2,FALSE)))</f>
        <v/>
      </c>
      <c r="F1501" s="67">
        <f>IF($B1501="",0,IF(LEFT($B1501,1)="━",0,$C1501*VLOOKUP($B1501,'4. CÀI ĐẶT'!$A$2:$H$32,3,FALSE)))</f>
        <v/>
      </c>
      <c r="G1501" s="67">
        <f>IF($B1501="",0,IF(LEFT($B1501,1)="━",0,$C1501*VLOOKUP($B1501,'4. CÀI ĐẶT'!$A$2:$H$32,4,FALSE)))</f>
        <v/>
      </c>
      <c r="H1501" s="67">
        <f>IF($B1501="",0,IF(LEFT($B1501,1)="━",0,$C1501*VLOOKUP($B1501,'4. CÀI ĐẶT'!$A$2:$H$32,5,FALSE)))</f>
        <v/>
      </c>
      <c r="I1501">
        <f>IF($B1501="","",IF(LEFT($B1501,1)="━","",VLOOKUP($B1501,'4. CÀI ĐẶT'!$A$2:$H$32,6,FALSE)))</f>
        <v/>
      </c>
      <c r="J1501" s="13">
        <f>IF($A1501="","",EOMONTH($A1501,0))</f>
        <v/>
      </c>
      <c r="K1501" s="67">
        <f>IF($B1501="",0,IF(LEFT($B1501,1)="━",0,$C1501*VLOOKUP($B1501,'4. CÀI ĐẶT'!$A$2:$H$32,7,FALSE)))</f>
        <v/>
      </c>
    </row>
    <row r="1502">
      <c r="A1502" s="8" t="n"/>
      <c r="B1502" s="9" t="n"/>
      <c r="C1502" s="65" t="n"/>
      <c r="D1502" s="9" t="n"/>
      <c r="E1502" s="66">
        <f>IF($B1502="","",IF(LEFT($B1502,1)="━","⚠️ Chọn hạng mục cụ thể",$C1502*VLOOKUP($B1502,'4. CÀI ĐẶT'!$A$2:$H$32,2,FALSE)))</f>
        <v/>
      </c>
      <c r="F1502" s="67">
        <f>IF($B1502="",0,IF(LEFT($B1502,1)="━",0,$C1502*VLOOKUP($B1502,'4. CÀI ĐẶT'!$A$2:$H$32,3,FALSE)))</f>
        <v/>
      </c>
      <c r="G1502" s="67">
        <f>IF($B1502="",0,IF(LEFT($B1502,1)="━",0,$C1502*VLOOKUP($B1502,'4. CÀI ĐẶT'!$A$2:$H$32,4,FALSE)))</f>
        <v/>
      </c>
      <c r="H1502" s="67">
        <f>IF($B1502="",0,IF(LEFT($B1502,1)="━",0,$C1502*VLOOKUP($B1502,'4. CÀI ĐẶT'!$A$2:$H$32,5,FALSE)))</f>
        <v/>
      </c>
      <c r="I1502">
        <f>IF($B1502="","",IF(LEFT($B1502,1)="━","",VLOOKUP($B1502,'4. CÀI ĐẶT'!$A$2:$H$32,6,FALSE)))</f>
        <v/>
      </c>
      <c r="J1502" s="13">
        <f>IF($A1502="","",EOMONTH($A1502,0))</f>
        <v/>
      </c>
      <c r="K1502" s="67">
        <f>IF($B1502="",0,IF(LEFT($B1502,1)="━",0,$C1502*VLOOKUP($B1502,'4. CÀI ĐẶT'!$A$2:$H$32,7,FALSE)))</f>
        <v/>
      </c>
    </row>
    <row r="1503">
      <c r="A1503" s="8" t="n"/>
      <c r="B1503" s="9" t="n"/>
      <c r="C1503" s="65" t="n"/>
      <c r="D1503" s="9" t="n"/>
      <c r="E1503" s="66">
        <f>IF($B1503="","",IF(LEFT($B1503,1)="━","⚠️ Chọn hạng mục cụ thể",$C1503*VLOOKUP($B1503,'4. CÀI ĐẶT'!$A$2:$H$32,2,FALSE)))</f>
        <v/>
      </c>
      <c r="F1503" s="67">
        <f>IF($B1503="",0,IF(LEFT($B1503,1)="━",0,$C1503*VLOOKUP($B1503,'4. CÀI ĐẶT'!$A$2:$H$32,3,FALSE)))</f>
        <v/>
      </c>
      <c r="G1503" s="67">
        <f>IF($B1503="",0,IF(LEFT($B1503,1)="━",0,$C1503*VLOOKUP($B1503,'4. CÀI ĐẶT'!$A$2:$H$32,4,FALSE)))</f>
        <v/>
      </c>
      <c r="H1503" s="67">
        <f>IF($B1503="",0,IF(LEFT($B1503,1)="━",0,$C1503*VLOOKUP($B1503,'4. CÀI ĐẶT'!$A$2:$H$32,5,FALSE)))</f>
        <v/>
      </c>
      <c r="I1503">
        <f>IF($B1503="","",IF(LEFT($B1503,1)="━","",VLOOKUP($B1503,'4. CÀI ĐẶT'!$A$2:$H$32,6,FALSE)))</f>
        <v/>
      </c>
      <c r="J1503" s="13">
        <f>IF($A1503="","",EOMONTH($A1503,0))</f>
        <v/>
      </c>
      <c r="K1503" s="67">
        <f>IF($B1503="",0,IF(LEFT($B1503,1)="━",0,$C1503*VLOOKUP($B1503,'4. CÀI ĐẶT'!$A$2:$H$32,7,FALSE)))</f>
        <v/>
      </c>
    </row>
    <row r="1504">
      <c r="A1504" s="8" t="n"/>
      <c r="B1504" s="9" t="n"/>
      <c r="C1504" s="65" t="n"/>
      <c r="D1504" s="9" t="n"/>
      <c r="E1504" s="66">
        <f>IF($B1504="","",IF(LEFT($B1504,1)="━","⚠️ Chọn hạng mục cụ thể",$C1504*VLOOKUP($B1504,'4. CÀI ĐẶT'!$A$2:$H$32,2,FALSE)))</f>
        <v/>
      </c>
      <c r="F1504" s="67">
        <f>IF($B1504="",0,IF(LEFT($B1504,1)="━",0,$C1504*VLOOKUP($B1504,'4. CÀI ĐẶT'!$A$2:$H$32,3,FALSE)))</f>
        <v/>
      </c>
      <c r="G1504" s="67">
        <f>IF($B1504="",0,IF(LEFT($B1504,1)="━",0,$C1504*VLOOKUP($B1504,'4. CÀI ĐẶT'!$A$2:$H$32,4,FALSE)))</f>
        <v/>
      </c>
      <c r="H1504" s="67">
        <f>IF($B1504="",0,IF(LEFT($B1504,1)="━",0,$C1504*VLOOKUP($B1504,'4. CÀI ĐẶT'!$A$2:$H$32,5,FALSE)))</f>
        <v/>
      </c>
      <c r="I1504">
        <f>IF($B1504="","",IF(LEFT($B1504,1)="━","",VLOOKUP($B1504,'4. CÀI ĐẶT'!$A$2:$H$32,6,FALSE)))</f>
        <v/>
      </c>
      <c r="J1504" s="13">
        <f>IF($A1504="","",EOMONTH($A1504,0))</f>
        <v/>
      </c>
      <c r="K1504" s="67">
        <f>IF($B1504="",0,IF(LEFT($B1504,1)="━",0,$C1504*VLOOKUP($B1504,'4. CÀI ĐẶT'!$A$2:$H$32,7,FALSE)))</f>
        <v/>
      </c>
    </row>
    <row r="1505">
      <c r="A1505" s="8" t="n"/>
      <c r="B1505" s="9" t="n"/>
      <c r="C1505" s="65" t="n"/>
      <c r="D1505" s="9" t="n"/>
      <c r="E1505" s="66">
        <f>IF($B1505="","",IF(LEFT($B1505,1)="━","⚠️ Chọn hạng mục cụ thể",$C1505*VLOOKUP($B1505,'4. CÀI ĐẶT'!$A$2:$H$32,2,FALSE)))</f>
        <v/>
      </c>
      <c r="F1505" s="67">
        <f>IF($B1505="",0,IF(LEFT($B1505,1)="━",0,$C1505*VLOOKUP($B1505,'4. CÀI ĐẶT'!$A$2:$H$32,3,FALSE)))</f>
        <v/>
      </c>
      <c r="G1505" s="67">
        <f>IF($B1505="",0,IF(LEFT($B1505,1)="━",0,$C1505*VLOOKUP($B1505,'4. CÀI ĐẶT'!$A$2:$H$32,4,FALSE)))</f>
        <v/>
      </c>
      <c r="H1505" s="67">
        <f>IF($B1505="",0,IF(LEFT($B1505,1)="━",0,$C1505*VLOOKUP($B1505,'4. CÀI ĐẶT'!$A$2:$H$32,5,FALSE)))</f>
        <v/>
      </c>
      <c r="I1505">
        <f>IF($B1505="","",IF(LEFT($B1505,1)="━","",VLOOKUP($B1505,'4. CÀI ĐẶT'!$A$2:$H$32,6,FALSE)))</f>
        <v/>
      </c>
      <c r="J1505" s="13">
        <f>IF($A1505="","",EOMONTH($A1505,0))</f>
        <v/>
      </c>
      <c r="K1505" s="67">
        <f>IF($B1505="",0,IF(LEFT($B1505,1)="━",0,$C1505*VLOOKUP($B1505,'4. CÀI ĐẶT'!$A$2:$H$32,7,FALSE)))</f>
        <v/>
      </c>
    </row>
    <row r="1506">
      <c r="A1506" s="8" t="n"/>
      <c r="B1506" s="9" t="n"/>
      <c r="C1506" s="65" t="n"/>
      <c r="D1506" s="9" t="n"/>
      <c r="E1506" s="66">
        <f>IF($B1506="","",IF(LEFT($B1506,1)="━","⚠️ Chọn hạng mục cụ thể",$C1506*VLOOKUP($B1506,'4. CÀI ĐẶT'!$A$2:$H$32,2,FALSE)))</f>
        <v/>
      </c>
      <c r="F1506" s="67">
        <f>IF($B1506="",0,IF(LEFT($B1506,1)="━",0,$C1506*VLOOKUP($B1506,'4. CÀI ĐẶT'!$A$2:$H$32,3,FALSE)))</f>
        <v/>
      </c>
      <c r="G1506" s="67">
        <f>IF($B1506="",0,IF(LEFT($B1506,1)="━",0,$C1506*VLOOKUP($B1506,'4. CÀI ĐẶT'!$A$2:$H$32,4,FALSE)))</f>
        <v/>
      </c>
      <c r="H1506" s="67">
        <f>IF($B1506="",0,IF(LEFT($B1506,1)="━",0,$C1506*VLOOKUP($B1506,'4. CÀI ĐẶT'!$A$2:$H$32,5,FALSE)))</f>
        <v/>
      </c>
      <c r="I1506">
        <f>IF($B1506="","",IF(LEFT($B1506,1)="━","",VLOOKUP($B1506,'4. CÀI ĐẶT'!$A$2:$H$32,6,FALSE)))</f>
        <v/>
      </c>
      <c r="J1506" s="13">
        <f>IF($A1506="","",EOMONTH($A1506,0))</f>
        <v/>
      </c>
      <c r="K1506" s="67">
        <f>IF($B1506="",0,IF(LEFT($B1506,1)="━",0,$C1506*VLOOKUP($B1506,'4. CÀI ĐẶT'!$A$2:$H$32,7,FALSE)))</f>
        <v/>
      </c>
    </row>
    <row r="1507">
      <c r="A1507" s="8" t="n"/>
      <c r="B1507" s="9" t="n"/>
      <c r="C1507" s="65" t="n"/>
      <c r="D1507" s="9" t="n"/>
      <c r="E1507" s="66">
        <f>IF($B1507="","",IF(LEFT($B1507,1)="━","⚠️ Chọn hạng mục cụ thể",$C1507*VLOOKUP($B1507,'4. CÀI ĐẶT'!$A$2:$H$32,2,FALSE)))</f>
        <v/>
      </c>
      <c r="F1507" s="67">
        <f>IF($B1507="",0,IF(LEFT($B1507,1)="━",0,$C1507*VLOOKUP($B1507,'4. CÀI ĐẶT'!$A$2:$H$32,3,FALSE)))</f>
        <v/>
      </c>
      <c r="G1507" s="67">
        <f>IF($B1507="",0,IF(LEFT($B1507,1)="━",0,$C1507*VLOOKUP($B1507,'4. CÀI ĐẶT'!$A$2:$H$32,4,FALSE)))</f>
        <v/>
      </c>
      <c r="H1507" s="67">
        <f>IF($B1507="",0,IF(LEFT($B1507,1)="━",0,$C1507*VLOOKUP($B1507,'4. CÀI ĐẶT'!$A$2:$H$32,5,FALSE)))</f>
        <v/>
      </c>
      <c r="I1507">
        <f>IF($B1507="","",IF(LEFT($B1507,1)="━","",VLOOKUP($B1507,'4. CÀI ĐẶT'!$A$2:$H$32,6,FALSE)))</f>
        <v/>
      </c>
      <c r="J1507" s="13">
        <f>IF($A1507="","",EOMONTH($A1507,0))</f>
        <v/>
      </c>
      <c r="K1507" s="67">
        <f>IF($B1507="",0,IF(LEFT($B1507,1)="━",0,$C1507*VLOOKUP($B1507,'4. CÀI ĐẶT'!$A$2:$H$32,7,FALSE)))</f>
        <v/>
      </c>
    </row>
    <row r="1508">
      <c r="A1508" s="8" t="n"/>
      <c r="B1508" s="9" t="n"/>
      <c r="C1508" s="65" t="n"/>
      <c r="D1508" s="9" t="n"/>
      <c r="E1508" s="66">
        <f>IF($B1508="","",IF(LEFT($B1508,1)="━","⚠️ Chọn hạng mục cụ thể",$C1508*VLOOKUP($B1508,'4. CÀI ĐẶT'!$A$2:$H$32,2,FALSE)))</f>
        <v/>
      </c>
      <c r="F1508" s="67">
        <f>IF($B1508="",0,IF(LEFT($B1508,1)="━",0,$C1508*VLOOKUP($B1508,'4. CÀI ĐẶT'!$A$2:$H$32,3,FALSE)))</f>
        <v/>
      </c>
      <c r="G1508" s="67">
        <f>IF($B1508="",0,IF(LEFT($B1508,1)="━",0,$C1508*VLOOKUP($B1508,'4. CÀI ĐẶT'!$A$2:$H$32,4,FALSE)))</f>
        <v/>
      </c>
      <c r="H1508" s="67">
        <f>IF($B1508="",0,IF(LEFT($B1508,1)="━",0,$C1508*VLOOKUP($B1508,'4. CÀI ĐẶT'!$A$2:$H$32,5,FALSE)))</f>
        <v/>
      </c>
      <c r="I1508">
        <f>IF($B1508="","",IF(LEFT($B1508,1)="━","",VLOOKUP($B1508,'4. CÀI ĐẶT'!$A$2:$H$32,6,FALSE)))</f>
        <v/>
      </c>
      <c r="J1508" s="13">
        <f>IF($A1508="","",EOMONTH($A1508,0))</f>
        <v/>
      </c>
      <c r="K1508" s="67">
        <f>IF($B1508="",0,IF(LEFT($B1508,1)="━",0,$C1508*VLOOKUP($B1508,'4. CÀI ĐẶT'!$A$2:$H$32,7,FALSE)))</f>
        <v/>
      </c>
    </row>
    <row r="1509">
      <c r="A1509" s="8" t="n"/>
      <c r="B1509" s="9" t="n"/>
      <c r="C1509" s="65" t="n"/>
      <c r="D1509" s="9" t="n"/>
      <c r="E1509" s="66">
        <f>IF($B1509="","",IF(LEFT($B1509,1)="━","⚠️ Chọn hạng mục cụ thể",$C1509*VLOOKUP($B1509,'4. CÀI ĐẶT'!$A$2:$H$32,2,FALSE)))</f>
        <v/>
      </c>
      <c r="F1509" s="67">
        <f>IF($B1509="",0,IF(LEFT($B1509,1)="━",0,$C1509*VLOOKUP($B1509,'4. CÀI ĐẶT'!$A$2:$H$32,3,FALSE)))</f>
        <v/>
      </c>
      <c r="G1509" s="67">
        <f>IF($B1509="",0,IF(LEFT($B1509,1)="━",0,$C1509*VLOOKUP($B1509,'4. CÀI ĐẶT'!$A$2:$H$32,4,FALSE)))</f>
        <v/>
      </c>
      <c r="H1509" s="67">
        <f>IF($B1509="",0,IF(LEFT($B1509,1)="━",0,$C1509*VLOOKUP($B1509,'4. CÀI ĐẶT'!$A$2:$H$32,5,FALSE)))</f>
        <v/>
      </c>
      <c r="I1509">
        <f>IF($B1509="","",IF(LEFT($B1509,1)="━","",VLOOKUP($B1509,'4. CÀI ĐẶT'!$A$2:$H$32,6,FALSE)))</f>
        <v/>
      </c>
      <c r="J1509" s="13">
        <f>IF($A1509="","",EOMONTH($A1509,0))</f>
        <v/>
      </c>
      <c r="K1509" s="67">
        <f>IF($B1509="",0,IF(LEFT($B1509,1)="━",0,$C1509*VLOOKUP($B1509,'4. CÀI ĐẶT'!$A$2:$H$32,7,FALSE)))</f>
        <v/>
      </c>
    </row>
    <row r="1510">
      <c r="A1510" s="8" t="n"/>
      <c r="B1510" s="9" t="n"/>
      <c r="C1510" s="65" t="n"/>
      <c r="D1510" s="9" t="n"/>
      <c r="E1510" s="66">
        <f>IF($B1510="","",IF(LEFT($B1510,1)="━","⚠️ Chọn hạng mục cụ thể",$C1510*VLOOKUP($B1510,'4. CÀI ĐẶT'!$A$2:$H$32,2,FALSE)))</f>
        <v/>
      </c>
      <c r="F1510" s="67">
        <f>IF($B1510="",0,IF(LEFT($B1510,1)="━",0,$C1510*VLOOKUP($B1510,'4. CÀI ĐẶT'!$A$2:$H$32,3,FALSE)))</f>
        <v/>
      </c>
      <c r="G1510" s="67">
        <f>IF($B1510="",0,IF(LEFT($B1510,1)="━",0,$C1510*VLOOKUP($B1510,'4. CÀI ĐẶT'!$A$2:$H$32,4,FALSE)))</f>
        <v/>
      </c>
      <c r="H1510" s="67">
        <f>IF($B1510="",0,IF(LEFT($B1510,1)="━",0,$C1510*VLOOKUP($B1510,'4. CÀI ĐẶT'!$A$2:$H$32,5,FALSE)))</f>
        <v/>
      </c>
      <c r="I1510">
        <f>IF($B1510="","",IF(LEFT($B1510,1)="━","",VLOOKUP($B1510,'4. CÀI ĐẶT'!$A$2:$H$32,6,FALSE)))</f>
        <v/>
      </c>
      <c r="J1510" s="13">
        <f>IF($A1510="","",EOMONTH($A1510,0))</f>
        <v/>
      </c>
      <c r="K1510" s="67">
        <f>IF($B1510="",0,IF(LEFT($B1510,1)="━",0,$C1510*VLOOKUP($B1510,'4. CÀI ĐẶT'!$A$2:$H$32,7,FALSE)))</f>
        <v/>
      </c>
    </row>
    <row r="1511">
      <c r="A1511" s="8" t="n"/>
      <c r="B1511" s="9" t="n"/>
      <c r="C1511" s="65" t="n"/>
      <c r="D1511" s="9" t="n"/>
      <c r="E1511" s="66">
        <f>IF($B1511="","",IF(LEFT($B1511,1)="━","⚠️ Chọn hạng mục cụ thể",$C1511*VLOOKUP($B1511,'4. CÀI ĐẶT'!$A$2:$H$32,2,FALSE)))</f>
        <v/>
      </c>
      <c r="F1511" s="67">
        <f>IF($B1511="",0,IF(LEFT($B1511,1)="━",0,$C1511*VLOOKUP($B1511,'4. CÀI ĐẶT'!$A$2:$H$32,3,FALSE)))</f>
        <v/>
      </c>
      <c r="G1511" s="67">
        <f>IF($B1511="",0,IF(LEFT($B1511,1)="━",0,$C1511*VLOOKUP($B1511,'4. CÀI ĐẶT'!$A$2:$H$32,4,FALSE)))</f>
        <v/>
      </c>
      <c r="H1511" s="67">
        <f>IF($B1511="",0,IF(LEFT($B1511,1)="━",0,$C1511*VLOOKUP($B1511,'4. CÀI ĐẶT'!$A$2:$H$32,5,FALSE)))</f>
        <v/>
      </c>
      <c r="I1511">
        <f>IF($B1511="","",IF(LEFT($B1511,1)="━","",VLOOKUP($B1511,'4. CÀI ĐẶT'!$A$2:$H$32,6,FALSE)))</f>
        <v/>
      </c>
      <c r="J1511" s="13">
        <f>IF($A1511="","",EOMONTH($A1511,0))</f>
        <v/>
      </c>
      <c r="K1511" s="67">
        <f>IF($B1511="",0,IF(LEFT($B1511,1)="━",0,$C1511*VLOOKUP($B1511,'4. CÀI ĐẶT'!$A$2:$H$32,7,FALSE)))</f>
        <v/>
      </c>
    </row>
    <row r="1512">
      <c r="A1512" s="8" t="n"/>
      <c r="B1512" s="9" t="n"/>
      <c r="C1512" s="65" t="n"/>
      <c r="D1512" s="9" t="n"/>
      <c r="E1512" s="66">
        <f>IF($B1512="","",IF(LEFT($B1512,1)="━","⚠️ Chọn hạng mục cụ thể",$C1512*VLOOKUP($B1512,'4. CÀI ĐẶT'!$A$2:$H$32,2,FALSE)))</f>
        <v/>
      </c>
      <c r="F1512" s="67">
        <f>IF($B1512="",0,IF(LEFT($B1512,1)="━",0,$C1512*VLOOKUP($B1512,'4. CÀI ĐẶT'!$A$2:$H$32,3,FALSE)))</f>
        <v/>
      </c>
      <c r="G1512" s="67">
        <f>IF($B1512="",0,IF(LEFT($B1512,1)="━",0,$C1512*VLOOKUP($B1512,'4. CÀI ĐẶT'!$A$2:$H$32,4,FALSE)))</f>
        <v/>
      </c>
      <c r="H1512" s="67">
        <f>IF($B1512="",0,IF(LEFT($B1512,1)="━",0,$C1512*VLOOKUP($B1512,'4. CÀI ĐẶT'!$A$2:$H$32,5,FALSE)))</f>
        <v/>
      </c>
      <c r="I1512">
        <f>IF($B1512="","",IF(LEFT($B1512,1)="━","",VLOOKUP($B1512,'4. CÀI ĐẶT'!$A$2:$H$32,6,FALSE)))</f>
        <v/>
      </c>
      <c r="J1512" s="13">
        <f>IF($A1512="","",EOMONTH($A1512,0))</f>
        <v/>
      </c>
      <c r="K1512" s="67">
        <f>IF($B1512="",0,IF(LEFT($B1512,1)="━",0,$C1512*VLOOKUP($B1512,'4. CÀI ĐẶT'!$A$2:$H$32,7,FALSE)))</f>
        <v/>
      </c>
    </row>
    <row r="1513">
      <c r="A1513" s="8" t="n"/>
      <c r="B1513" s="9" t="n"/>
      <c r="C1513" s="65" t="n"/>
      <c r="D1513" s="9" t="n"/>
      <c r="E1513" s="66">
        <f>IF($B1513="","",IF(LEFT($B1513,1)="━","⚠️ Chọn hạng mục cụ thể",$C1513*VLOOKUP($B1513,'4. CÀI ĐẶT'!$A$2:$H$32,2,FALSE)))</f>
        <v/>
      </c>
      <c r="F1513" s="67">
        <f>IF($B1513="",0,IF(LEFT($B1513,1)="━",0,$C1513*VLOOKUP($B1513,'4. CÀI ĐẶT'!$A$2:$H$32,3,FALSE)))</f>
        <v/>
      </c>
      <c r="G1513" s="67">
        <f>IF($B1513="",0,IF(LEFT($B1513,1)="━",0,$C1513*VLOOKUP($B1513,'4. CÀI ĐẶT'!$A$2:$H$32,4,FALSE)))</f>
        <v/>
      </c>
      <c r="H1513" s="67">
        <f>IF($B1513="",0,IF(LEFT($B1513,1)="━",0,$C1513*VLOOKUP($B1513,'4. CÀI ĐẶT'!$A$2:$H$32,5,FALSE)))</f>
        <v/>
      </c>
      <c r="I1513">
        <f>IF($B1513="","",IF(LEFT($B1513,1)="━","",VLOOKUP($B1513,'4. CÀI ĐẶT'!$A$2:$H$32,6,FALSE)))</f>
        <v/>
      </c>
      <c r="J1513" s="13">
        <f>IF($A1513="","",EOMONTH($A1513,0))</f>
        <v/>
      </c>
      <c r="K1513" s="67">
        <f>IF($B1513="",0,IF(LEFT($B1513,1)="━",0,$C1513*VLOOKUP($B1513,'4. CÀI ĐẶT'!$A$2:$H$32,7,FALSE)))</f>
        <v/>
      </c>
    </row>
    <row r="1514">
      <c r="A1514" s="8" t="n"/>
      <c r="B1514" s="9" t="n"/>
      <c r="C1514" s="65" t="n"/>
      <c r="D1514" s="9" t="n"/>
      <c r="E1514" s="66">
        <f>IF($B1514="","",IF(LEFT($B1514,1)="━","⚠️ Chọn hạng mục cụ thể",$C1514*VLOOKUP($B1514,'4. CÀI ĐẶT'!$A$2:$H$32,2,FALSE)))</f>
        <v/>
      </c>
      <c r="F1514" s="67">
        <f>IF($B1514="",0,IF(LEFT($B1514,1)="━",0,$C1514*VLOOKUP($B1514,'4. CÀI ĐẶT'!$A$2:$H$32,3,FALSE)))</f>
        <v/>
      </c>
      <c r="G1514" s="67">
        <f>IF($B1514="",0,IF(LEFT($B1514,1)="━",0,$C1514*VLOOKUP($B1514,'4. CÀI ĐẶT'!$A$2:$H$32,4,FALSE)))</f>
        <v/>
      </c>
      <c r="H1514" s="67">
        <f>IF($B1514="",0,IF(LEFT($B1514,1)="━",0,$C1514*VLOOKUP($B1514,'4. CÀI ĐẶT'!$A$2:$H$32,5,FALSE)))</f>
        <v/>
      </c>
      <c r="I1514">
        <f>IF($B1514="","",IF(LEFT($B1514,1)="━","",VLOOKUP($B1514,'4. CÀI ĐẶT'!$A$2:$H$32,6,FALSE)))</f>
        <v/>
      </c>
      <c r="J1514" s="13">
        <f>IF($A1514="","",EOMONTH($A1514,0))</f>
        <v/>
      </c>
      <c r="K1514" s="67">
        <f>IF($B1514="",0,IF(LEFT($B1514,1)="━",0,$C1514*VLOOKUP($B1514,'4. CÀI ĐẶT'!$A$2:$H$32,7,FALSE)))</f>
        <v/>
      </c>
    </row>
    <row r="1515">
      <c r="A1515" s="8" t="n"/>
      <c r="B1515" s="9" t="n"/>
      <c r="C1515" s="65" t="n"/>
      <c r="D1515" s="9" t="n"/>
      <c r="E1515" s="66">
        <f>IF($B1515="","",IF(LEFT($B1515,1)="━","⚠️ Chọn hạng mục cụ thể",$C1515*VLOOKUP($B1515,'4. CÀI ĐẶT'!$A$2:$H$32,2,FALSE)))</f>
        <v/>
      </c>
      <c r="F1515" s="67">
        <f>IF($B1515="",0,IF(LEFT($B1515,1)="━",0,$C1515*VLOOKUP($B1515,'4. CÀI ĐẶT'!$A$2:$H$32,3,FALSE)))</f>
        <v/>
      </c>
      <c r="G1515" s="67">
        <f>IF($B1515="",0,IF(LEFT($B1515,1)="━",0,$C1515*VLOOKUP($B1515,'4. CÀI ĐẶT'!$A$2:$H$32,4,FALSE)))</f>
        <v/>
      </c>
      <c r="H1515" s="67">
        <f>IF($B1515="",0,IF(LEFT($B1515,1)="━",0,$C1515*VLOOKUP($B1515,'4. CÀI ĐẶT'!$A$2:$H$32,5,FALSE)))</f>
        <v/>
      </c>
      <c r="I1515">
        <f>IF($B1515="","",IF(LEFT($B1515,1)="━","",VLOOKUP($B1515,'4. CÀI ĐẶT'!$A$2:$H$32,6,FALSE)))</f>
        <v/>
      </c>
      <c r="J1515" s="13">
        <f>IF($A1515="","",EOMONTH($A1515,0))</f>
        <v/>
      </c>
      <c r="K1515" s="67">
        <f>IF($B1515="",0,IF(LEFT($B1515,1)="━",0,$C1515*VLOOKUP($B1515,'4. CÀI ĐẶT'!$A$2:$H$32,7,FALSE)))</f>
        <v/>
      </c>
    </row>
    <row r="1516">
      <c r="A1516" s="8" t="n"/>
      <c r="B1516" s="9" t="n"/>
      <c r="C1516" s="65" t="n"/>
      <c r="D1516" s="9" t="n"/>
      <c r="E1516" s="66">
        <f>IF($B1516="","",IF(LEFT($B1516,1)="━","⚠️ Chọn hạng mục cụ thể",$C1516*VLOOKUP($B1516,'4. CÀI ĐẶT'!$A$2:$H$32,2,FALSE)))</f>
        <v/>
      </c>
      <c r="F1516" s="67">
        <f>IF($B1516="",0,IF(LEFT($B1516,1)="━",0,$C1516*VLOOKUP($B1516,'4. CÀI ĐẶT'!$A$2:$H$32,3,FALSE)))</f>
        <v/>
      </c>
      <c r="G1516" s="67">
        <f>IF($B1516="",0,IF(LEFT($B1516,1)="━",0,$C1516*VLOOKUP($B1516,'4. CÀI ĐẶT'!$A$2:$H$32,4,FALSE)))</f>
        <v/>
      </c>
      <c r="H1516" s="67">
        <f>IF($B1516="",0,IF(LEFT($B1516,1)="━",0,$C1516*VLOOKUP($B1516,'4. CÀI ĐẶT'!$A$2:$H$32,5,FALSE)))</f>
        <v/>
      </c>
      <c r="I1516">
        <f>IF($B1516="","",IF(LEFT($B1516,1)="━","",VLOOKUP($B1516,'4. CÀI ĐẶT'!$A$2:$H$32,6,FALSE)))</f>
        <v/>
      </c>
      <c r="J1516" s="13">
        <f>IF($A1516="","",EOMONTH($A1516,0))</f>
        <v/>
      </c>
      <c r="K1516" s="67">
        <f>IF($B1516="",0,IF(LEFT($B1516,1)="━",0,$C1516*VLOOKUP($B1516,'4. CÀI ĐẶT'!$A$2:$H$32,7,FALSE)))</f>
        <v/>
      </c>
    </row>
    <row r="1517">
      <c r="A1517" s="8" t="n"/>
      <c r="B1517" s="9" t="n"/>
      <c r="C1517" s="65" t="n"/>
      <c r="D1517" s="9" t="n"/>
      <c r="E1517" s="66">
        <f>IF($B1517="","",IF(LEFT($B1517,1)="━","⚠️ Chọn hạng mục cụ thể",$C1517*VLOOKUP($B1517,'4. CÀI ĐẶT'!$A$2:$H$32,2,FALSE)))</f>
        <v/>
      </c>
      <c r="F1517" s="67">
        <f>IF($B1517="",0,IF(LEFT($B1517,1)="━",0,$C1517*VLOOKUP($B1517,'4. CÀI ĐẶT'!$A$2:$H$32,3,FALSE)))</f>
        <v/>
      </c>
      <c r="G1517" s="67">
        <f>IF($B1517="",0,IF(LEFT($B1517,1)="━",0,$C1517*VLOOKUP($B1517,'4. CÀI ĐẶT'!$A$2:$H$32,4,FALSE)))</f>
        <v/>
      </c>
      <c r="H1517" s="67">
        <f>IF($B1517="",0,IF(LEFT($B1517,1)="━",0,$C1517*VLOOKUP($B1517,'4. CÀI ĐẶT'!$A$2:$H$32,5,FALSE)))</f>
        <v/>
      </c>
      <c r="I1517">
        <f>IF($B1517="","",IF(LEFT($B1517,1)="━","",VLOOKUP($B1517,'4. CÀI ĐẶT'!$A$2:$H$32,6,FALSE)))</f>
        <v/>
      </c>
      <c r="J1517" s="13">
        <f>IF($A1517="","",EOMONTH($A1517,0))</f>
        <v/>
      </c>
      <c r="K1517" s="67">
        <f>IF($B1517="",0,IF(LEFT($B1517,1)="━",0,$C1517*VLOOKUP($B1517,'4. CÀI ĐẶT'!$A$2:$H$32,7,FALSE)))</f>
        <v/>
      </c>
    </row>
    <row r="1518">
      <c r="A1518" s="8" t="n"/>
      <c r="B1518" s="9" t="n"/>
      <c r="C1518" s="65" t="n"/>
      <c r="D1518" s="9" t="n"/>
      <c r="E1518" s="66">
        <f>IF($B1518="","",IF(LEFT($B1518,1)="━","⚠️ Chọn hạng mục cụ thể",$C1518*VLOOKUP($B1518,'4. CÀI ĐẶT'!$A$2:$H$32,2,FALSE)))</f>
        <v/>
      </c>
      <c r="F1518" s="67">
        <f>IF($B1518="",0,IF(LEFT($B1518,1)="━",0,$C1518*VLOOKUP($B1518,'4. CÀI ĐẶT'!$A$2:$H$32,3,FALSE)))</f>
        <v/>
      </c>
      <c r="G1518" s="67">
        <f>IF($B1518="",0,IF(LEFT($B1518,1)="━",0,$C1518*VLOOKUP($B1518,'4. CÀI ĐẶT'!$A$2:$H$32,4,FALSE)))</f>
        <v/>
      </c>
      <c r="H1518" s="67">
        <f>IF($B1518="",0,IF(LEFT($B1518,1)="━",0,$C1518*VLOOKUP($B1518,'4. CÀI ĐẶT'!$A$2:$H$32,5,FALSE)))</f>
        <v/>
      </c>
      <c r="I1518">
        <f>IF($B1518="","",IF(LEFT($B1518,1)="━","",VLOOKUP($B1518,'4. CÀI ĐẶT'!$A$2:$H$32,6,FALSE)))</f>
        <v/>
      </c>
      <c r="J1518" s="13">
        <f>IF($A1518="","",EOMONTH($A1518,0))</f>
        <v/>
      </c>
      <c r="K1518" s="67">
        <f>IF($B1518="",0,IF(LEFT($B1518,1)="━",0,$C1518*VLOOKUP($B1518,'4. CÀI ĐẶT'!$A$2:$H$32,7,FALSE)))</f>
        <v/>
      </c>
    </row>
    <row r="1519">
      <c r="A1519" s="8" t="n"/>
      <c r="B1519" s="9" t="n"/>
      <c r="C1519" s="65" t="n"/>
      <c r="D1519" s="9" t="n"/>
      <c r="E1519" s="66">
        <f>IF($B1519="","",IF(LEFT($B1519,1)="━","⚠️ Chọn hạng mục cụ thể",$C1519*VLOOKUP($B1519,'4. CÀI ĐẶT'!$A$2:$H$32,2,FALSE)))</f>
        <v/>
      </c>
      <c r="F1519" s="67">
        <f>IF($B1519="",0,IF(LEFT($B1519,1)="━",0,$C1519*VLOOKUP($B1519,'4. CÀI ĐẶT'!$A$2:$H$32,3,FALSE)))</f>
        <v/>
      </c>
      <c r="G1519" s="67">
        <f>IF($B1519="",0,IF(LEFT($B1519,1)="━",0,$C1519*VLOOKUP($B1519,'4. CÀI ĐẶT'!$A$2:$H$32,4,FALSE)))</f>
        <v/>
      </c>
      <c r="H1519" s="67">
        <f>IF($B1519="",0,IF(LEFT($B1519,1)="━",0,$C1519*VLOOKUP($B1519,'4. CÀI ĐẶT'!$A$2:$H$32,5,FALSE)))</f>
        <v/>
      </c>
      <c r="I1519">
        <f>IF($B1519="","",IF(LEFT($B1519,1)="━","",VLOOKUP($B1519,'4. CÀI ĐẶT'!$A$2:$H$32,6,FALSE)))</f>
        <v/>
      </c>
      <c r="J1519" s="13">
        <f>IF($A1519="","",EOMONTH($A1519,0))</f>
        <v/>
      </c>
      <c r="K1519" s="67">
        <f>IF($B1519="",0,IF(LEFT($B1519,1)="━",0,$C1519*VLOOKUP($B1519,'4. CÀI ĐẶT'!$A$2:$H$32,7,FALSE)))</f>
        <v/>
      </c>
    </row>
    <row r="1520">
      <c r="A1520" s="8" t="n"/>
      <c r="B1520" s="9" t="n"/>
      <c r="C1520" s="65" t="n"/>
      <c r="D1520" s="9" t="n"/>
      <c r="E1520" s="66">
        <f>IF($B1520="","",IF(LEFT($B1520,1)="━","⚠️ Chọn hạng mục cụ thể",$C1520*VLOOKUP($B1520,'4. CÀI ĐẶT'!$A$2:$H$32,2,FALSE)))</f>
        <v/>
      </c>
      <c r="F1520" s="67">
        <f>IF($B1520="",0,IF(LEFT($B1520,1)="━",0,$C1520*VLOOKUP($B1520,'4. CÀI ĐẶT'!$A$2:$H$32,3,FALSE)))</f>
        <v/>
      </c>
      <c r="G1520" s="67">
        <f>IF($B1520="",0,IF(LEFT($B1520,1)="━",0,$C1520*VLOOKUP($B1520,'4. CÀI ĐẶT'!$A$2:$H$32,4,FALSE)))</f>
        <v/>
      </c>
      <c r="H1520" s="67">
        <f>IF($B1520="",0,IF(LEFT($B1520,1)="━",0,$C1520*VLOOKUP($B1520,'4. CÀI ĐẶT'!$A$2:$H$32,5,FALSE)))</f>
        <v/>
      </c>
      <c r="I1520">
        <f>IF($B1520="","",IF(LEFT($B1520,1)="━","",VLOOKUP($B1520,'4. CÀI ĐẶT'!$A$2:$H$32,6,FALSE)))</f>
        <v/>
      </c>
      <c r="J1520" s="13">
        <f>IF($A1520="","",EOMONTH($A1520,0))</f>
        <v/>
      </c>
      <c r="K1520" s="67">
        <f>IF($B1520="",0,IF(LEFT($B1520,1)="━",0,$C1520*VLOOKUP($B1520,'4. CÀI ĐẶT'!$A$2:$H$32,7,FALSE)))</f>
        <v/>
      </c>
    </row>
    <row r="1521">
      <c r="A1521" s="8" t="n"/>
      <c r="B1521" s="9" t="n"/>
      <c r="C1521" s="65" t="n"/>
      <c r="D1521" s="9" t="n"/>
      <c r="E1521" s="66">
        <f>IF($B1521="","",IF(LEFT($B1521,1)="━","⚠️ Chọn hạng mục cụ thể",$C1521*VLOOKUP($B1521,'4. CÀI ĐẶT'!$A$2:$H$32,2,FALSE)))</f>
        <v/>
      </c>
      <c r="F1521" s="67">
        <f>IF($B1521="",0,IF(LEFT($B1521,1)="━",0,$C1521*VLOOKUP($B1521,'4. CÀI ĐẶT'!$A$2:$H$32,3,FALSE)))</f>
        <v/>
      </c>
      <c r="G1521" s="67">
        <f>IF($B1521="",0,IF(LEFT($B1521,1)="━",0,$C1521*VLOOKUP($B1521,'4. CÀI ĐẶT'!$A$2:$H$32,4,FALSE)))</f>
        <v/>
      </c>
      <c r="H1521" s="67">
        <f>IF($B1521="",0,IF(LEFT($B1521,1)="━",0,$C1521*VLOOKUP($B1521,'4. CÀI ĐẶT'!$A$2:$H$32,5,FALSE)))</f>
        <v/>
      </c>
      <c r="I1521">
        <f>IF($B1521="","",IF(LEFT($B1521,1)="━","",VLOOKUP($B1521,'4. CÀI ĐẶT'!$A$2:$H$32,6,FALSE)))</f>
        <v/>
      </c>
      <c r="J1521" s="13">
        <f>IF($A1521="","",EOMONTH($A1521,0))</f>
        <v/>
      </c>
      <c r="K1521" s="67">
        <f>IF($B1521="",0,IF(LEFT($B1521,1)="━",0,$C1521*VLOOKUP($B1521,'4. CÀI ĐẶT'!$A$2:$H$32,7,FALSE)))</f>
        <v/>
      </c>
    </row>
    <row r="1522">
      <c r="A1522" s="8" t="n"/>
      <c r="B1522" s="9" t="n"/>
      <c r="C1522" s="65" t="n"/>
      <c r="D1522" s="9" t="n"/>
      <c r="E1522" s="66">
        <f>IF($B1522="","",IF(LEFT($B1522,1)="━","⚠️ Chọn hạng mục cụ thể",$C1522*VLOOKUP($B1522,'4. CÀI ĐẶT'!$A$2:$H$32,2,FALSE)))</f>
        <v/>
      </c>
      <c r="F1522" s="67">
        <f>IF($B1522="",0,IF(LEFT($B1522,1)="━",0,$C1522*VLOOKUP($B1522,'4. CÀI ĐẶT'!$A$2:$H$32,3,FALSE)))</f>
        <v/>
      </c>
      <c r="G1522" s="67">
        <f>IF($B1522="",0,IF(LEFT($B1522,1)="━",0,$C1522*VLOOKUP($B1522,'4. CÀI ĐẶT'!$A$2:$H$32,4,FALSE)))</f>
        <v/>
      </c>
      <c r="H1522" s="67">
        <f>IF($B1522="",0,IF(LEFT($B1522,1)="━",0,$C1522*VLOOKUP($B1522,'4. CÀI ĐẶT'!$A$2:$H$32,5,FALSE)))</f>
        <v/>
      </c>
      <c r="I1522">
        <f>IF($B1522="","",IF(LEFT($B1522,1)="━","",VLOOKUP($B1522,'4. CÀI ĐẶT'!$A$2:$H$32,6,FALSE)))</f>
        <v/>
      </c>
      <c r="J1522" s="13">
        <f>IF($A1522="","",EOMONTH($A1522,0))</f>
        <v/>
      </c>
      <c r="K1522" s="67">
        <f>IF($B1522="",0,IF(LEFT($B1522,1)="━",0,$C1522*VLOOKUP($B1522,'4. CÀI ĐẶT'!$A$2:$H$32,7,FALSE)))</f>
        <v/>
      </c>
    </row>
    <row r="1523">
      <c r="A1523" s="8" t="n"/>
      <c r="B1523" s="9" t="n"/>
      <c r="C1523" s="65" t="n"/>
      <c r="D1523" s="9" t="n"/>
      <c r="E1523" s="66">
        <f>IF($B1523="","",IF(LEFT($B1523,1)="━","⚠️ Chọn hạng mục cụ thể",$C1523*VLOOKUP($B1523,'4. CÀI ĐẶT'!$A$2:$H$32,2,FALSE)))</f>
        <v/>
      </c>
      <c r="F1523" s="67">
        <f>IF($B1523="",0,IF(LEFT($B1523,1)="━",0,$C1523*VLOOKUP($B1523,'4. CÀI ĐẶT'!$A$2:$H$32,3,FALSE)))</f>
        <v/>
      </c>
      <c r="G1523" s="67">
        <f>IF($B1523="",0,IF(LEFT($B1523,1)="━",0,$C1523*VLOOKUP($B1523,'4. CÀI ĐẶT'!$A$2:$H$32,4,FALSE)))</f>
        <v/>
      </c>
      <c r="H1523" s="67">
        <f>IF($B1523="",0,IF(LEFT($B1523,1)="━",0,$C1523*VLOOKUP($B1523,'4. CÀI ĐẶT'!$A$2:$H$32,5,FALSE)))</f>
        <v/>
      </c>
      <c r="I1523">
        <f>IF($B1523="","",IF(LEFT($B1523,1)="━","",VLOOKUP($B1523,'4. CÀI ĐẶT'!$A$2:$H$32,6,FALSE)))</f>
        <v/>
      </c>
      <c r="J1523" s="13">
        <f>IF($A1523="","",EOMONTH($A1523,0))</f>
        <v/>
      </c>
      <c r="K1523" s="67">
        <f>IF($B1523="",0,IF(LEFT($B1523,1)="━",0,$C1523*VLOOKUP($B1523,'4. CÀI ĐẶT'!$A$2:$H$32,7,FALSE)))</f>
        <v/>
      </c>
    </row>
    <row r="1524">
      <c r="A1524" s="8" t="n"/>
      <c r="B1524" s="9" t="n"/>
      <c r="C1524" s="65" t="n"/>
      <c r="D1524" s="9" t="n"/>
      <c r="E1524" s="66">
        <f>IF($B1524="","",IF(LEFT($B1524,1)="━","⚠️ Chọn hạng mục cụ thể",$C1524*VLOOKUP($B1524,'4. CÀI ĐẶT'!$A$2:$H$32,2,FALSE)))</f>
        <v/>
      </c>
      <c r="F1524" s="67">
        <f>IF($B1524="",0,IF(LEFT($B1524,1)="━",0,$C1524*VLOOKUP($B1524,'4. CÀI ĐẶT'!$A$2:$H$32,3,FALSE)))</f>
        <v/>
      </c>
      <c r="G1524" s="67">
        <f>IF($B1524="",0,IF(LEFT($B1524,1)="━",0,$C1524*VLOOKUP($B1524,'4. CÀI ĐẶT'!$A$2:$H$32,4,FALSE)))</f>
        <v/>
      </c>
      <c r="H1524" s="67">
        <f>IF($B1524="",0,IF(LEFT($B1524,1)="━",0,$C1524*VLOOKUP($B1524,'4. CÀI ĐẶT'!$A$2:$H$32,5,FALSE)))</f>
        <v/>
      </c>
      <c r="I1524">
        <f>IF($B1524="","",IF(LEFT($B1524,1)="━","",VLOOKUP($B1524,'4. CÀI ĐẶT'!$A$2:$H$32,6,FALSE)))</f>
        <v/>
      </c>
      <c r="J1524" s="13">
        <f>IF($A1524="","",EOMONTH($A1524,0))</f>
        <v/>
      </c>
      <c r="K1524" s="67">
        <f>IF($B1524="",0,IF(LEFT($B1524,1)="━",0,$C1524*VLOOKUP($B1524,'4. CÀI ĐẶT'!$A$2:$H$32,7,FALSE)))</f>
        <v/>
      </c>
    </row>
    <row r="1525">
      <c r="A1525" s="8" t="n"/>
      <c r="B1525" s="9" t="n"/>
      <c r="C1525" s="65" t="n"/>
      <c r="D1525" s="9" t="n"/>
      <c r="E1525" s="66">
        <f>IF($B1525="","",IF(LEFT($B1525,1)="━","⚠️ Chọn hạng mục cụ thể",$C1525*VLOOKUP($B1525,'4. CÀI ĐẶT'!$A$2:$H$32,2,FALSE)))</f>
        <v/>
      </c>
      <c r="F1525" s="67">
        <f>IF($B1525="",0,IF(LEFT($B1525,1)="━",0,$C1525*VLOOKUP($B1525,'4. CÀI ĐẶT'!$A$2:$H$32,3,FALSE)))</f>
        <v/>
      </c>
      <c r="G1525" s="67">
        <f>IF($B1525="",0,IF(LEFT($B1525,1)="━",0,$C1525*VLOOKUP($B1525,'4. CÀI ĐẶT'!$A$2:$H$32,4,FALSE)))</f>
        <v/>
      </c>
      <c r="H1525" s="67">
        <f>IF($B1525="",0,IF(LEFT($B1525,1)="━",0,$C1525*VLOOKUP($B1525,'4. CÀI ĐẶT'!$A$2:$H$32,5,FALSE)))</f>
        <v/>
      </c>
      <c r="I1525">
        <f>IF($B1525="","",IF(LEFT($B1525,1)="━","",VLOOKUP($B1525,'4. CÀI ĐẶT'!$A$2:$H$32,6,FALSE)))</f>
        <v/>
      </c>
      <c r="J1525" s="13">
        <f>IF($A1525="","",EOMONTH($A1525,0))</f>
        <v/>
      </c>
      <c r="K1525" s="67">
        <f>IF($B1525="",0,IF(LEFT($B1525,1)="━",0,$C1525*VLOOKUP($B1525,'4. CÀI ĐẶT'!$A$2:$H$32,7,FALSE)))</f>
        <v/>
      </c>
    </row>
    <row r="1526">
      <c r="A1526" s="8" t="n"/>
      <c r="B1526" s="9" t="n"/>
      <c r="C1526" s="65" t="n"/>
      <c r="D1526" s="9" t="n"/>
      <c r="E1526" s="66">
        <f>IF($B1526="","",IF(LEFT($B1526,1)="━","⚠️ Chọn hạng mục cụ thể",$C1526*VLOOKUP($B1526,'4. CÀI ĐẶT'!$A$2:$H$32,2,FALSE)))</f>
        <v/>
      </c>
      <c r="F1526" s="67">
        <f>IF($B1526="",0,IF(LEFT($B1526,1)="━",0,$C1526*VLOOKUP($B1526,'4. CÀI ĐẶT'!$A$2:$H$32,3,FALSE)))</f>
        <v/>
      </c>
      <c r="G1526" s="67">
        <f>IF($B1526="",0,IF(LEFT($B1526,1)="━",0,$C1526*VLOOKUP($B1526,'4. CÀI ĐẶT'!$A$2:$H$32,4,FALSE)))</f>
        <v/>
      </c>
      <c r="H1526" s="67">
        <f>IF($B1526="",0,IF(LEFT($B1526,1)="━",0,$C1526*VLOOKUP($B1526,'4. CÀI ĐẶT'!$A$2:$H$32,5,FALSE)))</f>
        <v/>
      </c>
      <c r="I1526">
        <f>IF($B1526="","",IF(LEFT($B1526,1)="━","",VLOOKUP($B1526,'4. CÀI ĐẶT'!$A$2:$H$32,6,FALSE)))</f>
        <v/>
      </c>
      <c r="J1526" s="13">
        <f>IF($A1526="","",EOMONTH($A1526,0))</f>
        <v/>
      </c>
      <c r="K1526" s="67">
        <f>IF($B1526="",0,IF(LEFT($B1526,1)="━",0,$C1526*VLOOKUP($B1526,'4. CÀI ĐẶT'!$A$2:$H$32,7,FALSE)))</f>
        <v/>
      </c>
    </row>
    <row r="1527">
      <c r="A1527" s="8" t="n"/>
      <c r="B1527" s="9" t="n"/>
      <c r="C1527" s="65" t="n"/>
      <c r="D1527" s="9" t="n"/>
      <c r="E1527" s="66">
        <f>IF($B1527="","",IF(LEFT($B1527,1)="━","⚠️ Chọn hạng mục cụ thể",$C1527*VLOOKUP($B1527,'4. CÀI ĐẶT'!$A$2:$H$32,2,FALSE)))</f>
        <v/>
      </c>
      <c r="F1527" s="67">
        <f>IF($B1527="",0,IF(LEFT($B1527,1)="━",0,$C1527*VLOOKUP($B1527,'4. CÀI ĐẶT'!$A$2:$H$32,3,FALSE)))</f>
        <v/>
      </c>
      <c r="G1527" s="67">
        <f>IF($B1527="",0,IF(LEFT($B1527,1)="━",0,$C1527*VLOOKUP($B1527,'4. CÀI ĐẶT'!$A$2:$H$32,4,FALSE)))</f>
        <v/>
      </c>
      <c r="H1527" s="67">
        <f>IF($B1527="",0,IF(LEFT($B1527,1)="━",0,$C1527*VLOOKUP($B1527,'4. CÀI ĐẶT'!$A$2:$H$32,5,FALSE)))</f>
        <v/>
      </c>
      <c r="I1527">
        <f>IF($B1527="","",IF(LEFT($B1527,1)="━","",VLOOKUP($B1527,'4. CÀI ĐẶT'!$A$2:$H$32,6,FALSE)))</f>
        <v/>
      </c>
      <c r="J1527" s="13">
        <f>IF($A1527="","",EOMONTH($A1527,0))</f>
        <v/>
      </c>
      <c r="K1527" s="67">
        <f>IF($B1527="",0,IF(LEFT($B1527,1)="━",0,$C1527*VLOOKUP($B1527,'4. CÀI ĐẶT'!$A$2:$H$32,7,FALSE)))</f>
        <v/>
      </c>
    </row>
    <row r="1528">
      <c r="A1528" s="8" t="n"/>
      <c r="B1528" s="9" t="n"/>
      <c r="C1528" s="65" t="n"/>
      <c r="D1528" s="9" t="n"/>
      <c r="E1528" s="66">
        <f>IF($B1528="","",IF(LEFT($B1528,1)="━","⚠️ Chọn hạng mục cụ thể",$C1528*VLOOKUP($B1528,'4. CÀI ĐẶT'!$A$2:$H$32,2,FALSE)))</f>
        <v/>
      </c>
      <c r="F1528" s="67">
        <f>IF($B1528="",0,IF(LEFT($B1528,1)="━",0,$C1528*VLOOKUP($B1528,'4. CÀI ĐẶT'!$A$2:$H$32,3,FALSE)))</f>
        <v/>
      </c>
      <c r="G1528" s="67">
        <f>IF($B1528="",0,IF(LEFT($B1528,1)="━",0,$C1528*VLOOKUP($B1528,'4. CÀI ĐẶT'!$A$2:$H$32,4,FALSE)))</f>
        <v/>
      </c>
      <c r="H1528" s="67">
        <f>IF($B1528="",0,IF(LEFT($B1528,1)="━",0,$C1528*VLOOKUP($B1528,'4. CÀI ĐẶT'!$A$2:$H$32,5,FALSE)))</f>
        <v/>
      </c>
      <c r="I1528">
        <f>IF($B1528="","",IF(LEFT($B1528,1)="━","",VLOOKUP($B1528,'4. CÀI ĐẶT'!$A$2:$H$32,6,FALSE)))</f>
        <v/>
      </c>
      <c r="J1528" s="13">
        <f>IF($A1528="","",EOMONTH($A1528,0))</f>
        <v/>
      </c>
      <c r="K1528" s="67">
        <f>IF($B1528="",0,IF(LEFT($B1528,1)="━",0,$C1528*VLOOKUP($B1528,'4. CÀI ĐẶT'!$A$2:$H$32,7,FALSE)))</f>
        <v/>
      </c>
    </row>
    <row r="1529">
      <c r="A1529" s="8" t="n"/>
      <c r="B1529" s="9" t="n"/>
      <c r="C1529" s="65" t="n"/>
      <c r="D1529" s="9" t="n"/>
      <c r="E1529" s="66">
        <f>IF($B1529="","",IF(LEFT($B1529,1)="━","⚠️ Chọn hạng mục cụ thể",$C1529*VLOOKUP($B1529,'4. CÀI ĐẶT'!$A$2:$H$32,2,FALSE)))</f>
        <v/>
      </c>
      <c r="F1529" s="67">
        <f>IF($B1529="",0,IF(LEFT($B1529,1)="━",0,$C1529*VLOOKUP($B1529,'4. CÀI ĐẶT'!$A$2:$H$32,3,FALSE)))</f>
        <v/>
      </c>
      <c r="G1529" s="67">
        <f>IF($B1529="",0,IF(LEFT($B1529,1)="━",0,$C1529*VLOOKUP($B1529,'4. CÀI ĐẶT'!$A$2:$H$32,4,FALSE)))</f>
        <v/>
      </c>
      <c r="H1529" s="67">
        <f>IF($B1529="",0,IF(LEFT($B1529,1)="━",0,$C1529*VLOOKUP($B1529,'4. CÀI ĐẶT'!$A$2:$H$32,5,FALSE)))</f>
        <v/>
      </c>
      <c r="I1529">
        <f>IF($B1529="","",IF(LEFT($B1529,1)="━","",VLOOKUP($B1529,'4. CÀI ĐẶT'!$A$2:$H$32,6,FALSE)))</f>
        <v/>
      </c>
      <c r="J1529" s="13">
        <f>IF($A1529="","",EOMONTH($A1529,0))</f>
        <v/>
      </c>
      <c r="K1529" s="67">
        <f>IF($B1529="",0,IF(LEFT($B1529,1)="━",0,$C1529*VLOOKUP($B1529,'4. CÀI ĐẶT'!$A$2:$H$32,7,FALSE)))</f>
        <v/>
      </c>
    </row>
    <row r="1530">
      <c r="A1530" s="8" t="n"/>
      <c r="B1530" s="9" t="n"/>
      <c r="C1530" s="65" t="n"/>
      <c r="D1530" s="9" t="n"/>
      <c r="E1530" s="66">
        <f>IF($B1530="","",IF(LEFT($B1530,1)="━","⚠️ Chọn hạng mục cụ thể",$C1530*VLOOKUP($B1530,'4. CÀI ĐẶT'!$A$2:$H$32,2,FALSE)))</f>
        <v/>
      </c>
      <c r="F1530" s="67">
        <f>IF($B1530="",0,IF(LEFT($B1530,1)="━",0,$C1530*VLOOKUP($B1530,'4. CÀI ĐẶT'!$A$2:$H$32,3,FALSE)))</f>
        <v/>
      </c>
      <c r="G1530" s="67">
        <f>IF($B1530="",0,IF(LEFT($B1530,1)="━",0,$C1530*VLOOKUP($B1530,'4. CÀI ĐẶT'!$A$2:$H$32,4,FALSE)))</f>
        <v/>
      </c>
      <c r="H1530" s="67">
        <f>IF($B1530="",0,IF(LEFT($B1530,1)="━",0,$C1530*VLOOKUP($B1530,'4. CÀI ĐẶT'!$A$2:$H$32,5,FALSE)))</f>
        <v/>
      </c>
      <c r="I1530">
        <f>IF($B1530="","",IF(LEFT($B1530,1)="━","",VLOOKUP($B1530,'4. CÀI ĐẶT'!$A$2:$H$32,6,FALSE)))</f>
        <v/>
      </c>
      <c r="J1530" s="13">
        <f>IF($A1530="","",EOMONTH($A1530,0))</f>
        <v/>
      </c>
      <c r="K1530" s="67">
        <f>IF($B1530="",0,IF(LEFT($B1530,1)="━",0,$C1530*VLOOKUP($B1530,'4. CÀI ĐẶT'!$A$2:$H$32,7,FALSE)))</f>
        <v/>
      </c>
    </row>
    <row r="1531">
      <c r="A1531" s="8" t="n"/>
      <c r="B1531" s="9" t="n"/>
      <c r="C1531" s="65" t="n"/>
      <c r="D1531" s="9" t="n"/>
      <c r="E1531" s="66">
        <f>IF($B1531="","",IF(LEFT($B1531,1)="━","⚠️ Chọn hạng mục cụ thể",$C1531*VLOOKUP($B1531,'4. CÀI ĐẶT'!$A$2:$H$32,2,FALSE)))</f>
        <v/>
      </c>
      <c r="F1531" s="67">
        <f>IF($B1531="",0,IF(LEFT($B1531,1)="━",0,$C1531*VLOOKUP($B1531,'4. CÀI ĐẶT'!$A$2:$H$32,3,FALSE)))</f>
        <v/>
      </c>
      <c r="G1531" s="67">
        <f>IF($B1531="",0,IF(LEFT($B1531,1)="━",0,$C1531*VLOOKUP($B1531,'4. CÀI ĐẶT'!$A$2:$H$32,4,FALSE)))</f>
        <v/>
      </c>
      <c r="H1531" s="67">
        <f>IF($B1531="",0,IF(LEFT($B1531,1)="━",0,$C1531*VLOOKUP($B1531,'4. CÀI ĐẶT'!$A$2:$H$32,5,FALSE)))</f>
        <v/>
      </c>
      <c r="I1531">
        <f>IF($B1531="","",IF(LEFT($B1531,1)="━","",VLOOKUP($B1531,'4. CÀI ĐẶT'!$A$2:$H$32,6,FALSE)))</f>
        <v/>
      </c>
      <c r="J1531" s="13">
        <f>IF($A1531="","",EOMONTH($A1531,0))</f>
        <v/>
      </c>
      <c r="K1531" s="67">
        <f>IF($B1531="",0,IF(LEFT($B1531,1)="━",0,$C1531*VLOOKUP($B1531,'4. CÀI ĐẶT'!$A$2:$H$32,7,FALSE)))</f>
        <v/>
      </c>
    </row>
    <row r="1532">
      <c r="A1532" s="8" t="n"/>
      <c r="B1532" s="9" t="n"/>
      <c r="C1532" s="65" t="n"/>
      <c r="D1532" s="9" t="n"/>
      <c r="E1532" s="66">
        <f>IF($B1532="","",IF(LEFT($B1532,1)="━","⚠️ Chọn hạng mục cụ thể",$C1532*VLOOKUP($B1532,'4. CÀI ĐẶT'!$A$2:$H$32,2,FALSE)))</f>
        <v/>
      </c>
      <c r="F1532" s="67">
        <f>IF($B1532="",0,IF(LEFT($B1532,1)="━",0,$C1532*VLOOKUP($B1532,'4. CÀI ĐẶT'!$A$2:$H$32,3,FALSE)))</f>
        <v/>
      </c>
      <c r="G1532" s="67">
        <f>IF($B1532="",0,IF(LEFT($B1532,1)="━",0,$C1532*VLOOKUP($B1532,'4. CÀI ĐẶT'!$A$2:$H$32,4,FALSE)))</f>
        <v/>
      </c>
      <c r="H1532" s="67">
        <f>IF($B1532="",0,IF(LEFT($B1532,1)="━",0,$C1532*VLOOKUP($B1532,'4. CÀI ĐẶT'!$A$2:$H$32,5,FALSE)))</f>
        <v/>
      </c>
      <c r="I1532">
        <f>IF($B1532="","",IF(LEFT($B1532,1)="━","",VLOOKUP($B1532,'4. CÀI ĐẶT'!$A$2:$H$32,6,FALSE)))</f>
        <v/>
      </c>
      <c r="J1532" s="13">
        <f>IF($A1532="","",EOMONTH($A1532,0))</f>
        <v/>
      </c>
      <c r="K1532" s="67">
        <f>IF($B1532="",0,IF(LEFT($B1532,1)="━",0,$C1532*VLOOKUP($B1532,'4. CÀI ĐẶT'!$A$2:$H$32,7,FALSE)))</f>
        <v/>
      </c>
    </row>
    <row r="1533">
      <c r="A1533" s="8" t="n"/>
      <c r="B1533" s="9" t="n"/>
      <c r="C1533" s="65" t="n"/>
      <c r="D1533" s="9" t="n"/>
      <c r="E1533" s="66">
        <f>IF($B1533="","",IF(LEFT($B1533,1)="━","⚠️ Chọn hạng mục cụ thể",$C1533*VLOOKUP($B1533,'4. CÀI ĐẶT'!$A$2:$H$32,2,FALSE)))</f>
        <v/>
      </c>
      <c r="F1533" s="67">
        <f>IF($B1533="",0,IF(LEFT($B1533,1)="━",0,$C1533*VLOOKUP($B1533,'4. CÀI ĐẶT'!$A$2:$H$32,3,FALSE)))</f>
        <v/>
      </c>
      <c r="G1533" s="67">
        <f>IF($B1533="",0,IF(LEFT($B1533,1)="━",0,$C1533*VLOOKUP($B1533,'4. CÀI ĐẶT'!$A$2:$H$32,4,FALSE)))</f>
        <v/>
      </c>
      <c r="H1533" s="67">
        <f>IF($B1533="",0,IF(LEFT($B1533,1)="━",0,$C1533*VLOOKUP($B1533,'4. CÀI ĐẶT'!$A$2:$H$32,5,FALSE)))</f>
        <v/>
      </c>
      <c r="I1533">
        <f>IF($B1533="","",IF(LEFT($B1533,1)="━","",VLOOKUP($B1533,'4. CÀI ĐẶT'!$A$2:$H$32,6,FALSE)))</f>
        <v/>
      </c>
      <c r="J1533" s="13">
        <f>IF($A1533="","",EOMONTH($A1533,0))</f>
        <v/>
      </c>
      <c r="K1533" s="67">
        <f>IF($B1533="",0,IF(LEFT($B1533,1)="━",0,$C1533*VLOOKUP($B1533,'4. CÀI ĐẶT'!$A$2:$H$32,7,FALSE)))</f>
        <v/>
      </c>
    </row>
    <row r="1534">
      <c r="A1534" s="8" t="n"/>
      <c r="B1534" s="9" t="n"/>
      <c r="C1534" s="65" t="n"/>
      <c r="D1534" s="9" t="n"/>
      <c r="E1534" s="66">
        <f>IF($B1534="","",IF(LEFT($B1534,1)="━","⚠️ Chọn hạng mục cụ thể",$C1534*VLOOKUP($B1534,'4. CÀI ĐẶT'!$A$2:$H$32,2,FALSE)))</f>
        <v/>
      </c>
      <c r="F1534" s="67">
        <f>IF($B1534="",0,IF(LEFT($B1534,1)="━",0,$C1534*VLOOKUP($B1534,'4. CÀI ĐẶT'!$A$2:$H$32,3,FALSE)))</f>
        <v/>
      </c>
      <c r="G1534" s="67">
        <f>IF($B1534="",0,IF(LEFT($B1534,1)="━",0,$C1534*VLOOKUP($B1534,'4. CÀI ĐẶT'!$A$2:$H$32,4,FALSE)))</f>
        <v/>
      </c>
      <c r="H1534" s="67">
        <f>IF($B1534="",0,IF(LEFT($B1534,1)="━",0,$C1534*VLOOKUP($B1534,'4. CÀI ĐẶT'!$A$2:$H$32,5,FALSE)))</f>
        <v/>
      </c>
      <c r="I1534">
        <f>IF($B1534="","",IF(LEFT($B1534,1)="━","",VLOOKUP($B1534,'4. CÀI ĐẶT'!$A$2:$H$32,6,FALSE)))</f>
        <v/>
      </c>
      <c r="J1534" s="13">
        <f>IF($A1534="","",EOMONTH($A1534,0))</f>
        <v/>
      </c>
      <c r="K1534" s="67">
        <f>IF($B1534="",0,IF(LEFT($B1534,1)="━",0,$C1534*VLOOKUP($B1534,'4. CÀI ĐẶT'!$A$2:$H$32,7,FALSE)))</f>
        <v/>
      </c>
    </row>
    <row r="1535">
      <c r="A1535" s="8" t="n"/>
      <c r="B1535" s="9" t="n"/>
      <c r="C1535" s="65" t="n"/>
      <c r="D1535" s="9" t="n"/>
      <c r="E1535" s="66">
        <f>IF($B1535="","",IF(LEFT($B1535,1)="━","⚠️ Chọn hạng mục cụ thể",$C1535*VLOOKUP($B1535,'4. CÀI ĐẶT'!$A$2:$H$32,2,FALSE)))</f>
        <v/>
      </c>
      <c r="F1535" s="67">
        <f>IF($B1535="",0,IF(LEFT($B1535,1)="━",0,$C1535*VLOOKUP($B1535,'4. CÀI ĐẶT'!$A$2:$H$32,3,FALSE)))</f>
        <v/>
      </c>
      <c r="G1535" s="67">
        <f>IF($B1535="",0,IF(LEFT($B1535,1)="━",0,$C1535*VLOOKUP($B1535,'4. CÀI ĐẶT'!$A$2:$H$32,4,FALSE)))</f>
        <v/>
      </c>
      <c r="H1535" s="67">
        <f>IF($B1535="",0,IF(LEFT($B1535,1)="━",0,$C1535*VLOOKUP($B1535,'4. CÀI ĐẶT'!$A$2:$H$32,5,FALSE)))</f>
        <v/>
      </c>
      <c r="I1535">
        <f>IF($B1535="","",IF(LEFT($B1535,1)="━","",VLOOKUP($B1535,'4. CÀI ĐẶT'!$A$2:$H$32,6,FALSE)))</f>
        <v/>
      </c>
      <c r="J1535" s="13">
        <f>IF($A1535="","",EOMONTH($A1535,0))</f>
        <v/>
      </c>
      <c r="K1535" s="67">
        <f>IF($B1535="",0,IF(LEFT($B1535,1)="━",0,$C1535*VLOOKUP($B1535,'4. CÀI ĐẶT'!$A$2:$H$32,7,FALSE)))</f>
        <v/>
      </c>
    </row>
    <row r="1536">
      <c r="A1536" s="8" t="n"/>
      <c r="B1536" s="9" t="n"/>
      <c r="C1536" s="65" t="n"/>
      <c r="D1536" s="9" t="n"/>
      <c r="E1536" s="66">
        <f>IF($B1536="","",IF(LEFT($B1536,1)="━","⚠️ Chọn hạng mục cụ thể",$C1536*VLOOKUP($B1536,'4. CÀI ĐẶT'!$A$2:$H$32,2,FALSE)))</f>
        <v/>
      </c>
      <c r="F1536" s="67">
        <f>IF($B1536="",0,IF(LEFT($B1536,1)="━",0,$C1536*VLOOKUP($B1536,'4. CÀI ĐẶT'!$A$2:$H$32,3,FALSE)))</f>
        <v/>
      </c>
      <c r="G1536" s="67">
        <f>IF($B1536="",0,IF(LEFT($B1536,1)="━",0,$C1536*VLOOKUP($B1536,'4. CÀI ĐẶT'!$A$2:$H$32,4,FALSE)))</f>
        <v/>
      </c>
      <c r="H1536" s="67">
        <f>IF($B1536="",0,IF(LEFT($B1536,1)="━",0,$C1536*VLOOKUP($B1536,'4. CÀI ĐẶT'!$A$2:$H$32,5,FALSE)))</f>
        <v/>
      </c>
      <c r="I1536">
        <f>IF($B1536="","",IF(LEFT($B1536,1)="━","",VLOOKUP($B1536,'4. CÀI ĐẶT'!$A$2:$H$32,6,FALSE)))</f>
        <v/>
      </c>
      <c r="J1536" s="13">
        <f>IF($A1536="","",EOMONTH($A1536,0))</f>
        <v/>
      </c>
      <c r="K1536" s="67">
        <f>IF($B1536="",0,IF(LEFT($B1536,1)="━",0,$C1536*VLOOKUP($B1536,'4. CÀI ĐẶT'!$A$2:$H$32,7,FALSE)))</f>
        <v/>
      </c>
    </row>
    <row r="1537">
      <c r="A1537" s="8" t="n"/>
      <c r="B1537" s="9" t="n"/>
      <c r="C1537" s="65" t="n"/>
      <c r="D1537" s="9" t="n"/>
      <c r="E1537" s="66">
        <f>IF($B1537="","",IF(LEFT($B1537,1)="━","⚠️ Chọn hạng mục cụ thể",$C1537*VLOOKUP($B1537,'4. CÀI ĐẶT'!$A$2:$H$32,2,FALSE)))</f>
        <v/>
      </c>
      <c r="F1537" s="67">
        <f>IF($B1537="",0,IF(LEFT($B1537,1)="━",0,$C1537*VLOOKUP($B1537,'4. CÀI ĐẶT'!$A$2:$H$32,3,FALSE)))</f>
        <v/>
      </c>
      <c r="G1537" s="67">
        <f>IF($B1537="",0,IF(LEFT($B1537,1)="━",0,$C1537*VLOOKUP($B1537,'4. CÀI ĐẶT'!$A$2:$H$32,4,FALSE)))</f>
        <v/>
      </c>
      <c r="H1537" s="67">
        <f>IF($B1537="",0,IF(LEFT($B1537,1)="━",0,$C1537*VLOOKUP($B1537,'4. CÀI ĐẶT'!$A$2:$H$32,5,FALSE)))</f>
        <v/>
      </c>
      <c r="I1537">
        <f>IF($B1537="","",IF(LEFT($B1537,1)="━","",VLOOKUP($B1537,'4. CÀI ĐẶT'!$A$2:$H$32,6,FALSE)))</f>
        <v/>
      </c>
      <c r="J1537" s="13">
        <f>IF($A1537="","",EOMONTH($A1537,0))</f>
        <v/>
      </c>
      <c r="K1537" s="67">
        <f>IF($B1537="",0,IF(LEFT($B1537,1)="━",0,$C1537*VLOOKUP($B1537,'4. CÀI ĐẶT'!$A$2:$H$32,7,FALSE)))</f>
        <v/>
      </c>
    </row>
    <row r="1538">
      <c r="A1538" s="8" t="n"/>
      <c r="B1538" s="9" t="n"/>
      <c r="C1538" s="65" t="n"/>
      <c r="D1538" s="9" t="n"/>
      <c r="E1538" s="66">
        <f>IF($B1538="","",IF(LEFT($B1538,1)="━","⚠️ Chọn hạng mục cụ thể",$C1538*VLOOKUP($B1538,'4. CÀI ĐẶT'!$A$2:$H$32,2,FALSE)))</f>
        <v/>
      </c>
      <c r="F1538" s="67">
        <f>IF($B1538="",0,IF(LEFT($B1538,1)="━",0,$C1538*VLOOKUP($B1538,'4. CÀI ĐẶT'!$A$2:$H$32,3,FALSE)))</f>
        <v/>
      </c>
      <c r="G1538" s="67">
        <f>IF($B1538="",0,IF(LEFT($B1538,1)="━",0,$C1538*VLOOKUP($B1538,'4. CÀI ĐẶT'!$A$2:$H$32,4,FALSE)))</f>
        <v/>
      </c>
      <c r="H1538" s="67">
        <f>IF($B1538="",0,IF(LEFT($B1538,1)="━",0,$C1538*VLOOKUP($B1538,'4. CÀI ĐẶT'!$A$2:$H$32,5,FALSE)))</f>
        <v/>
      </c>
      <c r="I1538">
        <f>IF($B1538="","",IF(LEFT($B1538,1)="━","",VLOOKUP($B1538,'4. CÀI ĐẶT'!$A$2:$H$32,6,FALSE)))</f>
        <v/>
      </c>
      <c r="J1538" s="13">
        <f>IF($A1538="","",EOMONTH($A1538,0))</f>
        <v/>
      </c>
      <c r="K1538" s="67">
        <f>IF($B1538="",0,IF(LEFT($B1538,1)="━",0,$C1538*VLOOKUP($B1538,'4. CÀI ĐẶT'!$A$2:$H$32,7,FALSE)))</f>
        <v/>
      </c>
    </row>
    <row r="1539">
      <c r="A1539" s="8" t="n"/>
      <c r="B1539" s="9" t="n"/>
      <c r="C1539" s="65" t="n"/>
      <c r="D1539" s="9" t="n"/>
      <c r="E1539" s="66">
        <f>IF($B1539="","",IF(LEFT($B1539,1)="━","⚠️ Chọn hạng mục cụ thể",$C1539*VLOOKUP($B1539,'4. CÀI ĐẶT'!$A$2:$H$32,2,FALSE)))</f>
        <v/>
      </c>
      <c r="F1539" s="67">
        <f>IF($B1539="",0,IF(LEFT($B1539,1)="━",0,$C1539*VLOOKUP($B1539,'4. CÀI ĐẶT'!$A$2:$H$32,3,FALSE)))</f>
        <v/>
      </c>
      <c r="G1539" s="67">
        <f>IF($B1539="",0,IF(LEFT($B1539,1)="━",0,$C1539*VLOOKUP($B1539,'4. CÀI ĐẶT'!$A$2:$H$32,4,FALSE)))</f>
        <v/>
      </c>
      <c r="H1539" s="67">
        <f>IF($B1539="",0,IF(LEFT($B1539,1)="━",0,$C1539*VLOOKUP($B1539,'4. CÀI ĐẶT'!$A$2:$H$32,5,FALSE)))</f>
        <v/>
      </c>
      <c r="I1539">
        <f>IF($B1539="","",IF(LEFT($B1539,1)="━","",VLOOKUP($B1539,'4. CÀI ĐẶT'!$A$2:$H$32,6,FALSE)))</f>
        <v/>
      </c>
      <c r="J1539" s="13">
        <f>IF($A1539="","",EOMONTH($A1539,0))</f>
        <v/>
      </c>
      <c r="K1539" s="67">
        <f>IF($B1539="",0,IF(LEFT($B1539,1)="━",0,$C1539*VLOOKUP($B1539,'4. CÀI ĐẶT'!$A$2:$H$32,7,FALSE)))</f>
        <v/>
      </c>
    </row>
    <row r="1540">
      <c r="A1540" s="8" t="n"/>
      <c r="B1540" s="9" t="n"/>
      <c r="C1540" s="65" t="n"/>
      <c r="D1540" s="9" t="n"/>
      <c r="E1540" s="66">
        <f>IF($B1540="","",IF(LEFT($B1540,1)="━","⚠️ Chọn hạng mục cụ thể",$C1540*VLOOKUP($B1540,'4. CÀI ĐẶT'!$A$2:$H$32,2,FALSE)))</f>
        <v/>
      </c>
      <c r="F1540" s="67">
        <f>IF($B1540="",0,IF(LEFT($B1540,1)="━",0,$C1540*VLOOKUP($B1540,'4. CÀI ĐẶT'!$A$2:$H$32,3,FALSE)))</f>
        <v/>
      </c>
      <c r="G1540" s="67">
        <f>IF($B1540="",0,IF(LEFT($B1540,1)="━",0,$C1540*VLOOKUP($B1540,'4. CÀI ĐẶT'!$A$2:$H$32,4,FALSE)))</f>
        <v/>
      </c>
      <c r="H1540" s="67">
        <f>IF($B1540="",0,IF(LEFT($B1540,1)="━",0,$C1540*VLOOKUP($B1540,'4. CÀI ĐẶT'!$A$2:$H$32,5,FALSE)))</f>
        <v/>
      </c>
      <c r="I1540">
        <f>IF($B1540="","",IF(LEFT($B1540,1)="━","",VLOOKUP($B1540,'4. CÀI ĐẶT'!$A$2:$H$32,6,FALSE)))</f>
        <v/>
      </c>
      <c r="J1540" s="13">
        <f>IF($A1540="","",EOMONTH($A1540,0))</f>
        <v/>
      </c>
      <c r="K1540" s="67">
        <f>IF($B1540="",0,IF(LEFT($B1540,1)="━",0,$C1540*VLOOKUP($B1540,'4. CÀI ĐẶT'!$A$2:$H$32,7,FALSE)))</f>
        <v/>
      </c>
    </row>
    <row r="1541">
      <c r="A1541" s="8" t="n"/>
      <c r="B1541" s="9" t="n"/>
      <c r="C1541" s="65" t="n"/>
      <c r="D1541" s="9" t="n"/>
      <c r="E1541" s="66">
        <f>IF($B1541="","",IF(LEFT($B1541,1)="━","⚠️ Chọn hạng mục cụ thể",$C1541*VLOOKUP($B1541,'4. CÀI ĐẶT'!$A$2:$H$32,2,FALSE)))</f>
        <v/>
      </c>
      <c r="F1541" s="67">
        <f>IF($B1541="",0,IF(LEFT($B1541,1)="━",0,$C1541*VLOOKUP($B1541,'4. CÀI ĐẶT'!$A$2:$H$32,3,FALSE)))</f>
        <v/>
      </c>
      <c r="G1541" s="67">
        <f>IF($B1541="",0,IF(LEFT($B1541,1)="━",0,$C1541*VLOOKUP($B1541,'4. CÀI ĐẶT'!$A$2:$H$32,4,FALSE)))</f>
        <v/>
      </c>
      <c r="H1541" s="67">
        <f>IF($B1541="",0,IF(LEFT($B1541,1)="━",0,$C1541*VLOOKUP($B1541,'4. CÀI ĐẶT'!$A$2:$H$32,5,FALSE)))</f>
        <v/>
      </c>
      <c r="I1541">
        <f>IF($B1541="","",IF(LEFT($B1541,1)="━","",VLOOKUP($B1541,'4. CÀI ĐẶT'!$A$2:$H$32,6,FALSE)))</f>
        <v/>
      </c>
      <c r="J1541" s="13">
        <f>IF($A1541="","",EOMONTH($A1541,0))</f>
        <v/>
      </c>
      <c r="K1541" s="67">
        <f>IF($B1541="",0,IF(LEFT($B1541,1)="━",0,$C1541*VLOOKUP($B1541,'4. CÀI ĐẶT'!$A$2:$H$32,7,FALSE)))</f>
        <v/>
      </c>
    </row>
    <row r="1542">
      <c r="A1542" s="8" t="n"/>
      <c r="B1542" s="9" t="n"/>
      <c r="C1542" s="65" t="n"/>
      <c r="D1542" s="9" t="n"/>
      <c r="E1542" s="66">
        <f>IF($B1542="","",IF(LEFT($B1542,1)="━","⚠️ Chọn hạng mục cụ thể",$C1542*VLOOKUP($B1542,'4. CÀI ĐẶT'!$A$2:$H$32,2,FALSE)))</f>
        <v/>
      </c>
      <c r="F1542" s="67">
        <f>IF($B1542="",0,IF(LEFT($B1542,1)="━",0,$C1542*VLOOKUP($B1542,'4. CÀI ĐẶT'!$A$2:$H$32,3,FALSE)))</f>
        <v/>
      </c>
      <c r="G1542" s="67">
        <f>IF($B1542="",0,IF(LEFT($B1542,1)="━",0,$C1542*VLOOKUP($B1542,'4. CÀI ĐẶT'!$A$2:$H$32,4,FALSE)))</f>
        <v/>
      </c>
      <c r="H1542" s="67">
        <f>IF($B1542="",0,IF(LEFT($B1542,1)="━",0,$C1542*VLOOKUP($B1542,'4. CÀI ĐẶT'!$A$2:$H$32,5,FALSE)))</f>
        <v/>
      </c>
      <c r="I1542">
        <f>IF($B1542="","",IF(LEFT($B1542,1)="━","",VLOOKUP($B1542,'4. CÀI ĐẶT'!$A$2:$H$32,6,FALSE)))</f>
        <v/>
      </c>
      <c r="J1542" s="13">
        <f>IF($A1542="","",EOMONTH($A1542,0))</f>
        <v/>
      </c>
      <c r="K1542" s="67">
        <f>IF($B1542="",0,IF(LEFT($B1542,1)="━",0,$C1542*VLOOKUP($B1542,'4. CÀI ĐẶT'!$A$2:$H$32,7,FALSE)))</f>
        <v/>
      </c>
    </row>
    <row r="1543">
      <c r="A1543" s="8" t="n"/>
      <c r="B1543" s="9" t="n"/>
      <c r="C1543" s="65" t="n"/>
      <c r="D1543" s="9" t="n"/>
      <c r="E1543" s="66">
        <f>IF($B1543="","",IF(LEFT($B1543,1)="━","⚠️ Chọn hạng mục cụ thể",$C1543*VLOOKUP($B1543,'4. CÀI ĐẶT'!$A$2:$H$32,2,FALSE)))</f>
        <v/>
      </c>
      <c r="F1543" s="67">
        <f>IF($B1543="",0,IF(LEFT($B1543,1)="━",0,$C1543*VLOOKUP($B1543,'4. CÀI ĐẶT'!$A$2:$H$32,3,FALSE)))</f>
        <v/>
      </c>
      <c r="G1543" s="67">
        <f>IF($B1543="",0,IF(LEFT($B1543,1)="━",0,$C1543*VLOOKUP($B1543,'4. CÀI ĐẶT'!$A$2:$H$32,4,FALSE)))</f>
        <v/>
      </c>
      <c r="H1543" s="67">
        <f>IF($B1543="",0,IF(LEFT($B1543,1)="━",0,$C1543*VLOOKUP($B1543,'4. CÀI ĐẶT'!$A$2:$H$32,5,FALSE)))</f>
        <v/>
      </c>
      <c r="I1543">
        <f>IF($B1543="","",IF(LEFT($B1543,1)="━","",VLOOKUP($B1543,'4. CÀI ĐẶT'!$A$2:$H$32,6,FALSE)))</f>
        <v/>
      </c>
      <c r="J1543" s="13">
        <f>IF($A1543="","",EOMONTH($A1543,0))</f>
        <v/>
      </c>
      <c r="K1543" s="67">
        <f>IF($B1543="",0,IF(LEFT($B1543,1)="━",0,$C1543*VLOOKUP($B1543,'4. CÀI ĐẶT'!$A$2:$H$32,7,FALSE)))</f>
        <v/>
      </c>
    </row>
    <row r="1544">
      <c r="A1544" s="8" t="n"/>
      <c r="B1544" s="9" t="n"/>
      <c r="C1544" s="65" t="n"/>
      <c r="D1544" s="9" t="n"/>
      <c r="E1544" s="66">
        <f>IF($B1544="","",IF(LEFT($B1544,1)="━","⚠️ Chọn hạng mục cụ thể",$C1544*VLOOKUP($B1544,'4. CÀI ĐẶT'!$A$2:$H$32,2,FALSE)))</f>
        <v/>
      </c>
      <c r="F1544" s="67">
        <f>IF($B1544="",0,IF(LEFT($B1544,1)="━",0,$C1544*VLOOKUP($B1544,'4. CÀI ĐẶT'!$A$2:$H$32,3,FALSE)))</f>
        <v/>
      </c>
      <c r="G1544" s="67">
        <f>IF($B1544="",0,IF(LEFT($B1544,1)="━",0,$C1544*VLOOKUP($B1544,'4. CÀI ĐẶT'!$A$2:$H$32,4,FALSE)))</f>
        <v/>
      </c>
      <c r="H1544" s="67">
        <f>IF($B1544="",0,IF(LEFT($B1544,1)="━",0,$C1544*VLOOKUP($B1544,'4. CÀI ĐẶT'!$A$2:$H$32,5,FALSE)))</f>
        <v/>
      </c>
      <c r="I1544">
        <f>IF($B1544="","",IF(LEFT($B1544,1)="━","",VLOOKUP($B1544,'4. CÀI ĐẶT'!$A$2:$H$32,6,FALSE)))</f>
        <v/>
      </c>
      <c r="J1544" s="13">
        <f>IF($A1544="","",EOMONTH($A1544,0))</f>
        <v/>
      </c>
      <c r="K1544" s="67">
        <f>IF($B1544="",0,IF(LEFT($B1544,1)="━",0,$C1544*VLOOKUP($B1544,'4. CÀI ĐẶT'!$A$2:$H$32,7,FALSE)))</f>
        <v/>
      </c>
    </row>
    <row r="1545">
      <c r="A1545" s="8" t="n"/>
      <c r="B1545" s="9" t="n"/>
      <c r="C1545" s="65" t="n"/>
      <c r="D1545" s="9" t="n"/>
      <c r="E1545" s="66">
        <f>IF($B1545="","",IF(LEFT($B1545,1)="━","⚠️ Chọn hạng mục cụ thể",$C1545*VLOOKUP($B1545,'4. CÀI ĐẶT'!$A$2:$H$32,2,FALSE)))</f>
        <v/>
      </c>
      <c r="F1545" s="67">
        <f>IF($B1545="",0,IF(LEFT($B1545,1)="━",0,$C1545*VLOOKUP($B1545,'4. CÀI ĐẶT'!$A$2:$H$32,3,FALSE)))</f>
        <v/>
      </c>
      <c r="G1545" s="67">
        <f>IF($B1545="",0,IF(LEFT($B1545,1)="━",0,$C1545*VLOOKUP($B1545,'4. CÀI ĐẶT'!$A$2:$H$32,4,FALSE)))</f>
        <v/>
      </c>
      <c r="H1545" s="67">
        <f>IF($B1545="",0,IF(LEFT($B1545,1)="━",0,$C1545*VLOOKUP($B1545,'4. CÀI ĐẶT'!$A$2:$H$32,5,FALSE)))</f>
        <v/>
      </c>
      <c r="I1545">
        <f>IF($B1545="","",IF(LEFT($B1545,1)="━","",VLOOKUP($B1545,'4. CÀI ĐẶT'!$A$2:$H$32,6,FALSE)))</f>
        <v/>
      </c>
      <c r="J1545" s="13">
        <f>IF($A1545="","",EOMONTH($A1545,0))</f>
        <v/>
      </c>
      <c r="K1545" s="67">
        <f>IF($B1545="",0,IF(LEFT($B1545,1)="━",0,$C1545*VLOOKUP($B1545,'4. CÀI ĐẶT'!$A$2:$H$32,7,FALSE)))</f>
        <v/>
      </c>
    </row>
    <row r="1546">
      <c r="A1546" s="8" t="n"/>
      <c r="B1546" s="9" t="n"/>
      <c r="C1546" s="65" t="n"/>
      <c r="D1546" s="9" t="n"/>
      <c r="E1546" s="66">
        <f>IF($B1546="","",IF(LEFT($B1546,1)="━","⚠️ Chọn hạng mục cụ thể",$C1546*VLOOKUP($B1546,'4. CÀI ĐẶT'!$A$2:$H$32,2,FALSE)))</f>
        <v/>
      </c>
      <c r="F1546" s="67">
        <f>IF($B1546="",0,IF(LEFT($B1546,1)="━",0,$C1546*VLOOKUP($B1546,'4. CÀI ĐẶT'!$A$2:$H$32,3,FALSE)))</f>
        <v/>
      </c>
      <c r="G1546" s="67">
        <f>IF($B1546="",0,IF(LEFT($B1546,1)="━",0,$C1546*VLOOKUP($B1546,'4. CÀI ĐẶT'!$A$2:$H$32,4,FALSE)))</f>
        <v/>
      </c>
      <c r="H1546" s="67">
        <f>IF($B1546="",0,IF(LEFT($B1546,1)="━",0,$C1546*VLOOKUP($B1546,'4. CÀI ĐẶT'!$A$2:$H$32,5,FALSE)))</f>
        <v/>
      </c>
      <c r="I1546">
        <f>IF($B1546="","",IF(LEFT($B1546,1)="━","",VLOOKUP($B1546,'4. CÀI ĐẶT'!$A$2:$H$32,6,FALSE)))</f>
        <v/>
      </c>
      <c r="J1546" s="13">
        <f>IF($A1546="","",EOMONTH($A1546,0))</f>
        <v/>
      </c>
      <c r="K1546" s="67">
        <f>IF($B1546="",0,IF(LEFT($B1546,1)="━",0,$C1546*VLOOKUP($B1546,'4. CÀI ĐẶT'!$A$2:$H$32,7,FALSE)))</f>
        <v/>
      </c>
    </row>
    <row r="1547">
      <c r="A1547" s="8" t="n"/>
      <c r="B1547" s="9" t="n"/>
      <c r="C1547" s="65" t="n"/>
      <c r="D1547" s="9" t="n"/>
      <c r="E1547" s="66">
        <f>IF($B1547="","",IF(LEFT($B1547,1)="━","⚠️ Chọn hạng mục cụ thể",$C1547*VLOOKUP($B1547,'4. CÀI ĐẶT'!$A$2:$H$32,2,FALSE)))</f>
        <v/>
      </c>
      <c r="F1547" s="67">
        <f>IF($B1547="",0,IF(LEFT($B1547,1)="━",0,$C1547*VLOOKUP($B1547,'4. CÀI ĐẶT'!$A$2:$H$32,3,FALSE)))</f>
        <v/>
      </c>
      <c r="G1547" s="67">
        <f>IF($B1547="",0,IF(LEFT($B1547,1)="━",0,$C1547*VLOOKUP($B1547,'4. CÀI ĐẶT'!$A$2:$H$32,4,FALSE)))</f>
        <v/>
      </c>
      <c r="H1547" s="67">
        <f>IF($B1547="",0,IF(LEFT($B1547,1)="━",0,$C1547*VLOOKUP($B1547,'4. CÀI ĐẶT'!$A$2:$H$32,5,FALSE)))</f>
        <v/>
      </c>
      <c r="I1547">
        <f>IF($B1547="","",IF(LEFT($B1547,1)="━","",VLOOKUP($B1547,'4. CÀI ĐẶT'!$A$2:$H$32,6,FALSE)))</f>
        <v/>
      </c>
      <c r="J1547" s="13">
        <f>IF($A1547="","",EOMONTH($A1547,0))</f>
        <v/>
      </c>
      <c r="K1547" s="67">
        <f>IF($B1547="",0,IF(LEFT($B1547,1)="━",0,$C1547*VLOOKUP($B1547,'4. CÀI ĐẶT'!$A$2:$H$32,7,FALSE)))</f>
        <v/>
      </c>
    </row>
    <row r="1548">
      <c r="A1548" s="8" t="n"/>
      <c r="B1548" s="9" t="n"/>
      <c r="C1548" s="65" t="n"/>
      <c r="D1548" s="9" t="n"/>
      <c r="E1548" s="66">
        <f>IF($B1548="","",IF(LEFT($B1548,1)="━","⚠️ Chọn hạng mục cụ thể",$C1548*VLOOKUP($B1548,'4. CÀI ĐẶT'!$A$2:$H$32,2,FALSE)))</f>
        <v/>
      </c>
      <c r="F1548" s="67">
        <f>IF($B1548="",0,IF(LEFT($B1548,1)="━",0,$C1548*VLOOKUP($B1548,'4. CÀI ĐẶT'!$A$2:$H$32,3,FALSE)))</f>
        <v/>
      </c>
      <c r="G1548" s="67">
        <f>IF($B1548="",0,IF(LEFT($B1548,1)="━",0,$C1548*VLOOKUP($B1548,'4. CÀI ĐẶT'!$A$2:$H$32,4,FALSE)))</f>
        <v/>
      </c>
      <c r="H1548" s="67">
        <f>IF($B1548="",0,IF(LEFT($B1548,1)="━",0,$C1548*VLOOKUP($B1548,'4. CÀI ĐẶT'!$A$2:$H$32,5,FALSE)))</f>
        <v/>
      </c>
      <c r="I1548">
        <f>IF($B1548="","",IF(LEFT($B1548,1)="━","",VLOOKUP($B1548,'4. CÀI ĐẶT'!$A$2:$H$32,6,FALSE)))</f>
        <v/>
      </c>
      <c r="J1548" s="13">
        <f>IF($A1548="","",EOMONTH($A1548,0))</f>
        <v/>
      </c>
      <c r="K1548" s="67">
        <f>IF($B1548="",0,IF(LEFT($B1548,1)="━",0,$C1548*VLOOKUP($B1548,'4. CÀI ĐẶT'!$A$2:$H$32,7,FALSE)))</f>
        <v/>
      </c>
    </row>
    <row r="1549">
      <c r="A1549" s="8" t="n"/>
      <c r="B1549" s="9" t="n"/>
      <c r="C1549" s="65" t="n"/>
      <c r="D1549" s="9" t="n"/>
      <c r="E1549" s="66">
        <f>IF($B1549="","",IF(LEFT($B1549,1)="━","⚠️ Chọn hạng mục cụ thể",$C1549*VLOOKUP($B1549,'4. CÀI ĐẶT'!$A$2:$H$32,2,FALSE)))</f>
        <v/>
      </c>
      <c r="F1549" s="67">
        <f>IF($B1549="",0,IF(LEFT($B1549,1)="━",0,$C1549*VLOOKUP($B1549,'4. CÀI ĐẶT'!$A$2:$H$32,3,FALSE)))</f>
        <v/>
      </c>
      <c r="G1549" s="67">
        <f>IF($B1549="",0,IF(LEFT($B1549,1)="━",0,$C1549*VLOOKUP($B1549,'4. CÀI ĐẶT'!$A$2:$H$32,4,FALSE)))</f>
        <v/>
      </c>
      <c r="H1549" s="67">
        <f>IF($B1549="",0,IF(LEFT($B1549,1)="━",0,$C1549*VLOOKUP($B1549,'4. CÀI ĐẶT'!$A$2:$H$32,5,FALSE)))</f>
        <v/>
      </c>
      <c r="I1549">
        <f>IF($B1549="","",IF(LEFT($B1549,1)="━","",VLOOKUP($B1549,'4. CÀI ĐẶT'!$A$2:$H$32,6,FALSE)))</f>
        <v/>
      </c>
      <c r="J1549" s="13">
        <f>IF($A1549="","",EOMONTH($A1549,0))</f>
        <v/>
      </c>
      <c r="K1549" s="67">
        <f>IF($B1549="",0,IF(LEFT($B1549,1)="━",0,$C1549*VLOOKUP($B1549,'4. CÀI ĐẶT'!$A$2:$H$32,7,FALSE)))</f>
        <v/>
      </c>
    </row>
    <row r="1550">
      <c r="A1550" s="8" t="n"/>
      <c r="B1550" s="9" t="n"/>
      <c r="C1550" s="65" t="n"/>
      <c r="D1550" s="9" t="n"/>
      <c r="E1550" s="66">
        <f>IF($B1550="","",IF(LEFT($B1550,1)="━","⚠️ Chọn hạng mục cụ thể",$C1550*VLOOKUP($B1550,'4. CÀI ĐẶT'!$A$2:$H$32,2,FALSE)))</f>
        <v/>
      </c>
      <c r="F1550" s="67">
        <f>IF($B1550="",0,IF(LEFT($B1550,1)="━",0,$C1550*VLOOKUP($B1550,'4. CÀI ĐẶT'!$A$2:$H$32,3,FALSE)))</f>
        <v/>
      </c>
      <c r="G1550" s="67">
        <f>IF($B1550="",0,IF(LEFT($B1550,1)="━",0,$C1550*VLOOKUP($B1550,'4. CÀI ĐẶT'!$A$2:$H$32,4,FALSE)))</f>
        <v/>
      </c>
      <c r="H1550" s="67">
        <f>IF($B1550="",0,IF(LEFT($B1550,1)="━",0,$C1550*VLOOKUP($B1550,'4. CÀI ĐẶT'!$A$2:$H$32,5,FALSE)))</f>
        <v/>
      </c>
      <c r="I1550">
        <f>IF($B1550="","",IF(LEFT($B1550,1)="━","",VLOOKUP($B1550,'4. CÀI ĐẶT'!$A$2:$H$32,6,FALSE)))</f>
        <v/>
      </c>
      <c r="J1550" s="13">
        <f>IF($A1550="","",EOMONTH($A1550,0))</f>
        <v/>
      </c>
      <c r="K1550" s="67">
        <f>IF($B1550="",0,IF(LEFT($B1550,1)="━",0,$C1550*VLOOKUP($B1550,'4. CÀI ĐẶT'!$A$2:$H$32,7,FALSE)))</f>
        <v/>
      </c>
    </row>
    <row r="1551">
      <c r="A1551" s="8" t="n"/>
      <c r="B1551" s="9" t="n"/>
      <c r="C1551" s="65" t="n"/>
      <c r="D1551" s="9" t="n"/>
      <c r="E1551" s="66">
        <f>IF($B1551="","",IF(LEFT($B1551,1)="━","⚠️ Chọn hạng mục cụ thể",$C1551*VLOOKUP($B1551,'4. CÀI ĐẶT'!$A$2:$H$32,2,FALSE)))</f>
        <v/>
      </c>
      <c r="F1551" s="67">
        <f>IF($B1551="",0,IF(LEFT($B1551,1)="━",0,$C1551*VLOOKUP($B1551,'4. CÀI ĐẶT'!$A$2:$H$32,3,FALSE)))</f>
        <v/>
      </c>
      <c r="G1551" s="67">
        <f>IF($B1551="",0,IF(LEFT($B1551,1)="━",0,$C1551*VLOOKUP($B1551,'4. CÀI ĐẶT'!$A$2:$H$32,4,FALSE)))</f>
        <v/>
      </c>
      <c r="H1551" s="67">
        <f>IF($B1551="",0,IF(LEFT($B1551,1)="━",0,$C1551*VLOOKUP($B1551,'4. CÀI ĐẶT'!$A$2:$H$32,5,FALSE)))</f>
        <v/>
      </c>
      <c r="I1551">
        <f>IF($B1551="","",IF(LEFT($B1551,1)="━","",VLOOKUP($B1551,'4. CÀI ĐẶT'!$A$2:$H$32,6,FALSE)))</f>
        <v/>
      </c>
      <c r="J1551" s="13">
        <f>IF($A1551="","",EOMONTH($A1551,0))</f>
        <v/>
      </c>
      <c r="K1551" s="67">
        <f>IF($B1551="",0,IF(LEFT($B1551,1)="━",0,$C1551*VLOOKUP($B1551,'4. CÀI ĐẶT'!$A$2:$H$32,7,FALSE)))</f>
        <v/>
      </c>
    </row>
    <row r="1552">
      <c r="A1552" s="8" t="n"/>
      <c r="B1552" s="9" t="n"/>
      <c r="C1552" s="65" t="n"/>
      <c r="D1552" s="9" t="n"/>
      <c r="E1552" s="66">
        <f>IF($B1552="","",IF(LEFT($B1552,1)="━","⚠️ Chọn hạng mục cụ thể",$C1552*VLOOKUP($B1552,'4. CÀI ĐẶT'!$A$2:$H$32,2,FALSE)))</f>
        <v/>
      </c>
      <c r="F1552" s="67">
        <f>IF($B1552="",0,IF(LEFT($B1552,1)="━",0,$C1552*VLOOKUP($B1552,'4. CÀI ĐẶT'!$A$2:$H$32,3,FALSE)))</f>
        <v/>
      </c>
      <c r="G1552" s="67">
        <f>IF($B1552="",0,IF(LEFT($B1552,1)="━",0,$C1552*VLOOKUP($B1552,'4. CÀI ĐẶT'!$A$2:$H$32,4,FALSE)))</f>
        <v/>
      </c>
      <c r="H1552" s="67">
        <f>IF($B1552="",0,IF(LEFT($B1552,1)="━",0,$C1552*VLOOKUP($B1552,'4. CÀI ĐẶT'!$A$2:$H$32,5,FALSE)))</f>
        <v/>
      </c>
      <c r="I1552">
        <f>IF($B1552="","",IF(LEFT($B1552,1)="━","",VLOOKUP($B1552,'4. CÀI ĐẶT'!$A$2:$H$32,6,FALSE)))</f>
        <v/>
      </c>
      <c r="J1552" s="13">
        <f>IF($A1552="","",EOMONTH($A1552,0))</f>
        <v/>
      </c>
      <c r="K1552" s="67">
        <f>IF($B1552="",0,IF(LEFT($B1552,1)="━",0,$C1552*VLOOKUP($B1552,'4. CÀI ĐẶT'!$A$2:$H$32,7,FALSE)))</f>
        <v/>
      </c>
    </row>
    <row r="1553">
      <c r="A1553" s="8" t="n"/>
      <c r="B1553" s="9" t="n"/>
      <c r="C1553" s="65" t="n"/>
      <c r="D1553" s="9" t="n"/>
      <c r="E1553" s="66">
        <f>IF($B1553="","",IF(LEFT($B1553,1)="━","⚠️ Chọn hạng mục cụ thể",$C1553*VLOOKUP($B1553,'4. CÀI ĐẶT'!$A$2:$H$32,2,FALSE)))</f>
        <v/>
      </c>
      <c r="F1553" s="67">
        <f>IF($B1553="",0,IF(LEFT($B1553,1)="━",0,$C1553*VLOOKUP($B1553,'4. CÀI ĐẶT'!$A$2:$H$32,3,FALSE)))</f>
        <v/>
      </c>
      <c r="G1553" s="67">
        <f>IF($B1553="",0,IF(LEFT($B1553,1)="━",0,$C1553*VLOOKUP($B1553,'4. CÀI ĐẶT'!$A$2:$H$32,4,FALSE)))</f>
        <v/>
      </c>
      <c r="H1553" s="67">
        <f>IF($B1553="",0,IF(LEFT($B1553,1)="━",0,$C1553*VLOOKUP($B1553,'4. CÀI ĐẶT'!$A$2:$H$32,5,FALSE)))</f>
        <v/>
      </c>
      <c r="I1553">
        <f>IF($B1553="","",IF(LEFT($B1553,1)="━","",VLOOKUP($B1553,'4. CÀI ĐẶT'!$A$2:$H$32,6,FALSE)))</f>
        <v/>
      </c>
      <c r="J1553" s="13">
        <f>IF($A1553="","",EOMONTH($A1553,0))</f>
        <v/>
      </c>
      <c r="K1553" s="67">
        <f>IF($B1553="",0,IF(LEFT($B1553,1)="━",0,$C1553*VLOOKUP($B1553,'4. CÀI ĐẶT'!$A$2:$H$32,7,FALSE)))</f>
        <v/>
      </c>
    </row>
    <row r="1554">
      <c r="A1554" s="8" t="n"/>
      <c r="B1554" s="9" t="n"/>
      <c r="C1554" s="65" t="n"/>
      <c r="D1554" s="9" t="n"/>
      <c r="E1554" s="66">
        <f>IF($B1554="","",IF(LEFT($B1554,1)="━","⚠️ Chọn hạng mục cụ thể",$C1554*VLOOKUP($B1554,'4. CÀI ĐẶT'!$A$2:$H$32,2,FALSE)))</f>
        <v/>
      </c>
      <c r="F1554" s="67">
        <f>IF($B1554="",0,IF(LEFT($B1554,1)="━",0,$C1554*VLOOKUP($B1554,'4. CÀI ĐẶT'!$A$2:$H$32,3,FALSE)))</f>
        <v/>
      </c>
      <c r="G1554" s="67">
        <f>IF($B1554="",0,IF(LEFT($B1554,1)="━",0,$C1554*VLOOKUP($B1554,'4. CÀI ĐẶT'!$A$2:$H$32,4,FALSE)))</f>
        <v/>
      </c>
      <c r="H1554" s="67">
        <f>IF($B1554="",0,IF(LEFT($B1554,1)="━",0,$C1554*VLOOKUP($B1554,'4. CÀI ĐẶT'!$A$2:$H$32,5,FALSE)))</f>
        <v/>
      </c>
      <c r="I1554">
        <f>IF($B1554="","",IF(LEFT($B1554,1)="━","",VLOOKUP($B1554,'4. CÀI ĐẶT'!$A$2:$H$32,6,FALSE)))</f>
        <v/>
      </c>
      <c r="J1554" s="13">
        <f>IF($A1554="","",EOMONTH($A1554,0))</f>
        <v/>
      </c>
      <c r="K1554" s="67">
        <f>IF($B1554="",0,IF(LEFT($B1554,1)="━",0,$C1554*VLOOKUP($B1554,'4. CÀI ĐẶT'!$A$2:$H$32,7,FALSE)))</f>
        <v/>
      </c>
    </row>
    <row r="1555">
      <c r="A1555" s="8" t="n"/>
      <c r="B1555" s="9" t="n"/>
      <c r="C1555" s="65" t="n"/>
      <c r="D1555" s="9" t="n"/>
      <c r="E1555" s="66">
        <f>IF($B1555="","",IF(LEFT($B1555,1)="━","⚠️ Chọn hạng mục cụ thể",$C1555*VLOOKUP($B1555,'4. CÀI ĐẶT'!$A$2:$H$32,2,FALSE)))</f>
        <v/>
      </c>
      <c r="F1555" s="67">
        <f>IF($B1555="",0,IF(LEFT($B1555,1)="━",0,$C1555*VLOOKUP($B1555,'4. CÀI ĐẶT'!$A$2:$H$32,3,FALSE)))</f>
        <v/>
      </c>
      <c r="G1555" s="67">
        <f>IF($B1555="",0,IF(LEFT($B1555,1)="━",0,$C1555*VLOOKUP($B1555,'4. CÀI ĐẶT'!$A$2:$H$32,4,FALSE)))</f>
        <v/>
      </c>
      <c r="H1555" s="67">
        <f>IF($B1555="",0,IF(LEFT($B1555,1)="━",0,$C1555*VLOOKUP($B1555,'4. CÀI ĐẶT'!$A$2:$H$32,5,FALSE)))</f>
        <v/>
      </c>
      <c r="I1555">
        <f>IF($B1555="","",IF(LEFT($B1555,1)="━","",VLOOKUP($B1555,'4. CÀI ĐẶT'!$A$2:$H$32,6,FALSE)))</f>
        <v/>
      </c>
      <c r="J1555" s="13">
        <f>IF($A1555="","",EOMONTH($A1555,0))</f>
        <v/>
      </c>
      <c r="K1555" s="67">
        <f>IF($B1555="",0,IF(LEFT($B1555,1)="━",0,$C1555*VLOOKUP($B1555,'4. CÀI ĐẶT'!$A$2:$H$32,7,FALSE)))</f>
        <v/>
      </c>
    </row>
    <row r="1556">
      <c r="A1556" s="8" t="n"/>
      <c r="B1556" s="9" t="n"/>
      <c r="C1556" s="65" t="n"/>
      <c r="D1556" s="9" t="n"/>
      <c r="E1556" s="66">
        <f>IF($B1556="","",IF(LEFT($B1556,1)="━","⚠️ Chọn hạng mục cụ thể",$C1556*VLOOKUP($B1556,'4. CÀI ĐẶT'!$A$2:$H$32,2,FALSE)))</f>
        <v/>
      </c>
      <c r="F1556" s="67">
        <f>IF($B1556="",0,IF(LEFT($B1556,1)="━",0,$C1556*VLOOKUP($B1556,'4. CÀI ĐẶT'!$A$2:$H$32,3,FALSE)))</f>
        <v/>
      </c>
      <c r="G1556" s="67">
        <f>IF($B1556="",0,IF(LEFT($B1556,1)="━",0,$C1556*VLOOKUP($B1556,'4. CÀI ĐẶT'!$A$2:$H$32,4,FALSE)))</f>
        <v/>
      </c>
      <c r="H1556" s="67">
        <f>IF($B1556="",0,IF(LEFT($B1556,1)="━",0,$C1556*VLOOKUP($B1556,'4. CÀI ĐẶT'!$A$2:$H$32,5,FALSE)))</f>
        <v/>
      </c>
      <c r="I1556">
        <f>IF($B1556="","",IF(LEFT($B1556,1)="━","",VLOOKUP($B1556,'4. CÀI ĐẶT'!$A$2:$H$32,6,FALSE)))</f>
        <v/>
      </c>
      <c r="J1556" s="13">
        <f>IF($A1556="","",EOMONTH($A1556,0))</f>
        <v/>
      </c>
      <c r="K1556" s="67">
        <f>IF($B1556="",0,IF(LEFT($B1556,1)="━",0,$C1556*VLOOKUP($B1556,'4. CÀI ĐẶT'!$A$2:$H$32,7,FALSE)))</f>
        <v/>
      </c>
    </row>
    <row r="1557">
      <c r="A1557" s="8" t="n"/>
      <c r="B1557" s="9" t="n"/>
      <c r="C1557" s="65" t="n"/>
      <c r="D1557" s="9" t="n"/>
      <c r="E1557" s="66">
        <f>IF($B1557="","",IF(LEFT($B1557,1)="━","⚠️ Chọn hạng mục cụ thể",$C1557*VLOOKUP($B1557,'4. CÀI ĐẶT'!$A$2:$H$32,2,FALSE)))</f>
        <v/>
      </c>
      <c r="F1557" s="67">
        <f>IF($B1557="",0,IF(LEFT($B1557,1)="━",0,$C1557*VLOOKUP($B1557,'4. CÀI ĐẶT'!$A$2:$H$32,3,FALSE)))</f>
        <v/>
      </c>
      <c r="G1557" s="67">
        <f>IF($B1557="",0,IF(LEFT($B1557,1)="━",0,$C1557*VLOOKUP($B1557,'4. CÀI ĐẶT'!$A$2:$H$32,4,FALSE)))</f>
        <v/>
      </c>
      <c r="H1557" s="67">
        <f>IF($B1557="",0,IF(LEFT($B1557,1)="━",0,$C1557*VLOOKUP($B1557,'4. CÀI ĐẶT'!$A$2:$H$32,5,FALSE)))</f>
        <v/>
      </c>
      <c r="I1557">
        <f>IF($B1557="","",IF(LEFT($B1557,1)="━","",VLOOKUP($B1557,'4. CÀI ĐẶT'!$A$2:$H$32,6,FALSE)))</f>
        <v/>
      </c>
      <c r="J1557" s="13">
        <f>IF($A1557="","",EOMONTH($A1557,0))</f>
        <v/>
      </c>
      <c r="K1557" s="67">
        <f>IF($B1557="",0,IF(LEFT($B1557,1)="━",0,$C1557*VLOOKUP($B1557,'4. CÀI ĐẶT'!$A$2:$H$32,7,FALSE)))</f>
        <v/>
      </c>
    </row>
    <row r="1558">
      <c r="A1558" s="8" t="n"/>
      <c r="B1558" s="9" t="n"/>
      <c r="C1558" s="65" t="n"/>
      <c r="D1558" s="9" t="n"/>
      <c r="E1558" s="66">
        <f>IF($B1558="","",IF(LEFT($B1558,1)="━","⚠️ Chọn hạng mục cụ thể",$C1558*VLOOKUP($B1558,'4. CÀI ĐẶT'!$A$2:$H$32,2,FALSE)))</f>
        <v/>
      </c>
      <c r="F1558" s="67">
        <f>IF($B1558="",0,IF(LEFT($B1558,1)="━",0,$C1558*VLOOKUP($B1558,'4. CÀI ĐẶT'!$A$2:$H$32,3,FALSE)))</f>
        <v/>
      </c>
      <c r="G1558" s="67">
        <f>IF($B1558="",0,IF(LEFT($B1558,1)="━",0,$C1558*VLOOKUP($B1558,'4. CÀI ĐẶT'!$A$2:$H$32,4,FALSE)))</f>
        <v/>
      </c>
      <c r="H1558" s="67">
        <f>IF($B1558="",0,IF(LEFT($B1558,1)="━",0,$C1558*VLOOKUP($B1558,'4. CÀI ĐẶT'!$A$2:$H$32,5,FALSE)))</f>
        <v/>
      </c>
      <c r="I1558">
        <f>IF($B1558="","",IF(LEFT($B1558,1)="━","",VLOOKUP($B1558,'4. CÀI ĐẶT'!$A$2:$H$32,6,FALSE)))</f>
        <v/>
      </c>
      <c r="J1558" s="13">
        <f>IF($A1558="","",EOMONTH($A1558,0))</f>
        <v/>
      </c>
      <c r="K1558" s="67">
        <f>IF($B1558="",0,IF(LEFT($B1558,1)="━",0,$C1558*VLOOKUP($B1558,'4. CÀI ĐẶT'!$A$2:$H$32,7,FALSE)))</f>
        <v/>
      </c>
    </row>
    <row r="1559">
      <c r="A1559" s="8" t="n"/>
      <c r="B1559" s="9" t="n"/>
      <c r="C1559" s="65" t="n"/>
      <c r="D1559" s="9" t="n"/>
      <c r="E1559" s="66">
        <f>IF($B1559="","",IF(LEFT($B1559,1)="━","⚠️ Chọn hạng mục cụ thể",$C1559*VLOOKUP($B1559,'4. CÀI ĐẶT'!$A$2:$H$32,2,FALSE)))</f>
        <v/>
      </c>
      <c r="F1559" s="67">
        <f>IF($B1559="",0,IF(LEFT($B1559,1)="━",0,$C1559*VLOOKUP($B1559,'4. CÀI ĐẶT'!$A$2:$H$32,3,FALSE)))</f>
        <v/>
      </c>
      <c r="G1559" s="67">
        <f>IF($B1559="",0,IF(LEFT($B1559,1)="━",0,$C1559*VLOOKUP($B1559,'4. CÀI ĐẶT'!$A$2:$H$32,4,FALSE)))</f>
        <v/>
      </c>
      <c r="H1559" s="67">
        <f>IF($B1559="",0,IF(LEFT($B1559,1)="━",0,$C1559*VLOOKUP($B1559,'4. CÀI ĐẶT'!$A$2:$H$32,5,FALSE)))</f>
        <v/>
      </c>
      <c r="I1559">
        <f>IF($B1559="","",IF(LEFT($B1559,1)="━","",VLOOKUP($B1559,'4. CÀI ĐẶT'!$A$2:$H$32,6,FALSE)))</f>
        <v/>
      </c>
      <c r="J1559" s="13">
        <f>IF($A1559="","",EOMONTH($A1559,0))</f>
        <v/>
      </c>
      <c r="K1559" s="67">
        <f>IF($B1559="",0,IF(LEFT($B1559,1)="━",0,$C1559*VLOOKUP($B1559,'4. CÀI ĐẶT'!$A$2:$H$32,7,FALSE)))</f>
        <v/>
      </c>
    </row>
    <row r="1560">
      <c r="A1560" s="8" t="n"/>
      <c r="B1560" s="9" t="n"/>
      <c r="C1560" s="65" t="n"/>
      <c r="D1560" s="9" t="n"/>
      <c r="E1560" s="66">
        <f>IF($B1560="","",IF(LEFT($B1560,1)="━","⚠️ Chọn hạng mục cụ thể",$C1560*VLOOKUP($B1560,'4. CÀI ĐẶT'!$A$2:$H$32,2,FALSE)))</f>
        <v/>
      </c>
      <c r="F1560" s="67">
        <f>IF($B1560="",0,IF(LEFT($B1560,1)="━",0,$C1560*VLOOKUP($B1560,'4. CÀI ĐẶT'!$A$2:$H$32,3,FALSE)))</f>
        <v/>
      </c>
      <c r="G1560" s="67">
        <f>IF($B1560="",0,IF(LEFT($B1560,1)="━",0,$C1560*VLOOKUP($B1560,'4. CÀI ĐẶT'!$A$2:$H$32,4,FALSE)))</f>
        <v/>
      </c>
      <c r="H1560" s="67">
        <f>IF($B1560="",0,IF(LEFT($B1560,1)="━",0,$C1560*VLOOKUP($B1560,'4. CÀI ĐẶT'!$A$2:$H$32,5,FALSE)))</f>
        <v/>
      </c>
      <c r="I1560">
        <f>IF($B1560="","",IF(LEFT($B1560,1)="━","",VLOOKUP($B1560,'4. CÀI ĐẶT'!$A$2:$H$32,6,FALSE)))</f>
        <v/>
      </c>
      <c r="J1560" s="13">
        <f>IF($A1560="","",EOMONTH($A1560,0))</f>
        <v/>
      </c>
      <c r="K1560" s="67">
        <f>IF($B1560="",0,IF(LEFT($B1560,1)="━",0,$C1560*VLOOKUP($B1560,'4. CÀI ĐẶT'!$A$2:$H$32,7,FALSE)))</f>
        <v/>
      </c>
    </row>
    <row r="1561">
      <c r="A1561" s="8" t="n"/>
      <c r="B1561" s="9" t="n"/>
      <c r="C1561" s="65" t="n"/>
      <c r="D1561" s="9" t="n"/>
      <c r="E1561" s="66">
        <f>IF($B1561="","",IF(LEFT($B1561,1)="━","⚠️ Chọn hạng mục cụ thể",$C1561*VLOOKUP($B1561,'4. CÀI ĐẶT'!$A$2:$H$32,2,FALSE)))</f>
        <v/>
      </c>
      <c r="F1561" s="67">
        <f>IF($B1561="",0,IF(LEFT($B1561,1)="━",0,$C1561*VLOOKUP($B1561,'4. CÀI ĐẶT'!$A$2:$H$32,3,FALSE)))</f>
        <v/>
      </c>
      <c r="G1561" s="67">
        <f>IF($B1561="",0,IF(LEFT($B1561,1)="━",0,$C1561*VLOOKUP($B1561,'4. CÀI ĐẶT'!$A$2:$H$32,4,FALSE)))</f>
        <v/>
      </c>
      <c r="H1561" s="67">
        <f>IF($B1561="",0,IF(LEFT($B1561,1)="━",0,$C1561*VLOOKUP($B1561,'4. CÀI ĐẶT'!$A$2:$H$32,5,FALSE)))</f>
        <v/>
      </c>
      <c r="I1561">
        <f>IF($B1561="","",IF(LEFT($B1561,1)="━","",VLOOKUP($B1561,'4. CÀI ĐẶT'!$A$2:$H$32,6,FALSE)))</f>
        <v/>
      </c>
      <c r="J1561" s="13">
        <f>IF($A1561="","",EOMONTH($A1561,0))</f>
        <v/>
      </c>
      <c r="K1561" s="67">
        <f>IF($B1561="",0,IF(LEFT($B1561,1)="━",0,$C1561*VLOOKUP($B1561,'4. CÀI ĐẶT'!$A$2:$H$32,7,FALSE)))</f>
        <v/>
      </c>
    </row>
    <row r="1562">
      <c r="A1562" s="8" t="n"/>
      <c r="B1562" s="9" t="n"/>
      <c r="C1562" s="65" t="n"/>
      <c r="D1562" s="9" t="n"/>
      <c r="E1562" s="66">
        <f>IF($B1562="","",IF(LEFT($B1562,1)="━","⚠️ Chọn hạng mục cụ thể",$C1562*VLOOKUP($B1562,'4. CÀI ĐẶT'!$A$2:$H$32,2,FALSE)))</f>
        <v/>
      </c>
      <c r="F1562" s="67">
        <f>IF($B1562="",0,IF(LEFT($B1562,1)="━",0,$C1562*VLOOKUP($B1562,'4. CÀI ĐẶT'!$A$2:$H$32,3,FALSE)))</f>
        <v/>
      </c>
      <c r="G1562" s="67">
        <f>IF($B1562="",0,IF(LEFT($B1562,1)="━",0,$C1562*VLOOKUP($B1562,'4. CÀI ĐẶT'!$A$2:$H$32,4,FALSE)))</f>
        <v/>
      </c>
      <c r="H1562" s="67">
        <f>IF($B1562="",0,IF(LEFT($B1562,1)="━",0,$C1562*VLOOKUP($B1562,'4. CÀI ĐẶT'!$A$2:$H$32,5,FALSE)))</f>
        <v/>
      </c>
      <c r="I1562">
        <f>IF($B1562="","",IF(LEFT($B1562,1)="━","",VLOOKUP($B1562,'4. CÀI ĐẶT'!$A$2:$H$32,6,FALSE)))</f>
        <v/>
      </c>
      <c r="J1562" s="13">
        <f>IF($A1562="","",EOMONTH($A1562,0))</f>
        <v/>
      </c>
      <c r="K1562" s="67">
        <f>IF($B1562="",0,IF(LEFT($B1562,1)="━",0,$C1562*VLOOKUP($B1562,'4. CÀI ĐẶT'!$A$2:$H$32,7,FALSE)))</f>
        <v/>
      </c>
    </row>
    <row r="1563">
      <c r="A1563" s="8" t="n"/>
      <c r="B1563" s="9" t="n"/>
      <c r="C1563" s="65" t="n"/>
      <c r="D1563" s="9" t="n"/>
      <c r="E1563" s="66">
        <f>IF($B1563="","",IF(LEFT($B1563,1)="━","⚠️ Chọn hạng mục cụ thể",$C1563*VLOOKUP($B1563,'4. CÀI ĐẶT'!$A$2:$H$32,2,FALSE)))</f>
        <v/>
      </c>
      <c r="F1563" s="67">
        <f>IF($B1563="",0,IF(LEFT($B1563,1)="━",0,$C1563*VLOOKUP($B1563,'4. CÀI ĐẶT'!$A$2:$H$32,3,FALSE)))</f>
        <v/>
      </c>
      <c r="G1563" s="67">
        <f>IF($B1563="",0,IF(LEFT($B1563,1)="━",0,$C1563*VLOOKUP($B1563,'4. CÀI ĐẶT'!$A$2:$H$32,4,FALSE)))</f>
        <v/>
      </c>
      <c r="H1563" s="67">
        <f>IF($B1563="",0,IF(LEFT($B1563,1)="━",0,$C1563*VLOOKUP($B1563,'4. CÀI ĐẶT'!$A$2:$H$32,5,FALSE)))</f>
        <v/>
      </c>
      <c r="I1563">
        <f>IF($B1563="","",IF(LEFT($B1563,1)="━","",VLOOKUP($B1563,'4. CÀI ĐẶT'!$A$2:$H$32,6,FALSE)))</f>
        <v/>
      </c>
      <c r="J1563" s="13">
        <f>IF($A1563="","",EOMONTH($A1563,0))</f>
        <v/>
      </c>
      <c r="K1563" s="67">
        <f>IF($B1563="",0,IF(LEFT($B1563,1)="━",0,$C1563*VLOOKUP($B1563,'4. CÀI ĐẶT'!$A$2:$H$32,7,FALSE)))</f>
        <v/>
      </c>
    </row>
    <row r="1564">
      <c r="A1564" s="8" t="n"/>
      <c r="B1564" s="9" t="n"/>
      <c r="C1564" s="65" t="n"/>
      <c r="D1564" s="9" t="n"/>
      <c r="E1564" s="66">
        <f>IF($B1564="","",IF(LEFT($B1564,1)="━","⚠️ Chọn hạng mục cụ thể",$C1564*VLOOKUP($B1564,'4. CÀI ĐẶT'!$A$2:$H$32,2,FALSE)))</f>
        <v/>
      </c>
      <c r="F1564" s="67">
        <f>IF($B1564="",0,IF(LEFT($B1564,1)="━",0,$C1564*VLOOKUP($B1564,'4. CÀI ĐẶT'!$A$2:$H$32,3,FALSE)))</f>
        <v/>
      </c>
      <c r="G1564" s="67">
        <f>IF($B1564="",0,IF(LEFT($B1564,1)="━",0,$C1564*VLOOKUP($B1564,'4. CÀI ĐẶT'!$A$2:$H$32,4,FALSE)))</f>
        <v/>
      </c>
      <c r="H1564" s="67">
        <f>IF($B1564="",0,IF(LEFT($B1564,1)="━",0,$C1564*VLOOKUP($B1564,'4. CÀI ĐẶT'!$A$2:$H$32,5,FALSE)))</f>
        <v/>
      </c>
      <c r="I1564">
        <f>IF($B1564="","",IF(LEFT($B1564,1)="━","",VLOOKUP($B1564,'4. CÀI ĐẶT'!$A$2:$H$32,6,FALSE)))</f>
        <v/>
      </c>
      <c r="J1564" s="13">
        <f>IF($A1564="","",EOMONTH($A1564,0))</f>
        <v/>
      </c>
      <c r="K1564" s="67">
        <f>IF($B1564="",0,IF(LEFT($B1564,1)="━",0,$C1564*VLOOKUP($B1564,'4. CÀI ĐẶT'!$A$2:$H$32,7,FALSE)))</f>
        <v/>
      </c>
    </row>
    <row r="1565">
      <c r="A1565" s="8" t="n"/>
      <c r="B1565" s="9" t="n"/>
      <c r="C1565" s="65" t="n"/>
      <c r="D1565" s="9" t="n"/>
      <c r="E1565" s="66">
        <f>IF($B1565="","",IF(LEFT($B1565,1)="━","⚠️ Chọn hạng mục cụ thể",$C1565*VLOOKUP($B1565,'4. CÀI ĐẶT'!$A$2:$H$32,2,FALSE)))</f>
        <v/>
      </c>
      <c r="F1565" s="67">
        <f>IF($B1565="",0,IF(LEFT($B1565,1)="━",0,$C1565*VLOOKUP($B1565,'4. CÀI ĐẶT'!$A$2:$H$32,3,FALSE)))</f>
        <v/>
      </c>
      <c r="G1565" s="67">
        <f>IF($B1565="",0,IF(LEFT($B1565,1)="━",0,$C1565*VLOOKUP($B1565,'4. CÀI ĐẶT'!$A$2:$H$32,4,FALSE)))</f>
        <v/>
      </c>
      <c r="H1565" s="67">
        <f>IF($B1565="",0,IF(LEFT($B1565,1)="━",0,$C1565*VLOOKUP($B1565,'4. CÀI ĐẶT'!$A$2:$H$32,5,FALSE)))</f>
        <v/>
      </c>
      <c r="I1565">
        <f>IF($B1565="","",IF(LEFT($B1565,1)="━","",VLOOKUP($B1565,'4. CÀI ĐẶT'!$A$2:$H$32,6,FALSE)))</f>
        <v/>
      </c>
      <c r="J1565" s="13">
        <f>IF($A1565="","",EOMONTH($A1565,0))</f>
        <v/>
      </c>
      <c r="K1565" s="67">
        <f>IF($B1565="",0,IF(LEFT($B1565,1)="━",0,$C1565*VLOOKUP($B1565,'4. CÀI ĐẶT'!$A$2:$H$32,7,FALSE)))</f>
        <v/>
      </c>
    </row>
    <row r="1566">
      <c r="A1566" s="8" t="n"/>
      <c r="B1566" s="9" t="n"/>
      <c r="C1566" s="65" t="n"/>
      <c r="D1566" s="9" t="n"/>
      <c r="E1566" s="66">
        <f>IF($B1566="","",IF(LEFT($B1566,1)="━","⚠️ Chọn hạng mục cụ thể",$C1566*VLOOKUP($B1566,'4. CÀI ĐẶT'!$A$2:$H$32,2,FALSE)))</f>
        <v/>
      </c>
      <c r="F1566" s="67">
        <f>IF($B1566="",0,IF(LEFT($B1566,1)="━",0,$C1566*VLOOKUP($B1566,'4. CÀI ĐẶT'!$A$2:$H$32,3,FALSE)))</f>
        <v/>
      </c>
      <c r="G1566" s="67">
        <f>IF($B1566="",0,IF(LEFT($B1566,1)="━",0,$C1566*VLOOKUP($B1566,'4. CÀI ĐẶT'!$A$2:$H$32,4,FALSE)))</f>
        <v/>
      </c>
      <c r="H1566" s="67">
        <f>IF($B1566="",0,IF(LEFT($B1566,1)="━",0,$C1566*VLOOKUP($B1566,'4. CÀI ĐẶT'!$A$2:$H$32,5,FALSE)))</f>
        <v/>
      </c>
      <c r="I1566">
        <f>IF($B1566="","",IF(LEFT($B1566,1)="━","",VLOOKUP($B1566,'4. CÀI ĐẶT'!$A$2:$H$32,6,FALSE)))</f>
        <v/>
      </c>
      <c r="J1566" s="13">
        <f>IF($A1566="","",EOMONTH($A1566,0))</f>
        <v/>
      </c>
      <c r="K1566" s="67">
        <f>IF($B1566="",0,IF(LEFT($B1566,1)="━",0,$C1566*VLOOKUP($B1566,'4. CÀI ĐẶT'!$A$2:$H$32,7,FALSE)))</f>
        <v/>
      </c>
    </row>
    <row r="1567">
      <c r="A1567" s="8" t="n"/>
      <c r="B1567" s="9" t="n"/>
      <c r="C1567" s="65" t="n"/>
      <c r="D1567" s="9" t="n"/>
      <c r="E1567" s="66">
        <f>IF($B1567="","",IF(LEFT($B1567,1)="━","⚠️ Chọn hạng mục cụ thể",$C1567*VLOOKUP($B1567,'4. CÀI ĐẶT'!$A$2:$H$32,2,FALSE)))</f>
        <v/>
      </c>
      <c r="F1567" s="67">
        <f>IF($B1567="",0,IF(LEFT($B1567,1)="━",0,$C1567*VLOOKUP($B1567,'4. CÀI ĐẶT'!$A$2:$H$32,3,FALSE)))</f>
        <v/>
      </c>
      <c r="G1567" s="67">
        <f>IF($B1567="",0,IF(LEFT($B1567,1)="━",0,$C1567*VLOOKUP($B1567,'4. CÀI ĐẶT'!$A$2:$H$32,4,FALSE)))</f>
        <v/>
      </c>
      <c r="H1567" s="67">
        <f>IF($B1567="",0,IF(LEFT($B1567,1)="━",0,$C1567*VLOOKUP($B1567,'4. CÀI ĐẶT'!$A$2:$H$32,5,FALSE)))</f>
        <v/>
      </c>
      <c r="I1567">
        <f>IF($B1567="","",IF(LEFT($B1567,1)="━","",VLOOKUP($B1567,'4. CÀI ĐẶT'!$A$2:$H$32,6,FALSE)))</f>
        <v/>
      </c>
      <c r="J1567" s="13">
        <f>IF($A1567="","",EOMONTH($A1567,0))</f>
        <v/>
      </c>
      <c r="K1567" s="67">
        <f>IF($B1567="",0,IF(LEFT($B1567,1)="━",0,$C1567*VLOOKUP($B1567,'4. CÀI ĐẶT'!$A$2:$H$32,7,FALSE)))</f>
        <v/>
      </c>
    </row>
    <row r="1568">
      <c r="A1568" s="8" t="n"/>
      <c r="B1568" s="9" t="n"/>
      <c r="C1568" s="65" t="n"/>
      <c r="D1568" s="9" t="n"/>
      <c r="E1568" s="66">
        <f>IF($B1568="","",IF(LEFT($B1568,1)="━","⚠️ Chọn hạng mục cụ thể",$C1568*VLOOKUP($B1568,'4. CÀI ĐẶT'!$A$2:$H$32,2,FALSE)))</f>
        <v/>
      </c>
      <c r="F1568" s="67">
        <f>IF($B1568="",0,IF(LEFT($B1568,1)="━",0,$C1568*VLOOKUP($B1568,'4. CÀI ĐẶT'!$A$2:$H$32,3,FALSE)))</f>
        <v/>
      </c>
      <c r="G1568" s="67">
        <f>IF($B1568="",0,IF(LEFT($B1568,1)="━",0,$C1568*VLOOKUP($B1568,'4. CÀI ĐẶT'!$A$2:$H$32,4,FALSE)))</f>
        <v/>
      </c>
      <c r="H1568" s="67">
        <f>IF($B1568="",0,IF(LEFT($B1568,1)="━",0,$C1568*VLOOKUP($B1568,'4. CÀI ĐẶT'!$A$2:$H$32,5,FALSE)))</f>
        <v/>
      </c>
      <c r="I1568">
        <f>IF($B1568="","",IF(LEFT($B1568,1)="━","",VLOOKUP($B1568,'4. CÀI ĐẶT'!$A$2:$H$32,6,FALSE)))</f>
        <v/>
      </c>
      <c r="J1568" s="13">
        <f>IF($A1568="","",EOMONTH($A1568,0))</f>
        <v/>
      </c>
      <c r="K1568" s="67">
        <f>IF($B1568="",0,IF(LEFT($B1568,1)="━",0,$C1568*VLOOKUP($B1568,'4. CÀI ĐẶT'!$A$2:$H$32,7,FALSE)))</f>
        <v/>
      </c>
    </row>
    <row r="1569">
      <c r="A1569" s="8" t="n"/>
      <c r="B1569" s="9" t="n"/>
      <c r="C1569" s="65" t="n"/>
      <c r="D1569" s="9" t="n"/>
      <c r="E1569" s="66">
        <f>IF($B1569="","",IF(LEFT($B1569,1)="━","⚠️ Chọn hạng mục cụ thể",$C1569*VLOOKUP($B1569,'4. CÀI ĐẶT'!$A$2:$H$32,2,FALSE)))</f>
        <v/>
      </c>
      <c r="F1569" s="67">
        <f>IF($B1569="",0,IF(LEFT($B1569,1)="━",0,$C1569*VLOOKUP($B1569,'4. CÀI ĐẶT'!$A$2:$H$32,3,FALSE)))</f>
        <v/>
      </c>
      <c r="G1569" s="67">
        <f>IF($B1569="",0,IF(LEFT($B1569,1)="━",0,$C1569*VLOOKUP($B1569,'4. CÀI ĐẶT'!$A$2:$H$32,4,FALSE)))</f>
        <v/>
      </c>
      <c r="H1569" s="67">
        <f>IF($B1569="",0,IF(LEFT($B1569,1)="━",0,$C1569*VLOOKUP($B1569,'4. CÀI ĐẶT'!$A$2:$H$32,5,FALSE)))</f>
        <v/>
      </c>
      <c r="I1569">
        <f>IF($B1569="","",IF(LEFT($B1569,1)="━","",VLOOKUP($B1569,'4. CÀI ĐẶT'!$A$2:$H$32,6,FALSE)))</f>
        <v/>
      </c>
      <c r="J1569" s="13">
        <f>IF($A1569="","",EOMONTH($A1569,0))</f>
        <v/>
      </c>
      <c r="K1569" s="67">
        <f>IF($B1569="",0,IF(LEFT($B1569,1)="━",0,$C1569*VLOOKUP($B1569,'4. CÀI ĐẶT'!$A$2:$H$32,7,FALSE)))</f>
        <v/>
      </c>
    </row>
    <row r="1570">
      <c r="A1570" s="8" t="n"/>
      <c r="B1570" s="9" t="n"/>
      <c r="C1570" s="65" t="n"/>
      <c r="D1570" s="9" t="n"/>
      <c r="E1570" s="66">
        <f>IF($B1570="","",IF(LEFT($B1570,1)="━","⚠️ Chọn hạng mục cụ thể",$C1570*VLOOKUP($B1570,'4. CÀI ĐẶT'!$A$2:$H$32,2,FALSE)))</f>
        <v/>
      </c>
      <c r="F1570" s="67">
        <f>IF($B1570="",0,IF(LEFT($B1570,1)="━",0,$C1570*VLOOKUP($B1570,'4. CÀI ĐẶT'!$A$2:$H$32,3,FALSE)))</f>
        <v/>
      </c>
      <c r="G1570" s="67">
        <f>IF($B1570="",0,IF(LEFT($B1570,1)="━",0,$C1570*VLOOKUP($B1570,'4. CÀI ĐẶT'!$A$2:$H$32,4,FALSE)))</f>
        <v/>
      </c>
      <c r="H1570" s="67">
        <f>IF($B1570="",0,IF(LEFT($B1570,1)="━",0,$C1570*VLOOKUP($B1570,'4. CÀI ĐẶT'!$A$2:$H$32,5,FALSE)))</f>
        <v/>
      </c>
      <c r="I1570">
        <f>IF($B1570="","",IF(LEFT($B1570,1)="━","",VLOOKUP($B1570,'4. CÀI ĐẶT'!$A$2:$H$32,6,FALSE)))</f>
        <v/>
      </c>
      <c r="J1570" s="13">
        <f>IF($A1570="","",EOMONTH($A1570,0))</f>
        <v/>
      </c>
      <c r="K1570" s="67">
        <f>IF($B1570="",0,IF(LEFT($B1570,1)="━",0,$C1570*VLOOKUP($B1570,'4. CÀI ĐẶT'!$A$2:$H$32,7,FALSE)))</f>
        <v/>
      </c>
    </row>
    <row r="1571">
      <c r="A1571" s="8" t="n"/>
      <c r="B1571" s="9" t="n"/>
      <c r="C1571" s="65" t="n"/>
      <c r="D1571" s="9" t="n"/>
      <c r="E1571" s="66">
        <f>IF($B1571="","",IF(LEFT($B1571,1)="━","⚠️ Chọn hạng mục cụ thể",$C1571*VLOOKUP($B1571,'4. CÀI ĐẶT'!$A$2:$H$32,2,FALSE)))</f>
        <v/>
      </c>
      <c r="F1571" s="67">
        <f>IF($B1571="",0,IF(LEFT($B1571,1)="━",0,$C1571*VLOOKUP($B1571,'4. CÀI ĐẶT'!$A$2:$H$32,3,FALSE)))</f>
        <v/>
      </c>
      <c r="G1571" s="67">
        <f>IF($B1571="",0,IF(LEFT($B1571,1)="━",0,$C1571*VLOOKUP($B1571,'4. CÀI ĐẶT'!$A$2:$H$32,4,FALSE)))</f>
        <v/>
      </c>
      <c r="H1571" s="67">
        <f>IF($B1571="",0,IF(LEFT($B1571,1)="━",0,$C1571*VLOOKUP($B1571,'4. CÀI ĐẶT'!$A$2:$H$32,5,FALSE)))</f>
        <v/>
      </c>
      <c r="I1571">
        <f>IF($B1571="","",IF(LEFT($B1571,1)="━","",VLOOKUP($B1571,'4. CÀI ĐẶT'!$A$2:$H$32,6,FALSE)))</f>
        <v/>
      </c>
      <c r="J1571" s="13">
        <f>IF($A1571="","",EOMONTH($A1571,0))</f>
        <v/>
      </c>
      <c r="K1571" s="67">
        <f>IF($B1571="",0,IF(LEFT($B1571,1)="━",0,$C1571*VLOOKUP($B1571,'4. CÀI ĐẶT'!$A$2:$H$32,7,FALSE)))</f>
        <v/>
      </c>
    </row>
    <row r="1572">
      <c r="A1572" s="8" t="n"/>
      <c r="B1572" s="9" t="n"/>
      <c r="C1572" s="65" t="n"/>
      <c r="D1572" s="9" t="n"/>
      <c r="E1572" s="66">
        <f>IF($B1572="","",IF(LEFT($B1572,1)="━","⚠️ Chọn hạng mục cụ thể",$C1572*VLOOKUP($B1572,'4. CÀI ĐẶT'!$A$2:$H$32,2,FALSE)))</f>
        <v/>
      </c>
      <c r="F1572" s="67">
        <f>IF($B1572="",0,IF(LEFT($B1572,1)="━",0,$C1572*VLOOKUP($B1572,'4. CÀI ĐẶT'!$A$2:$H$32,3,FALSE)))</f>
        <v/>
      </c>
      <c r="G1572" s="67">
        <f>IF($B1572="",0,IF(LEFT($B1572,1)="━",0,$C1572*VLOOKUP($B1572,'4. CÀI ĐẶT'!$A$2:$H$32,4,FALSE)))</f>
        <v/>
      </c>
      <c r="H1572" s="67">
        <f>IF($B1572="",0,IF(LEFT($B1572,1)="━",0,$C1572*VLOOKUP($B1572,'4. CÀI ĐẶT'!$A$2:$H$32,5,FALSE)))</f>
        <v/>
      </c>
      <c r="I1572">
        <f>IF($B1572="","",IF(LEFT($B1572,1)="━","",VLOOKUP($B1572,'4. CÀI ĐẶT'!$A$2:$H$32,6,FALSE)))</f>
        <v/>
      </c>
      <c r="J1572" s="13">
        <f>IF($A1572="","",EOMONTH($A1572,0))</f>
        <v/>
      </c>
      <c r="K1572" s="67">
        <f>IF($B1572="",0,IF(LEFT($B1572,1)="━",0,$C1572*VLOOKUP($B1572,'4. CÀI ĐẶT'!$A$2:$H$32,7,FALSE)))</f>
        <v/>
      </c>
    </row>
    <row r="1573">
      <c r="A1573" s="8" t="n"/>
      <c r="B1573" s="9" t="n"/>
      <c r="C1573" s="65" t="n"/>
      <c r="D1573" s="9" t="n"/>
      <c r="E1573" s="66">
        <f>IF($B1573="","",IF(LEFT($B1573,1)="━","⚠️ Chọn hạng mục cụ thể",$C1573*VLOOKUP($B1573,'4. CÀI ĐẶT'!$A$2:$H$32,2,FALSE)))</f>
        <v/>
      </c>
      <c r="F1573" s="67">
        <f>IF($B1573="",0,IF(LEFT($B1573,1)="━",0,$C1573*VLOOKUP($B1573,'4. CÀI ĐẶT'!$A$2:$H$32,3,FALSE)))</f>
        <v/>
      </c>
      <c r="G1573" s="67">
        <f>IF($B1573="",0,IF(LEFT($B1573,1)="━",0,$C1573*VLOOKUP($B1573,'4. CÀI ĐẶT'!$A$2:$H$32,4,FALSE)))</f>
        <v/>
      </c>
      <c r="H1573" s="67">
        <f>IF($B1573="",0,IF(LEFT($B1573,1)="━",0,$C1573*VLOOKUP($B1573,'4. CÀI ĐẶT'!$A$2:$H$32,5,FALSE)))</f>
        <v/>
      </c>
      <c r="I1573">
        <f>IF($B1573="","",IF(LEFT($B1573,1)="━","",VLOOKUP($B1573,'4. CÀI ĐẶT'!$A$2:$H$32,6,FALSE)))</f>
        <v/>
      </c>
      <c r="J1573" s="13">
        <f>IF($A1573="","",EOMONTH($A1573,0))</f>
        <v/>
      </c>
      <c r="K1573" s="67">
        <f>IF($B1573="",0,IF(LEFT($B1573,1)="━",0,$C1573*VLOOKUP($B1573,'4. CÀI ĐẶT'!$A$2:$H$32,7,FALSE)))</f>
        <v/>
      </c>
    </row>
    <row r="1574">
      <c r="A1574" s="8" t="n"/>
      <c r="B1574" s="9" t="n"/>
      <c r="C1574" s="65" t="n"/>
      <c r="D1574" s="9" t="n"/>
      <c r="E1574" s="66">
        <f>IF($B1574="","",IF(LEFT($B1574,1)="━","⚠️ Chọn hạng mục cụ thể",$C1574*VLOOKUP($B1574,'4. CÀI ĐẶT'!$A$2:$H$32,2,FALSE)))</f>
        <v/>
      </c>
      <c r="F1574" s="67">
        <f>IF($B1574="",0,IF(LEFT($B1574,1)="━",0,$C1574*VLOOKUP($B1574,'4. CÀI ĐẶT'!$A$2:$H$32,3,FALSE)))</f>
        <v/>
      </c>
      <c r="G1574" s="67">
        <f>IF($B1574="",0,IF(LEFT($B1574,1)="━",0,$C1574*VLOOKUP($B1574,'4. CÀI ĐẶT'!$A$2:$H$32,4,FALSE)))</f>
        <v/>
      </c>
      <c r="H1574" s="67">
        <f>IF($B1574="",0,IF(LEFT($B1574,1)="━",0,$C1574*VLOOKUP($B1574,'4. CÀI ĐẶT'!$A$2:$H$32,5,FALSE)))</f>
        <v/>
      </c>
      <c r="I1574">
        <f>IF($B1574="","",IF(LEFT($B1574,1)="━","",VLOOKUP($B1574,'4. CÀI ĐẶT'!$A$2:$H$32,6,FALSE)))</f>
        <v/>
      </c>
      <c r="J1574" s="13">
        <f>IF($A1574="","",EOMONTH($A1574,0))</f>
        <v/>
      </c>
      <c r="K1574" s="67">
        <f>IF($B1574="",0,IF(LEFT($B1574,1)="━",0,$C1574*VLOOKUP($B1574,'4. CÀI ĐẶT'!$A$2:$H$32,7,FALSE)))</f>
        <v/>
      </c>
    </row>
    <row r="1575">
      <c r="A1575" s="8" t="n"/>
      <c r="B1575" s="9" t="n"/>
      <c r="C1575" s="65" t="n"/>
      <c r="D1575" s="9" t="n"/>
      <c r="E1575" s="66">
        <f>IF($B1575="","",IF(LEFT($B1575,1)="━","⚠️ Chọn hạng mục cụ thể",$C1575*VLOOKUP($B1575,'4. CÀI ĐẶT'!$A$2:$H$32,2,FALSE)))</f>
        <v/>
      </c>
      <c r="F1575" s="67">
        <f>IF($B1575="",0,IF(LEFT($B1575,1)="━",0,$C1575*VLOOKUP($B1575,'4. CÀI ĐẶT'!$A$2:$H$32,3,FALSE)))</f>
        <v/>
      </c>
      <c r="G1575" s="67">
        <f>IF($B1575="",0,IF(LEFT($B1575,1)="━",0,$C1575*VLOOKUP($B1575,'4. CÀI ĐẶT'!$A$2:$H$32,4,FALSE)))</f>
        <v/>
      </c>
      <c r="H1575" s="67">
        <f>IF($B1575="",0,IF(LEFT($B1575,1)="━",0,$C1575*VLOOKUP($B1575,'4. CÀI ĐẶT'!$A$2:$H$32,5,FALSE)))</f>
        <v/>
      </c>
      <c r="I1575">
        <f>IF($B1575="","",IF(LEFT($B1575,1)="━","",VLOOKUP($B1575,'4. CÀI ĐẶT'!$A$2:$H$32,6,FALSE)))</f>
        <v/>
      </c>
      <c r="J1575" s="13">
        <f>IF($A1575="","",EOMONTH($A1575,0))</f>
        <v/>
      </c>
      <c r="K1575" s="67">
        <f>IF($B1575="",0,IF(LEFT($B1575,1)="━",0,$C1575*VLOOKUP($B1575,'4. CÀI ĐẶT'!$A$2:$H$32,7,FALSE)))</f>
        <v/>
      </c>
    </row>
    <row r="1576">
      <c r="A1576" s="8" t="n"/>
      <c r="B1576" s="9" t="n"/>
      <c r="C1576" s="65" t="n"/>
      <c r="D1576" s="9" t="n"/>
      <c r="E1576" s="66">
        <f>IF($B1576="","",IF(LEFT($B1576,1)="━","⚠️ Chọn hạng mục cụ thể",$C1576*VLOOKUP($B1576,'4. CÀI ĐẶT'!$A$2:$H$32,2,FALSE)))</f>
        <v/>
      </c>
      <c r="F1576" s="67">
        <f>IF($B1576="",0,IF(LEFT($B1576,1)="━",0,$C1576*VLOOKUP($B1576,'4. CÀI ĐẶT'!$A$2:$H$32,3,FALSE)))</f>
        <v/>
      </c>
      <c r="G1576" s="67">
        <f>IF($B1576="",0,IF(LEFT($B1576,1)="━",0,$C1576*VLOOKUP($B1576,'4. CÀI ĐẶT'!$A$2:$H$32,4,FALSE)))</f>
        <v/>
      </c>
      <c r="H1576" s="67">
        <f>IF($B1576="",0,IF(LEFT($B1576,1)="━",0,$C1576*VLOOKUP($B1576,'4. CÀI ĐẶT'!$A$2:$H$32,5,FALSE)))</f>
        <v/>
      </c>
      <c r="I1576">
        <f>IF($B1576="","",IF(LEFT($B1576,1)="━","",VLOOKUP($B1576,'4. CÀI ĐẶT'!$A$2:$H$32,6,FALSE)))</f>
        <v/>
      </c>
      <c r="J1576" s="13">
        <f>IF($A1576="","",EOMONTH($A1576,0))</f>
        <v/>
      </c>
      <c r="K1576" s="67">
        <f>IF($B1576="",0,IF(LEFT($B1576,1)="━",0,$C1576*VLOOKUP($B1576,'4. CÀI ĐẶT'!$A$2:$H$32,7,FALSE)))</f>
        <v/>
      </c>
    </row>
    <row r="1577">
      <c r="A1577" s="8" t="n"/>
      <c r="B1577" s="9" t="n"/>
      <c r="C1577" s="65" t="n"/>
      <c r="D1577" s="9" t="n"/>
      <c r="E1577" s="66">
        <f>IF($B1577="","",IF(LEFT($B1577,1)="━","⚠️ Chọn hạng mục cụ thể",$C1577*VLOOKUP($B1577,'4. CÀI ĐẶT'!$A$2:$H$32,2,FALSE)))</f>
        <v/>
      </c>
      <c r="F1577" s="67">
        <f>IF($B1577="",0,IF(LEFT($B1577,1)="━",0,$C1577*VLOOKUP($B1577,'4. CÀI ĐẶT'!$A$2:$H$32,3,FALSE)))</f>
        <v/>
      </c>
      <c r="G1577" s="67">
        <f>IF($B1577="",0,IF(LEFT($B1577,1)="━",0,$C1577*VLOOKUP($B1577,'4. CÀI ĐẶT'!$A$2:$H$32,4,FALSE)))</f>
        <v/>
      </c>
      <c r="H1577" s="67">
        <f>IF($B1577="",0,IF(LEFT($B1577,1)="━",0,$C1577*VLOOKUP($B1577,'4. CÀI ĐẶT'!$A$2:$H$32,5,FALSE)))</f>
        <v/>
      </c>
      <c r="I1577">
        <f>IF($B1577="","",IF(LEFT($B1577,1)="━","",VLOOKUP($B1577,'4. CÀI ĐẶT'!$A$2:$H$32,6,FALSE)))</f>
        <v/>
      </c>
      <c r="J1577" s="13">
        <f>IF($A1577="","",EOMONTH($A1577,0))</f>
        <v/>
      </c>
      <c r="K1577" s="67">
        <f>IF($B1577="",0,IF(LEFT($B1577,1)="━",0,$C1577*VLOOKUP($B1577,'4. CÀI ĐẶT'!$A$2:$H$32,7,FALSE)))</f>
        <v/>
      </c>
    </row>
    <row r="1578">
      <c r="A1578" s="8" t="n"/>
      <c r="B1578" s="9" t="n"/>
      <c r="C1578" s="65" t="n"/>
      <c r="D1578" s="9" t="n"/>
      <c r="E1578" s="66">
        <f>IF($B1578="","",IF(LEFT($B1578,1)="━","⚠️ Chọn hạng mục cụ thể",$C1578*VLOOKUP($B1578,'4. CÀI ĐẶT'!$A$2:$H$32,2,FALSE)))</f>
        <v/>
      </c>
      <c r="F1578" s="67">
        <f>IF($B1578="",0,IF(LEFT($B1578,1)="━",0,$C1578*VLOOKUP($B1578,'4. CÀI ĐẶT'!$A$2:$H$32,3,FALSE)))</f>
        <v/>
      </c>
      <c r="G1578" s="67">
        <f>IF($B1578="",0,IF(LEFT($B1578,1)="━",0,$C1578*VLOOKUP($B1578,'4. CÀI ĐẶT'!$A$2:$H$32,4,FALSE)))</f>
        <v/>
      </c>
      <c r="H1578" s="67">
        <f>IF($B1578="",0,IF(LEFT($B1578,1)="━",0,$C1578*VLOOKUP($B1578,'4. CÀI ĐẶT'!$A$2:$H$32,5,FALSE)))</f>
        <v/>
      </c>
      <c r="I1578">
        <f>IF($B1578="","",IF(LEFT($B1578,1)="━","",VLOOKUP($B1578,'4. CÀI ĐẶT'!$A$2:$H$32,6,FALSE)))</f>
        <v/>
      </c>
      <c r="J1578" s="13">
        <f>IF($A1578="","",EOMONTH($A1578,0))</f>
        <v/>
      </c>
      <c r="K1578" s="67">
        <f>IF($B1578="",0,IF(LEFT($B1578,1)="━",0,$C1578*VLOOKUP($B1578,'4. CÀI ĐẶT'!$A$2:$H$32,7,FALSE)))</f>
        <v/>
      </c>
    </row>
    <row r="1579">
      <c r="A1579" s="8" t="n"/>
      <c r="B1579" s="9" t="n"/>
      <c r="C1579" s="65" t="n"/>
      <c r="D1579" s="9" t="n"/>
      <c r="E1579" s="66">
        <f>IF($B1579="","",IF(LEFT($B1579,1)="━","⚠️ Chọn hạng mục cụ thể",$C1579*VLOOKUP($B1579,'4. CÀI ĐẶT'!$A$2:$H$32,2,FALSE)))</f>
        <v/>
      </c>
      <c r="F1579" s="67">
        <f>IF($B1579="",0,IF(LEFT($B1579,1)="━",0,$C1579*VLOOKUP($B1579,'4. CÀI ĐẶT'!$A$2:$H$32,3,FALSE)))</f>
        <v/>
      </c>
      <c r="G1579" s="67">
        <f>IF($B1579="",0,IF(LEFT($B1579,1)="━",0,$C1579*VLOOKUP($B1579,'4. CÀI ĐẶT'!$A$2:$H$32,4,FALSE)))</f>
        <v/>
      </c>
      <c r="H1579" s="67">
        <f>IF($B1579="",0,IF(LEFT($B1579,1)="━",0,$C1579*VLOOKUP($B1579,'4. CÀI ĐẶT'!$A$2:$H$32,5,FALSE)))</f>
        <v/>
      </c>
      <c r="I1579">
        <f>IF($B1579="","",IF(LEFT($B1579,1)="━","",VLOOKUP($B1579,'4. CÀI ĐẶT'!$A$2:$H$32,6,FALSE)))</f>
        <v/>
      </c>
      <c r="J1579" s="13">
        <f>IF($A1579="","",EOMONTH($A1579,0))</f>
        <v/>
      </c>
      <c r="K1579" s="67">
        <f>IF($B1579="",0,IF(LEFT($B1579,1)="━",0,$C1579*VLOOKUP($B1579,'4. CÀI ĐẶT'!$A$2:$H$32,7,FALSE)))</f>
        <v/>
      </c>
    </row>
    <row r="1580">
      <c r="A1580" s="8" t="n"/>
      <c r="B1580" s="9" t="n"/>
      <c r="C1580" s="65" t="n"/>
      <c r="D1580" s="9" t="n"/>
      <c r="E1580" s="66">
        <f>IF($B1580="","",IF(LEFT($B1580,1)="━","⚠️ Chọn hạng mục cụ thể",$C1580*VLOOKUP($B1580,'4. CÀI ĐẶT'!$A$2:$H$32,2,FALSE)))</f>
        <v/>
      </c>
      <c r="F1580" s="67">
        <f>IF($B1580="",0,IF(LEFT($B1580,1)="━",0,$C1580*VLOOKUP($B1580,'4. CÀI ĐẶT'!$A$2:$H$32,3,FALSE)))</f>
        <v/>
      </c>
      <c r="G1580" s="67">
        <f>IF($B1580="",0,IF(LEFT($B1580,1)="━",0,$C1580*VLOOKUP($B1580,'4. CÀI ĐẶT'!$A$2:$H$32,4,FALSE)))</f>
        <v/>
      </c>
      <c r="H1580" s="67">
        <f>IF($B1580="",0,IF(LEFT($B1580,1)="━",0,$C1580*VLOOKUP($B1580,'4. CÀI ĐẶT'!$A$2:$H$32,5,FALSE)))</f>
        <v/>
      </c>
      <c r="I1580">
        <f>IF($B1580="","",IF(LEFT($B1580,1)="━","",VLOOKUP($B1580,'4. CÀI ĐẶT'!$A$2:$H$32,6,FALSE)))</f>
        <v/>
      </c>
      <c r="J1580" s="13">
        <f>IF($A1580="","",EOMONTH($A1580,0))</f>
        <v/>
      </c>
      <c r="K1580" s="67">
        <f>IF($B1580="",0,IF(LEFT($B1580,1)="━",0,$C1580*VLOOKUP($B1580,'4. CÀI ĐẶT'!$A$2:$H$32,7,FALSE)))</f>
        <v/>
      </c>
    </row>
    <row r="1581">
      <c r="A1581" s="8" t="n"/>
      <c r="B1581" s="9" t="n"/>
      <c r="C1581" s="65" t="n"/>
      <c r="D1581" s="9" t="n"/>
      <c r="E1581" s="66">
        <f>IF($B1581="","",IF(LEFT($B1581,1)="━","⚠️ Chọn hạng mục cụ thể",$C1581*VLOOKUP($B1581,'4. CÀI ĐẶT'!$A$2:$H$32,2,FALSE)))</f>
        <v/>
      </c>
      <c r="F1581" s="67">
        <f>IF($B1581="",0,IF(LEFT($B1581,1)="━",0,$C1581*VLOOKUP($B1581,'4. CÀI ĐẶT'!$A$2:$H$32,3,FALSE)))</f>
        <v/>
      </c>
      <c r="G1581" s="67">
        <f>IF($B1581="",0,IF(LEFT($B1581,1)="━",0,$C1581*VLOOKUP($B1581,'4. CÀI ĐẶT'!$A$2:$H$32,4,FALSE)))</f>
        <v/>
      </c>
      <c r="H1581" s="67">
        <f>IF($B1581="",0,IF(LEFT($B1581,1)="━",0,$C1581*VLOOKUP($B1581,'4. CÀI ĐẶT'!$A$2:$H$32,5,FALSE)))</f>
        <v/>
      </c>
      <c r="I1581">
        <f>IF($B1581="","",IF(LEFT($B1581,1)="━","",VLOOKUP($B1581,'4. CÀI ĐẶT'!$A$2:$H$32,6,FALSE)))</f>
        <v/>
      </c>
      <c r="J1581" s="13">
        <f>IF($A1581="","",EOMONTH($A1581,0))</f>
        <v/>
      </c>
      <c r="K1581" s="67">
        <f>IF($B1581="",0,IF(LEFT($B1581,1)="━",0,$C1581*VLOOKUP($B1581,'4. CÀI ĐẶT'!$A$2:$H$32,7,FALSE)))</f>
        <v/>
      </c>
    </row>
    <row r="1582">
      <c r="A1582" s="8" t="n"/>
      <c r="B1582" s="9" t="n"/>
      <c r="C1582" s="65" t="n"/>
      <c r="D1582" s="9" t="n"/>
      <c r="E1582" s="66">
        <f>IF($B1582="","",IF(LEFT($B1582,1)="━","⚠️ Chọn hạng mục cụ thể",$C1582*VLOOKUP($B1582,'4. CÀI ĐẶT'!$A$2:$H$32,2,FALSE)))</f>
        <v/>
      </c>
      <c r="F1582" s="67">
        <f>IF($B1582="",0,IF(LEFT($B1582,1)="━",0,$C1582*VLOOKUP($B1582,'4. CÀI ĐẶT'!$A$2:$H$32,3,FALSE)))</f>
        <v/>
      </c>
      <c r="G1582" s="67">
        <f>IF($B1582="",0,IF(LEFT($B1582,1)="━",0,$C1582*VLOOKUP($B1582,'4. CÀI ĐẶT'!$A$2:$H$32,4,FALSE)))</f>
        <v/>
      </c>
      <c r="H1582" s="67">
        <f>IF($B1582="",0,IF(LEFT($B1582,1)="━",0,$C1582*VLOOKUP($B1582,'4. CÀI ĐẶT'!$A$2:$H$32,5,FALSE)))</f>
        <v/>
      </c>
      <c r="I1582">
        <f>IF($B1582="","",IF(LEFT($B1582,1)="━","",VLOOKUP($B1582,'4. CÀI ĐẶT'!$A$2:$H$32,6,FALSE)))</f>
        <v/>
      </c>
      <c r="J1582" s="13">
        <f>IF($A1582="","",EOMONTH($A1582,0))</f>
        <v/>
      </c>
      <c r="K1582" s="67">
        <f>IF($B1582="",0,IF(LEFT($B1582,1)="━",0,$C1582*VLOOKUP($B1582,'4. CÀI ĐẶT'!$A$2:$H$32,7,FALSE)))</f>
        <v/>
      </c>
    </row>
    <row r="1583">
      <c r="A1583" s="8" t="n"/>
      <c r="B1583" s="9" t="n"/>
      <c r="C1583" s="65" t="n"/>
      <c r="D1583" s="9" t="n"/>
      <c r="E1583" s="66">
        <f>IF($B1583="","",IF(LEFT($B1583,1)="━","⚠️ Chọn hạng mục cụ thể",$C1583*VLOOKUP($B1583,'4. CÀI ĐẶT'!$A$2:$H$32,2,FALSE)))</f>
        <v/>
      </c>
      <c r="F1583" s="67">
        <f>IF($B1583="",0,IF(LEFT($B1583,1)="━",0,$C1583*VLOOKUP($B1583,'4. CÀI ĐẶT'!$A$2:$H$32,3,FALSE)))</f>
        <v/>
      </c>
      <c r="G1583" s="67">
        <f>IF($B1583="",0,IF(LEFT($B1583,1)="━",0,$C1583*VLOOKUP($B1583,'4. CÀI ĐẶT'!$A$2:$H$32,4,FALSE)))</f>
        <v/>
      </c>
      <c r="H1583" s="67">
        <f>IF($B1583="",0,IF(LEFT($B1583,1)="━",0,$C1583*VLOOKUP($B1583,'4. CÀI ĐẶT'!$A$2:$H$32,5,FALSE)))</f>
        <v/>
      </c>
      <c r="I1583">
        <f>IF($B1583="","",IF(LEFT($B1583,1)="━","",VLOOKUP($B1583,'4. CÀI ĐẶT'!$A$2:$H$32,6,FALSE)))</f>
        <v/>
      </c>
      <c r="J1583" s="13">
        <f>IF($A1583="","",EOMONTH($A1583,0))</f>
        <v/>
      </c>
      <c r="K1583" s="67">
        <f>IF($B1583="",0,IF(LEFT($B1583,1)="━",0,$C1583*VLOOKUP($B1583,'4. CÀI ĐẶT'!$A$2:$H$32,7,FALSE)))</f>
        <v/>
      </c>
    </row>
    <row r="1584">
      <c r="A1584" s="8" t="n"/>
      <c r="B1584" s="9" t="n"/>
      <c r="C1584" s="65" t="n"/>
      <c r="D1584" s="9" t="n"/>
      <c r="E1584" s="66">
        <f>IF($B1584="","",IF(LEFT($B1584,1)="━","⚠️ Chọn hạng mục cụ thể",$C1584*VLOOKUP($B1584,'4. CÀI ĐẶT'!$A$2:$H$32,2,FALSE)))</f>
        <v/>
      </c>
      <c r="F1584" s="67">
        <f>IF($B1584="",0,IF(LEFT($B1584,1)="━",0,$C1584*VLOOKUP($B1584,'4. CÀI ĐẶT'!$A$2:$H$32,3,FALSE)))</f>
        <v/>
      </c>
      <c r="G1584" s="67">
        <f>IF($B1584="",0,IF(LEFT($B1584,1)="━",0,$C1584*VLOOKUP($B1584,'4. CÀI ĐẶT'!$A$2:$H$32,4,FALSE)))</f>
        <v/>
      </c>
      <c r="H1584" s="67">
        <f>IF($B1584="",0,IF(LEFT($B1584,1)="━",0,$C1584*VLOOKUP($B1584,'4. CÀI ĐẶT'!$A$2:$H$32,5,FALSE)))</f>
        <v/>
      </c>
      <c r="I1584">
        <f>IF($B1584="","",IF(LEFT($B1584,1)="━","",VLOOKUP($B1584,'4. CÀI ĐẶT'!$A$2:$H$32,6,FALSE)))</f>
        <v/>
      </c>
      <c r="J1584" s="13">
        <f>IF($A1584="","",EOMONTH($A1584,0))</f>
        <v/>
      </c>
      <c r="K1584" s="67">
        <f>IF($B1584="",0,IF(LEFT($B1584,1)="━",0,$C1584*VLOOKUP($B1584,'4. CÀI ĐẶT'!$A$2:$H$32,7,FALSE)))</f>
        <v/>
      </c>
    </row>
    <row r="1585">
      <c r="A1585" s="8" t="n"/>
      <c r="B1585" s="9" t="n"/>
      <c r="C1585" s="65" t="n"/>
      <c r="D1585" s="9" t="n"/>
      <c r="E1585" s="66">
        <f>IF($B1585="","",IF(LEFT($B1585,1)="━","⚠️ Chọn hạng mục cụ thể",$C1585*VLOOKUP($B1585,'4. CÀI ĐẶT'!$A$2:$H$32,2,FALSE)))</f>
        <v/>
      </c>
      <c r="F1585" s="67">
        <f>IF($B1585="",0,IF(LEFT($B1585,1)="━",0,$C1585*VLOOKUP($B1585,'4. CÀI ĐẶT'!$A$2:$H$32,3,FALSE)))</f>
        <v/>
      </c>
      <c r="G1585" s="67">
        <f>IF($B1585="",0,IF(LEFT($B1585,1)="━",0,$C1585*VLOOKUP($B1585,'4. CÀI ĐẶT'!$A$2:$H$32,4,FALSE)))</f>
        <v/>
      </c>
      <c r="H1585" s="67">
        <f>IF($B1585="",0,IF(LEFT($B1585,1)="━",0,$C1585*VLOOKUP($B1585,'4. CÀI ĐẶT'!$A$2:$H$32,5,FALSE)))</f>
        <v/>
      </c>
      <c r="I1585">
        <f>IF($B1585="","",IF(LEFT($B1585,1)="━","",VLOOKUP($B1585,'4. CÀI ĐẶT'!$A$2:$H$32,6,FALSE)))</f>
        <v/>
      </c>
      <c r="J1585" s="13">
        <f>IF($A1585="","",EOMONTH($A1585,0))</f>
        <v/>
      </c>
      <c r="K1585" s="67">
        <f>IF($B1585="",0,IF(LEFT($B1585,1)="━",0,$C1585*VLOOKUP($B1585,'4. CÀI ĐẶT'!$A$2:$H$32,7,FALSE)))</f>
        <v/>
      </c>
    </row>
    <row r="1586">
      <c r="A1586" s="8" t="n"/>
      <c r="B1586" s="9" t="n"/>
      <c r="C1586" s="65" t="n"/>
      <c r="D1586" s="9" t="n"/>
      <c r="E1586" s="66">
        <f>IF($B1586="","",IF(LEFT($B1586,1)="━","⚠️ Chọn hạng mục cụ thể",$C1586*VLOOKUP($B1586,'4. CÀI ĐẶT'!$A$2:$H$32,2,FALSE)))</f>
        <v/>
      </c>
      <c r="F1586" s="67">
        <f>IF($B1586="",0,IF(LEFT($B1586,1)="━",0,$C1586*VLOOKUP($B1586,'4. CÀI ĐẶT'!$A$2:$H$32,3,FALSE)))</f>
        <v/>
      </c>
      <c r="G1586" s="67">
        <f>IF($B1586="",0,IF(LEFT($B1586,1)="━",0,$C1586*VLOOKUP($B1586,'4. CÀI ĐẶT'!$A$2:$H$32,4,FALSE)))</f>
        <v/>
      </c>
      <c r="H1586" s="67">
        <f>IF($B1586="",0,IF(LEFT($B1586,1)="━",0,$C1586*VLOOKUP($B1586,'4. CÀI ĐẶT'!$A$2:$H$32,5,FALSE)))</f>
        <v/>
      </c>
      <c r="I1586">
        <f>IF($B1586="","",IF(LEFT($B1586,1)="━","",VLOOKUP($B1586,'4. CÀI ĐẶT'!$A$2:$H$32,6,FALSE)))</f>
        <v/>
      </c>
      <c r="J1586" s="13">
        <f>IF($A1586="","",EOMONTH($A1586,0))</f>
        <v/>
      </c>
      <c r="K1586" s="67">
        <f>IF($B1586="",0,IF(LEFT($B1586,1)="━",0,$C1586*VLOOKUP($B1586,'4. CÀI ĐẶT'!$A$2:$H$32,7,FALSE)))</f>
        <v/>
      </c>
    </row>
    <row r="1587">
      <c r="A1587" s="8" t="n"/>
      <c r="B1587" s="9" t="n"/>
      <c r="C1587" s="65" t="n"/>
      <c r="D1587" s="9" t="n"/>
      <c r="E1587" s="66">
        <f>IF($B1587="","",IF(LEFT($B1587,1)="━","⚠️ Chọn hạng mục cụ thể",$C1587*VLOOKUP($B1587,'4. CÀI ĐẶT'!$A$2:$H$32,2,FALSE)))</f>
        <v/>
      </c>
      <c r="F1587" s="67">
        <f>IF($B1587="",0,IF(LEFT($B1587,1)="━",0,$C1587*VLOOKUP($B1587,'4. CÀI ĐẶT'!$A$2:$H$32,3,FALSE)))</f>
        <v/>
      </c>
      <c r="G1587" s="67">
        <f>IF($B1587="",0,IF(LEFT($B1587,1)="━",0,$C1587*VLOOKUP($B1587,'4. CÀI ĐẶT'!$A$2:$H$32,4,FALSE)))</f>
        <v/>
      </c>
      <c r="H1587" s="67">
        <f>IF($B1587="",0,IF(LEFT($B1587,1)="━",0,$C1587*VLOOKUP($B1587,'4. CÀI ĐẶT'!$A$2:$H$32,5,FALSE)))</f>
        <v/>
      </c>
      <c r="I1587">
        <f>IF($B1587="","",IF(LEFT($B1587,1)="━","",VLOOKUP($B1587,'4. CÀI ĐẶT'!$A$2:$H$32,6,FALSE)))</f>
        <v/>
      </c>
      <c r="J1587" s="13">
        <f>IF($A1587="","",EOMONTH($A1587,0))</f>
        <v/>
      </c>
      <c r="K1587" s="67">
        <f>IF($B1587="",0,IF(LEFT($B1587,1)="━",0,$C1587*VLOOKUP($B1587,'4. CÀI ĐẶT'!$A$2:$H$32,7,FALSE)))</f>
        <v/>
      </c>
    </row>
    <row r="1588">
      <c r="A1588" s="8" t="n"/>
      <c r="B1588" s="9" t="n"/>
      <c r="C1588" s="65" t="n"/>
      <c r="D1588" s="9" t="n"/>
      <c r="E1588" s="66">
        <f>IF($B1588="","",IF(LEFT($B1588,1)="━","⚠️ Chọn hạng mục cụ thể",$C1588*VLOOKUP($B1588,'4. CÀI ĐẶT'!$A$2:$H$32,2,FALSE)))</f>
        <v/>
      </c>
      <c r="F1588" s="67">
        <f>IF($B1588="",0,IF(LEFT($B1588,1)="━",0,$C1588*VLOOKUP($B1588,'4. CÀI ĐẶT'!$A$2:$H$32,3,FALSE)))</f>
        <v/>
      </c>
      <c r="G1588" s="67">
        <f>IF($B1588="",0,IF(LEFT($B1588,1)="━",0,$C1588*VLOOKUP($B1588,'4. CÀI ĐẶT'!$A$2:$H$32,4,FALSE)))</f>
        <v/>
      </c>
      <c r="H1588" s="67">
        <f>IF($B1588="",0,IF(LEFT($B1588,1)="━",0,$C1588*VLOOKUP($B1588,'4. CÀI ĐẶT'!$A$2:$H$32,5,FALSE)))</f>
        <v/>
      </c>
      <c r="I1588">
        <f>IF($B1588="","",IF(LEFT($B1588,1)="━","",VLOOKUP($B1588,'4. CÀI ĐẶT'!$A$2:$H$32,6,FALSE)))</f>
        <v/>
      </c>
      <c r="J1588" s="13">
        <f>IF($A1588="","",EOMONTH($A1588,0))</f>
        <v/>
      </c>
      <c r="K1588" s="67">
        <f>IF($B1588="",0,IF(LEFT($B1588,1)="━",0,$C1588*VLOOKUP($B1588,'4. CÀI ĐẶT'!$A$2:$H$32,7,FALSE)))</f>
        <v/>
      </c>
    </row>
    <row r="1589">
      <c r="A1589" s="8" t="n"/>
      <c r="B1589" s="9" t="n"/>
      <c r="C1589" s="65" t="n"/>
      <c r="D1589" s="9" t="n"/>
      <c r="E1589" s="66">
        <f>IF($B1589="","",IF(LEFT($B1589,1)="━","⚠️ Chọn hạng mục cụ thể",$C1589*VLOOKUP($B1589,'4. CÀI ĐẶT'!$A$2:$H$32,2,FALSE)))</f>
        <v/>
      </c>
      <c r="F1589" s="67">
        <f>IF($B1589="",0,IF(LEFT($B1589,1)="━",0,$C1589*VLOOKUP($B1589,'4. CÀI ĐẶT'!$A$2:$H$32,3,FALSE)))</f>
        <v/>
      </c>
      <c r="G1589" s="67">
        <f>IF($B1589="",0,IF(LEFT($B1589,1)="━",0,$C1589*VLOOKUP($B1589,'4. CÀI ĐẶT'!$A$2:$H$32,4,FALSE)))</f>
        <v/>
      </c>
      <c r="H1589" s="67">
        <f>IF($B1589="",0,IF(LEFT($B1589,1)="━",0,$C1589*VLOOKUP($B1589,'4. CÀI ĐẶT'!$A$2:$H$32,5,FALSE)))</f>
        <v/>
      </c>
      <c r="I1589">
        <f>IF($B1589="","",IF(LEFT($B1589,1)="━","",VLOOKUP($B1589,'4. CÀI ĐẶT'!$A$2:$H$32,6,FALSE)))</f>
        <v/>
      </c>
      <c r="J1589" s="13">
        <f>IF($A1589="","",EOMONTH($A1589,0))</f>
        <v/>
      </c>
      <c r="K1589" s="67">
        <f>IF($B1589="",0,IF(LEFT($B1589,1)="━",0,$C1589*VLOOKUP($B1589,'4. CÀI ĐẶT'!$A$2:$H$32,7,FALSE)))</f>
        <v/>
      </c>
    </row>
    <row r="1590">
      <c r="A1590" s="8" t="n"/>
      <c r="B1590" s="9" t="n"/>
      <c r="C1590" s="65" t="n"/>
      <c r="D1590" s="9" t="n"/>
      <c r="E1590" s="66">
        <f>IF($B1590="","",IF(LEFT($B1590,1)="━","⚠️ Chọn hạng mục cụ thể",$C1590*VLOOKUP($B1590,'4. CÀI ĐẶT'!$A$2:$H$32,2,FALSE)))</f>
        <v/>
      </c>
      <c r="F1590" s="67">
        <f>IF($B1590="",0,IF(LEFT($B1590,1)="━",0,$C1590*VLOOKUP($B1590,'4. CÀI ĐẶT'!$A$2:$H$32,3,FALSE)))</f>
        <v/>
      </c>
      <c r="G1590" s="67">
        <f>IF($B1590="",0,IF(LEFT($B1590,1)="━",0,$C1590*VLOOKUP($B1590,'4. CÀI ĐẶT'!$A$2:$H$32,4,FALSE)))</f>
        <v/>
      </c>
      <c r="H1590" s="67">
        <f>IF($B1590="",0,IF(LEFT($B1590,1)="━",0,$C1590*VLOOKUP($B1590,'4. CÀI ĐẶT'!$A$2:$H$32,5,FALSE)))</f>
        <v/>
      </c>
      <c r="I1590">
        <f>IF($B1590="","",IF(LEFT($B1590,1)="━","",VLOOKUP($B1590,'4. CÀI ĐẶT'!$A$2:$H$32,6,FALSE)))</f>
        <v/>
      </c>
      <c r="J1590" s="13">
        <f>IF($A1590="","",EOMONTH($A1590,0))</f>
        <v/>
      </c>
      <c r="K1590" s="67">
        <f>IF($B1590="",0,IF(LEFT($B1590,1)="━",0,$C1590*VLOOKUP($B1590,'4. CÀI ĐẶT'!$A$2:$H$32,7,FALSE)))</f>
        <v/>
      </c>
    </row>
    <row r="1591">
      <c r="A1591" s="8" t="n"/>
      <c r="B1591" s="9" t="n"/>
      <c r="C1591" s="65" t="n"/>
      <c r="D1591" s="9" t="n"/>
      <c r="E1591" s="66">
        <f>IF($B1591="","",IF(LEFT($B1591,1)="━","⚠️ Chọn hạng mục cụ thể",$C1591*VLOOKUP($B1591,'4. CÀI ĐẶT'!$A$2:$H$32,2,FALSE)))</f>
        <v/>
      </c>
      <c r="F1591" s="67">
        <f>IF($B1591="",0,IF(LEFT($B1591,1)="━",0,$C1591*VLOOKUP($B1591,'4. CÀI ĐẶT'!$A$2:$H$32,3,FALSE)))</f>
        <v/>
      </c>
      <c r="G1591" s="67">
        <f>IF($B1591="",0,IF(LEFT($B1591,1)="━",0,$C1591*VLOOKUP($B1591,'4. CÀI ĐẶT'!$A$2:$H$32,4,FALSE)))</f>
        <v/>
      </c>
      <c r="H1591" s="67">
        <f>IF($B1591="",0,IF(LEFT($B1591,1)="━",0,$C1591*VLOOKUP($B1591,'4. CÀI ĐẶT'!$A$2:$H$32,5,FALSE)))</f>
        <v/>
      </c>
      <c r="I1591">
        <f>IF($B1591="","",IF(LEFT($B1591,1)="━","",VLOOKUP($B1591,'4. CÀI ĐẶT'!$A$2:$H$32,6,FALSE)))</f>
        <v/>
      </c>
      <c r="J1591" s="13">
        <f>IF($A1591="","",EOMONTH($A1591,0))</f>
        <v/>
      </c>
      <c r="K1591" s="67">
        <f>IF($B1591="",0,IF(LEFT($B1591,1)="━",0,$C1591*VLOOKUP($B1591,'4. CÀI ĐẶT'!$A$2:$H$32,7,FALSE)))</f>
        <v/>
      </c>
    </row>
    <row r="1592">
      <c r="A1592" s="8" t="n"/>
      <c r="B1592" s="9" t="n"/>
      <c r="C1592" s="65" t="n"/>
      <c r="D1592" s="9" t="n"/>
      <c r="E1592" s="66">
        <f>IF($B1592="","",IF(LEFT($B1592,1)="━","⚠️ Chọn hạng mục cụ thể",$C1592*VLOOKUP($B1592,'4. CÀI ĐẶT'!$A$2:$H$32,2,FALSE)))</f>
        <v/>
      </c>
      <c r="F1592" s="67">
        <f>IF($B1592="",0,IF(LEFT($B1592,1)="━",0,$C1592*VLOOKUP($B1592,'4. CÀI ĐẶT'!$A$2:$H$32,3,FALSE)))</f>
        <v/>
      </c>
      <c r="G1592" s="67">
        <f>IF($B1592="",0,IF(LEFT($B1592,1)="━",0,$C1592*VLOOKUP($B1592,'4. CÀI ĐẶT'!$A$2:$H$32,4,FALSE)))</f>
        <v/>
      </c>
      <c r="H1592" s="67">
        <f>IF($B1592="",0,IF(LEFT($B1592,1)="━",0,$C1592*VLOOKUP($B1592,'4. CÀI ĐẶT'!$A$2:$H$32,5,FALSE)))</f>
        <v/>
      </c>
      <c r="I1592">
        <f>IF($B1592="","",IF(LEFT($B1592,1)="━","",VLOOKUP($B1592,'4. CÀI ĐẶT'!$A$2:$H$32,6,FALSE)))</f>
        <v/>
      </c>
      <c r="J1592" s="13">
        <f>IF($A1592="","",EOMONTH($A1592,0))</f>
        <v/>
      </c>
      <c r="K1592" s="67">
        <f>IF($B1592="",0,IF(LEFT($B1592,1)="━",0,$C1592*VLOOKUP($B1592,'4. CÀI ĐẶT'!$A$2:$H$32,7,FALSE)))</f>
        <v/>
      </c>
    </row>
    <row r="1593">
      <c r="A1593" s="8" t="n"/>
      <c r="B1593" s="9" t="n"/>
      <c r="C1593" s="65" t="n"/>
      <c r="D1593" s="9" t="n"/>
      <c r="E1593" s="66">
        <f>IF($B1593="","",IF(LEFT($B1593,1)="━","⚠️ Chọn hạng mục cụ thể",$C1593*VLOOKUP($B1593,'4. CÀI ĐẶT'!$A$2:$H$32,2,FALSE)))</f>
        <v/>
      </c>
      <c r="F1593" s="67">
        <f>IF($B1593="",0,IF(LEFT($B1593,1)="━",0,$C1593*VLOOKUP($B1593,'4. CÀI ĐẶT'!$A$2:$H$32,3,FALSE)))</f>
        <v/>
      </c>
      <c r="G1593" s="67">
        <f>IF($B1593="",0,IF(LEFT($B1593,1)="━",0,$C1593*VLOOKUP($B1593,'4. CÀI ĐẶT'!$A$2:$H$32,4,FALSE)))</f>
        <v/>
      </c>
      <c r="H1593" s="67">
        <f>IF($B1593="",0,IF(LEFT($B1593,1)="━",0,$C1593*VLOOKUP($B1593,'4. CÀI ĐẶT'!$A$2:$H$32,5,FALSE)))</f>
        <v/>
      </c>
      <c r="I1593">
        <f>IF($B1593="","",IF(LEFT($B1593,1)="━","",VLOOKUP($B1593,'4. CÀI ĐẶT'!$A$2:$H$32,6,FALSE)))</f>
        <v/>
      </c>
      <c r="J1593" s="13">
        <f>IF($A1593="","",EOMONTH($A1593,0))</f>
        <v/>
      </c>
      <c r="K1593" s="67">
        <f>IF($B1593="",0,IF(LEFT($B1593,1)="━",0,$C1593*VLOOKUP($B1593,'4. CÀI ĐẶT'!$A$2:$H$32,7,FALSE)))</f>
        <v/>
      </c>
    </row>
    <row r="1594">
      <c r="A1594" s="8" t="n"/>
      <c r="B1594" s="9" t="n"/>
      <c r="C1594" s="65" t="n"/>
      <c r="D1594" s="9" t="n"/>
      <c r="E1594" s="66">
        <f>IF($B1594="","",IF(LEFT($B1594,1)="━","⚠️ Chọn hạng mục cụ thể",$C1594*VLOOKUP($B1594,'4. CÀI ĐẶT'!$A$2:$H$32,2,FALSE)))</f>
        <v/>
      </c>
      <c r="F1594" s="67">
        <f>IF($B1594="",0,IF(LEFT($B1594,1)="━",0,$C1594*VLOOKUP($B1594,'4. CÀI ĐẶT'!$A$2:$H$32,3,FALSE)))</f>
        <v/>
      </c>
      <c r="G1594" s="67">
        <f>IF($B1594="",0,IF(LEFT($B1594,1)="━",0,$C1594*VLOOKUP($B1594,'4. CÀI ĐẶT'!$A$2:$H$32,4,FALSE)))</f>
        <v/>
      </c>
      <c r="H1594" s="67">
        <f>IF($B1594="",0,IF(LEFT($B1594,1)="━",0,$C1594*VLOOKUP($B1594,'4. CÀI ĐẶT'!$A$2:$H$32,5,FALSE)))</f>
        <v/>
      </c>
      <c r="I1594">
        <f>IF($B1594="","",IF(LEFT($B1594,1)="━","",VLOOKUP($B1594,'4. CÀI ĐẶT'!$A$2:$H$32,6,FALSE)))</f>
        <v/>
      </c>
      <c r="J1594" s="13">
        <f>IF($A1594="","",EOMONTH($A1594,0))</f>
        <v/>
      </c>
      <c r="K1594" s="67">
        <f>IF($B1594="",0,IF(LEFT($B1594,1)="━",0,$C1594*VLOOKUP($B1594,'4. CÀI ĐẶT'!$A$2:$H$32,7,FALSE)))</f>
        <v/>
      </c>
    </row>
    <row r="1595">
      <c r="A1595" s="8" t="n"/>
      <c r="B1595" s="9" t="n"/>
      <c r="C1595" s="65" t="n"/>
      <c r="D1595" s="9" t="n"/>
      <c r="E1595" s="66">
        <f>IF($B1595="","",IF(LEFT($B1595,1)="━","⚠️ Chọn hạng mục cụ thể",$C1595*VLOOKUP($B1595,'4. CÀI ĐẶT'!$A$2:$H$32,2,FALSE)))</f>
        <v/>
      </c>
      <c r="F1595" s="67">
        <f>IF($B1595="",0,IF(LEFT($B1595,1)="━",0,$C1595*VLOOKUP($B1595,'4. CÀI ĐẶT'!$A$2:$H$32,3,FALSE)))</f>
        <v/>
      </c>
      <c r="G1595" s="67">
        <f>IF($B1595="",0,IF(LEFT($B1595,1)="━",0,$C1595*VLOOKUP($B1595,'4. CÀI ĐẶT'!$A$2:$H$32,4,FALSE)))</f>
        <v/>
      </c>
      <c r="H1595" s="67">
        <f>IF($B1595="",0,IF(LEFT($B1595,1)="━",0,$C1595*VLOOKUP($B1595,'4. CÀI ĐẶT'!$A$2:$H$32,5,FALSE)))</f>
        <v/>
      </c>
      <c r="I1595">
        <f>IF($B1595="","",IF(LEFT($B1595,1)="━","",VLOOKUP($B1595,'4. CÀI ĐẶT'!$A$2:$H$32,6,FALSE)))</f>
        <v/>
      </c>
      <c r="J1595" s="13">
        <f>IF($A1595="","",EOMONTH($A1595,0))</f>
        <v/>
      </c>
      <c r="K1595" s="67">
        <f>IF($B1595="",0,IF(LEFT($B1595,1)="━",0,$C1595*VLOOKUP($B1595,'4. CÀI ĐẶT'!$A$2:$H$32,7,FALSE)))</f>
        <v/>
      </c>
    </row>
    <row r="1596">
      <c r="A1596" s="8" t="n"/>
      <c r="B1596" s="9" t="n"/>
      <c r="C1596" s="65" t="n"/>
      <c r="D1596" s="9" t="n"/>
      <c r="E1596" s="66">
        <f>IF($B1596="","",IF(LEFT($B1596,1)="━","⚠️ Chọn hạng mục cụ thể",$C1596*VLOOKUP($B1596,'4. CÀI ĐẶT'!$A$2:$H$32,2,FALSE)))</f>
        <v/>
      </c>
      <c r="F1596" s="67">
        <f>IF($B1596="",0,IF(LEFT($B1596,1)="━",0,$C1596*VLOOKUP($B1596,'4. CÀI ĐẶT'!$A$2:$H$32,3,FALSE)))</f>
        <v/>
      </c>
      <c r="G1596" s="67">
        <f>IF($B1596="",0,IF(LEFT($B1596,1)="━",0,$C1596*VLOOKUP($B1596,'4. CÀI ĐẶT'!$A$2:$H$32,4,FALSE)))</f>
        <v/>
      </c>
      <c r="H1596" s="67">
        <f>IF($B1596="",0,IF(LEFT($B1596,1)="━",0,$C1596*VLOOKUP($B1596,'4. CÀI ĐẶT'!$A$2:$H$32,5,FALSE)))</f>
        <v/>
      </c>
      <c r="I1596">
        <f>IF($B1596="","",IF(LEFT($B1596,1)="━","",VLOOKUP($B1596,'4. CÀI ĐẶT'!$A$2:$H$32,6,FALSE)))</f>
        <v/>
      </c>
      <c r="J1596" s="13">
        <f>IF($A1596="","",EOMONTH($A1596,0))</f>
        <v/>
      </c>
      <c r="K1596" s="67">
        <f>IF($B1596="",0,IF(LEFT($B1596,1)="━",0,$C1596*VLOOKUP($B1596,'4. CÀI ĐẶT'!$A$2:$H$32,7,FALSE)))</f>
        <v/>
      </c>
    </row>
    <row r="1597">
      <c r="A1597" s="8" t="n"/>
      <c r="B1597" s="9" t="n"/>
      <c r="C1597" s="65" t="n"/>
      <c r="D1597" s="9" t="n"/>
      <c r="E1597" s="66">
        <f>IF($B1597="","",IF(LEFT($B1597,1)="━","⚠️ Chọn hạng mục cụ thể",$C1597*VLOOKUP($B1597,'4. CÀI ĐẶT'!$A$2:$H$32,2,FALSE)))</f>
        <v/>
      </c>
      <c r="F1597" s="67">
        <f>IF($B1597="",0,IF(LEFT($B1597,1)="━",0,$C1597*VLOOKUP($B1597,'4. CÀI ĐẶT'!$A$2:$H$32,3,FALSE)))</f>
        <v/>
      </c>
      <c r="G1597" s="67">
        <f>IF($B1597="",0,IF(LEFT($B1597,1)="━",0,$C1597*VLOOKUP($B1597,'4. CÀI ĐẶT'!$A$2:$H$32,4,FALSE)))</f>
        <v/>
      </c>
      <c r="H1597" s="67">
        <f>IF($B1597="",0,IF(LEFT($B1597,1)="━",0,$C1597*VLOOKUP($B1597,'4. CÀI ĐẶT'!$A$2:$H$32,5,FALSE)))</f>
        <v/>
      </c>
      <c r="I1597">
        <f>IF($B1597="","",IF(LEFT($B1597,1)="━","",VLOOKUP($B1597,'4. CÀI ĐẶT'!$A$2:$H$32,6,FALSE)))</f>
        <v/>
      </c>
      <c r="J1597" s="13">
        <f>IF($A1597="","",EOMONTH($A1597,0))</f>
        <v/>
      </c>
      <c r="K1597" s="67">
        <f>IF($B1597="",0,IF(LEFT($B1597,1)="━",0,$C1597*VLOOKUP($B1597,'4. CÀI ĐẶT'!$A$2:$H$32,7,FALSE)))</f>
        <v/>
      </c>
    </row>
    <row r="1598">
      <c r="A1598" s="8" t="n"/>
      <c r="B1598" s="9" t="n"/>
      <c r="C1598" s="65" t="n"/>
      <c r="D1598" s="9" t="n"/>
      <c r="E1598" s="66">
        <f>IF($B1598="","",IF(LEFT($B1598,1)="━","⚠️ Chọn hạng mục cụ thể",$C1598*VLOOKUP($B1598,'4. CÀI ĐẶT'!$A$2:$H$32,2,FALSE)))</f>
        <v/>
      </c>
      <c r="F1598" s="67">
        <f>IF($B1598="",0,IF(LEFT($B1598,1)="━",0,$C1598*VLOOKUP($B1598,'4. CÀI ĐẶT'!$A$2:$H$32,3,FALSE)))</f>
        <v/>
      </c>
      <c r="G1598" s="67">
        <f>IF($B1598="",0,IF(LEFT($B1598,1)="━",0,$C1598*VLOOKUP($B1598,'4. CÀI ĐẶT'!$A$2:$H$32,4,FALSE)))</f>
        <v/>
      </c>
      <c r="H1598" s="67">
        <f>IF($B1598="",0,IF(LEFT($B1598,1)="━",0,$C1598*VLOOKUP($B1598,'4. CÀI ĐẶT'!$A$2:$H$32,5,FALSE)))</f>
        <v/>
      </c>
      <c r="I1598">
        <f>IF($B1598="","",IF(LEFT($B1598,1)="━","",VLOOKUP($B1598,'4. CÀI ĐẶT'!$A$2:$H$32,6,FALSE)))</f>
        <v/>
      </c>
      <c r="J1598" s="13">
        <f>IF($A1598="","",EOMONTH($A1598,0))</f>
        <v/>
      </c>
      <c r="K1598" s="67">
        <f>IF($B1598="",0,IF(LEFT($B1598,1)="━",0,$C1598*VLOOKUP($B1598,'4. CÀI ĐẶT'!$A$2:$H$32,7,FALSE)))</f>
        <v/>
      </c>
    </row>
    <row r="1599">
      <c r="A1599" s="8" t="n"/>
      <c r="B1599" s="9" t="n"/>
      <c r="C1599" s="65" t="n"/>
      <c r="D1599" s="9" t="n"/>
      <c r="E1599" s="66">
        <f>IF($B1599="","",IF(LEFT($B1599,1)="━","⚠️ Chọn hạng mục cụ thể",$C1599*VLOOKUP($B1599,'4. CÀI ĐẶT'!$A$2:$H$32,2,FALSE)))</f>
        <v/>
      </c>
      <c r="F1599" s="67">
        <f>IF($B1599="",0,IF(LEFT($B1599,1)="━",0,$C1599*VLOOKUP($B1599,'4. CÀI ĐẶT'!$A$2:$H$32,3,FALSE)))</f>
        <v/>
      </c>
      <c r="G1599" s="67">
        <f>IF($B1599="",0,IF(LEFT($B1599,1)="━",0,$C1599*VLOOKUP($B1599,'4. CÀI ĐẶT'!$A$2:$H$32,4,FALSE)))</f>
        <v/>
      </c>
      <c r="H1599" s="67">
        <f>IF($B1599="",0,IF(LEFT($B1599,1)="━",0,$C1599*VLOOKUP($B1599,'4. CÀI ĐẶT'!$A$2:$H$32,5,FALSE)))</f>
        <v/>
      </c>
      <c r="I1599">
        <f>IF($B1599="","",IF(LEFT($B1599,1)="━","",VLOOKUP($B1599,'4. CÀI ĐẶT'!$A$2:$H$32,6,FALSE)))</f>
        <v/>
      </c>
      <c r="J1599" s="13">
        <f>IF($A1599="","",EOMONTH($A1599,0))</f>
        <v/>
      </c>
      <c r="K1599" s="67">
        <f>IF($B1599="",0,IF(LEFT($B1599,1)="━",0,$C1599*VLOOKUP($B1599,'4. CÀI ĐẶT'!$A$2:$H$32,7,FALSE)))</f>
        <v/>
      </c>
    </row>
    <row r="1600">
      <c r="A1600" s="8" t="n"/>
      <c r="B1600" s="9" t="n"/>
      <c r="C1600" s="65" t="n"/>
      <c r="D1600" s="9" t="n"/>
      <c r="E1600" s="66">
        <f>IF($B1600="","",IF(LEFT($B1600,1)="━","⚠️ Chọn hạng mục cụ thể",$C1600*VLOOKUP($B1600,'4. CÀI ĐẶT'!$A$2:$H$32,2,FALSE)))</f>
        <v/>
      </c>
      <c r="F1600" s="67">
        <f>IF($B1600="",0,IF(LEFT($B1600,1)="━",0,$C1600*VLOOKUP($B1600,'4. CÀI ĐẶT'!$A$2:$H$32,3,FALSE)))</f>
        <v/>
      </c>
      <c r="G1600" s="67">
        <f>IF($B1600="",0,IF(LEFT($B1600,1)="━",0,$C1600*VLOOKUP($B1600,'4. CÀI ĐẶT'!$A$2:$H$32,4,FALSE)))</f>
        <v/>
      </c>
      <c r="H1600" s="67">
        <f>IF($B1600="",0,IF(LEFT($B1600,1)="━",0,$C1600*VLOOKUP($B1600,'4. CÀI ĐẶT'!$A$2:$H$32,5,FALSE)))</f>
        <v/>
      </c>
      <c r="I1600">
        <f>IF($B1600="","",IF(LEFT($B1600,1)="━","",VLOOKUP($B1600,'4. CÀI ĐẶT'!$A$2:$H$32,6,FALSE)))</f>
        <v/>
      </c>
      <c r="J1600" s="13">
        <f>IF($A1600="","",EOMONTH($A1600,0))</f>
        <v/>
      </c>
      <c r="K1600" s="67">
        <f>IF($B1600="",0,IF(LEFT($B1600,1)="━",0,$C1600*VLOOKUP($B1600,'4. CÀI ĐẶT'!$A$2:$H$32,7,FALSE)))</f>
        <v/>
      </c>
    </row>
    <row r="1601">
      <c r="A1601" s="8" t="n"/>
      <c r="B1601" s="9" t="n"/>
      <c r="C1601" s="65" t="n"/>
      <c r="D1601" s="9" t="n"/>
      <c r="E1601" s="66">
        <f>IF($B1601="","",IF(LEFT($B1601,1)="━","⚠️ Chọn hạng mục cụ thể",$C1601*VLOOKUP($B1601,'4. CÀI ĐẶT'!$A$2:$H$32,2,FALSE)))</f>
        <v/>
      </c>
      <c r="F1601" s="67">
        <f>IF($B1601="",0,IF(LEFT($B1601,1)="━",0,$C1601*VLOOKUP($B1601,'4. CÀI ĐẶT'!$A$2:$H$32,3,FALSE)))</f>
        <v/>
      </c>
      <c r="G1601" s="67">
        <f>IF($B1601="",0,IF(LEFT($B1601,1)="━",0,$C1601*VLOOKUP($B1601,'4. CÀI ĐẶT'!$A$2:$H$32,4,FALSE)))</f>
        <v/>
      </c>
      <c r="H1601" s="67">
        <f>IF($B1601="",0,IF(LEFT($B1601,1)="━",0,$C1601*VLOOKUP($B1601,'4. CÀI ĐẶT'!$A$2:$H$32,5,FALSE)))</f>
        <v/>
      </c>
      <c r="I1601">
        <f>IF($B1601="","",IF(LEFT($B1601,1)="━","",VLOOKUP($B1601,'4. CÀI ĐẶT'!$A$2:$H$32,6,FALSE)))</f>
        <v/>
      </c>
      <c r="J1601" s="13">
        <f>IF($A1601="","",EOMONTH($A1601,0))</f>
        <v/>
      </c>
      <c r="K1601" s="67">
        <f>IF($B1601="",0,IF(LEFT($B1601,1)="━",0,$C1601*VLOOKUP($B1601,'4. CÀI ĐẶT'!$A$2:$H$32,7,FALSE)))</f>
        <v/>
      </c>
    </row>
    <row r="1602">
      <c r="A1602" s="8" t="n"/>
      <c r="B1602" s="9" t="n"/>
      <c r="C1602" s="65" t="n"/>
      <c r="D1602" s="9" t="n"/>
      <c r="E1602" s="66">
        <f>IF($B1602="","",IF(LEFT($B1602,1)="━","⚠️ Chọn hạng mục cụ thể",$C1602*VLOOKUP($B1602,'4. CÀI ĐẶT'!$A$2:$H$32,2,FALSE)))</f>
        <v/>
      </c>
      <c r="F1602" s="67">
        <f>IF($B1602="",0,IF(LEFT($B1602,1)="━",0,$C1602*VLOOKUP($B1602,'4. CÀI ĐẶT'!$A$2:$H$32,3,FALSE)))</f>
        <v/>
      </c>
      <c r="G1602" s="67">
        <f>IF($B1602="",0,IF(LEFT($B1602,1)="━",0,$C1602*VLOOKUP($B1602,'4. CÀI ĐẶT'!$A$2:$H$32,4,FALSE)))</f>
        <v/>
      </c>
      <c r="H1602" s="67">
        <f>IF($B1602="",0,IF(LEFT($B1602,1)="━",0,$C1602*VLOOKUP($B1602,'4. CÀI ĐẶT'!$A$2:$H$32,5,FALSE)))</f>
        <v/>
      </c>
      <c r="I1602">
        <f>IF($B1602="","",IF(LEFT($B1602,1)="━","",VLOOKUP($B1602,'4. CÀI ĐẶT'!$A$2:$H$32,6,FALSE)))</f>
        <v/>
      </c>
      <c r="J1602" s="13">
        <f>IF($A1602="","",EOMONTH($A1602,0))</f>
        <v/>
      </c>
      <c r="K1602" s="67">
        <f>IF($B1602="",0,IF(LEFT($B1602,1)="━",0,$C1602*VLOOKUP($B1602,'4. CÀI ĐẶT'!$A$2:$H$32,7,FALSE)))</f>
        <v/>
      </c>
    </row>
    <row r="1603">
      <c r="A1603" s="8" t="n"/>
      <c r="B1603" s="9" t="n"/>
      <c r="C1603" s="65" t="n"/>
      <c r="D1603" s="9" t="n"/>
      <c r="E1603" s="66">
        <f>IF($B1603="","",IF(LEFT($B1603,1)="━","⚠️ Chọn hạng mục cụ thể",$C1603*VLOOKUP($B1603,'4. CÀI ĐẶT'!$A$2:$H$32,2,FALSE)))</f>
        <v/>
      </c>
      <c r="F1603" s="67">
        <f>IF($B1603="",0,IF(LEFT($B1603,1)="━",0,$C1603*VLOOKUP($B1603,'4. CÀI ĐẶT'!$A$2:$H$32,3,FALSE)))</f>
        <v/>
      </c>
      <c r="G1603" s="67">
        <f>IF($B1603="",0,IF(LEFT($B1603,1)="━",0,$C1603*VLOOKUP($B1603,'4. CÀI ĐẶT'!$A$2:$H$32,4,FALSE)))</f>
        <v/>
      </c>
      <c r="H1603" s="67">
        <f>IF($B1603="",0,IF(LEFT($B1603,1)="━",0,$C1603*VLOOKUP($B1603,'4. CÀI ĐẶT'!$A$2:$H$32,5,FALSE)))</f>
        <v/>
      </c>
      <c r="I1603">
        <f>IF($B1603="","",IF(LEFT($B1603,1)="━","",VLOOKUP($B1603,'4. CÀI ĐẶT'!$A$2:$H$32,6,FALSE)))</f>
        <v/>
      </c>
      <c r="J1603" s="13">
        <f>IF($A1603="","",EOMONTH($A1603,0))</f>
        <v/>
      </c>
      <c r="K1603" s="67">
        <f>IF($B1603="",0,IF(LEFT($B1603,1)="━",0,$C1603*VLOOKUP($B1603,'4. CÀI ĐẶT'!$A$2:$H$32,7,FALSE)))</f>
        <v/>
      </c>
    </row>
    <row r="1604">
      <c r="A1604" s="8" t="n"/>
      <c r="B1604" s="9" t="n"/>
      <c r="C1604" s="65" t="n"/>
      <c r="D1604" s="9" t="n"/>
      <c r="E1604" s="66">
        <f>IF($B1604="","",IF(LEFT($B1604,1)="━","⚠️ Chọn hạng mục cụ thể",$C1604*VLOOKUP($B1604,'4. CÀI ĐẶT'!$A$2:$H$32,2,FALSE)))</f>
        <v/>
      </c>
      <c r="F1604" s="67">
        <f>IF($B1604="",0,IF(LEFT($B1604,1)="━",0,$C1604*VLOOKUP($B1604,'4. CÀI ĐẶT'!$A$2:$H$32,3,FALSE)))</f>
        <v/>
      </c>
      <c r="G1604" s="67">
        <f>IF($B1604="",0,IF(LEFT($B1604,1)="━",0,$C1604*VLOOKUP($B1604,'4. CÀI ĐẶT'!$A$2:$H$32,4,FALSE)))</f>
        <v/>
      </c>
      <c r="H1604" s="67">
        <f>IF($B1604="",0,IF(LEFT($B1604,1)="━",0,$C1604*VLOOKUP($B1604,'4. CÀI ĐẶT'!$A$2:$H$32,5,FALSE)))</f>
        <v/>
      </c>
      <c r="I1604">
        <f>IF($B1604="","",IF(LEFT($B1604,1)="━","",VLOOKUP($B1604,'4. CÀI ĐẶT'!$A$2:$H$32,6,FALSE)))</f>
        <v/>
      </c>
      <c r="J1604" s="13">
        <f>IF($A1604="","",EOMONTH($A1604,0))</f>
        <v/>
      </c>
      <c r="K1604" s="67">
        <f>IF($B1604="",0,IF(LEFT($B1604,1)="━",0,$C1604*VLOOKUP($B1604,'4. CÀI ĐẶT'!$A$2:$H$32,7,FALSE)))</f>
        <v/>
      </c>
    </row>
    <row r="1605">
      <c r="A1605" s="8" t="n"/>
      <c r="B1605" s="9" t="n"/>
      <c r="C1605" s="65" t="n"/>
      <c r="D1605" s="9" t="n"/>
      <c r="E1605" s="66">
        <f>IF($B1605="","",IF(LEFT($B1605,1)="━","⚠️ Chọn hạng mục cụ thể",$C1605*VLOOKUP($B1605,'4. CÀI ĐẶT'!$A$2:$H$32,2,FALSE)))</f>
        <v/>
      </c>
      <c r="F1605" s="67">
        <f>IF($B1605="",0,IF(LEFT($B1605,1)="━",0,$C1605*VLOOKUP($B1605,'4. CÀI ĐẶT'!$A$2:$H$32,3,FALSE)))</f>
        <v/>
      </c>
      <c r="G1605" s="67">
        <f>IF($B1605="",0,IF(LEFT($B1605,1)="━",0,$C1605*VLOOKUP($B1605,'4. CÀI ĐẶT'!$A$2:$H$32,4,FALSE)))</f>
        <v/>
      </c>
      <c r="H1605" s="67">
        <f>IF($B1605="",0,IF(LEFT($B1605,1)="━",0,$C1605*VLOOKUP($B1605,'4. CÀI ĐẶT'!$A$2:$H$32,5,FALSE)))</f>
        <v/>
      </c>
      <c r="I1605">
        <f>IF($B1605="","",IF(LEFT($B1605,1)="━","",VLOOKUP($B1605,'4. CÀI ĐẶT'!$A$2:$H$32,6,FALSE)))</f>
        <v/>
      </c>
      <c r="J1605" s="13">
        <f>IF($A1605="","",EOMONTH($A1605,0))</f>
        <v/>
      </c>
      <c r="K1605" s="67">
        <f>IF($B1605="",0,IF(LEFT($B1605,1)="━",0,$C1605*VLOOKUP($B1605,'4. CÀI ĐẶT'!$A$2:$H$32,7,FALSE)))</f>
        <v/>
      </c>
    </row>
    <row r="1606">
      <c r="A1606" s="8" t="n"/>
      <c r="B1606" s="9" t="n"/>
      <c r="C1606" s="65" t="n"/>
      <c r="D1606" s="9" t="n"/>
      <c r="E1606" s="66">
        <f>IF($B1606="","",IF(LEFT($B1606,1)="━","⚠️ Chọn hạng mục cụ thể",$C1606*VLOOKUP($B1606,'4. CÀI ĐẶT'!$A$2:$H$32,2,FALSE)))</f>
        <v/>
      </c>
      <c r="F1606" s="67">
        <f>IF($B1606="",0,IF(LEFT($B1606,1)="━",0,$C1606*VLOOKUP($B1606,'4. CÀI ĐẶT'!$A$2:$H$32,3,FALSE)))</f>
        <v/>
      </c>
      <c r="G1606" s="67">
        <f>IF($B1606="",0,IF(LEFT($B1606,1)="━",0,$C1606*VLOOKUP($B1606,'4. CÀI ĐẶT'!$A$2:$H$32,4,FALSE)))</f>
        <v/>
      </c>
      <c r="H1606" s="67">
        <f>IF($B1606="",0,IF(LEFT($B1606,1)="━",0,$C1606*VLOOKUP($B1606,'4. CÀI ĐẶT'!$A$2:$H$32,5,FALSE)))</f>
        <v/>
      </c>
      <c r="I1606">
        <f>IF($B1606="","",IF(LEFT($B1606,1)="━","",VLOOKUP($B1606,'4. CÀI ĐẶT'!$A$2:$H$32,6,FALSE)))</f>
        <v/>
      </c>
      <c r="J1606" s="13">
        <f>IF($A1606="","",EOMONTH($A1606,0))</f>
        <v/>
      </c>
      <c r="K1606" s="67">
        <f>IF($B1606="",0,IF(LEFT($B1606,1)="━",0,$C1606*VLOOKUP($B1606,'4. CÀI ĐẶT'!$A$2:$H$32,7,FALSE)))</f>
        <v/>
      </c>
    </row>
    <row r="1607">
      <c r="A1607" s="8" t="n"/>
      <c r="B1607" s="9" t="n"/>
      <c r="C1607" s="65" t="n"/>
      <c r="D1607" s="9" t="n"/>
      <c r="E1607" s="66">
        <f>IF($B1607="","",IF(LEFT($B1607,1)="━","⚠️ Chọn hạng mục cụ thể",$C1607*VLOOKUP($B1607,'4. CÀI ĐẶT'!$A$2:$H$32,2,FALSE)))</f>
        <v/>
      </c>
      <c r="F1607" s="67">
        <f>IF($B1607="",0,IF(LEFT($B1607,1)="━",0,$C1607*VLOOKUP($B1607,'4. CÀI ĐẶT'!$A$2:$H$32,3,FALSE)))</f>
        <v/>
      </c>
      <c r="G1607" s="67">
        <f>IF($B1607="",0,IF(LEFT($B1607,1)="━",0,$C1607*VLOOKUP($B1607,'4. CÀI ĐẶT'!$A$2:$H$32,4,FALSE)))</f>
        <v/>
      </c>
      <c r="H1607" s="67">
        <f>IF($B1607="",0,IF(LEFT($B1607,1)="━",0,$C1607*VLOOKUP($B1607,'4. CÀI ĐẶT'!$A$2:$H$32,5,FALSE)))</f>
        <v/>
      </c>
      <c r="I1607">
        <f>IF($B1607="","",IF(LEFT($B1607,1)="━","",VLOOKUP($B1607,'4. CÀI ĐẶT'!$A$2:$H$32,6,FALSE)))</f>
        <v/>
      </c>
      <c r="J1607" s="13">
        <f>IF($A1607="","",EOMONTH($A1607,0))</f>
        <v/>
      </c>
      <c r="K1607" s="67">
        <f>IF($B1607="",0,IF(LEFT($B1607,1)="━",0,$C1607*VLOOKUP($B1607,'4. CÀI ĐẶT'!$A$2:$H$32,7,FALSE)))</f>
        <v/>
      </c>
    </row>
    <row r="1608">
      <c r="A1608" s="8" t="n"/>
      <c r="B1608" s="9" t="n"/>
      <c r="C1608" s="65" t="n"/>
      <c r="D1608" s="9" t="n"/>
      <c r="E1608" s="66">
        <f>IF($B1608="","",IF(LEFT($B1608,1)="━","⚠️ Chọn hạng mục cụ thể",$C1608*VLOOKUP($B1608,'4. CÀI ĐẶT'!$A$2:$H$32,2,FALSE)))</f>
        <v/>
      </c>
      <c r="F1608" s="67">
        <f>IF($B1608="",0,IF(LEFT($B1608,1)="━",0,$C1608*VLOOKUP($B1608,'4. CÀI ĐẶT'!$A$2:$H$32,3,FALSE)))</f>
        <v/>
      </c>
      <c r="G1608" s="67">
        <f>IF($B1608="",0,IF(LEFT($B1608,1)="━",0,$C1608*VLOOKUP($B1608,'4. CÀI ĐẶT'!$A$2:$H$32,4,FALSE)))</f>
        <v/>
      </c>
      <c r="H1608" s="67">
        <f>IF($B1608="",0,IF(LEFT($B1608,1)="━",0,$C1608*VLOOKUP($B1608,'4. CÀI ĐẶT'!$A$2:$H$32,5,FALSE)))</f>
        <v/>
      </c>
      <c r="I1608">
        <f>IF($B1608="","",IF(LEFT($B1608,1)="━","",VLOOKUP($B1608,'4. CÀI ĐẶT'!$A$2:$H$32,6,FALSE)))</f>
        <v/>
      </c>
      <c r="J1608" s="13">
        <f>IF($A1608="","",EOMONTH($A1608,0))</f>
        <v/>
      </c>
      <c r="K1608" s="67">
        <f>IF($B1608="",0,IF(LEFT($B1608,1)="━",0,$C1608*VLOOKUP($B1608,'4. CÀI ĐẶT'!$A$2:$H$32,7,FALSE)))</f>
        <v/>
      </c>
    </row>
    <row r="1609">
      <c r="A1609" s="8" t="n"/>
      <c r="B1609" s="9" t="n"/>
      <c r="C1609" s="65" t="n"/>
      <c r="D1609" s="9" t="n"/>
      <c r="E1609" s="66">
        <f>IF($B1609="","",IF(LEFT($B1609,1)="━","⚠️ Chọn hạng mục cụ thể",$C1609*VLOOKUP($B1609,'4. CÀI ĐẶT'!$A$2:$H$32,2,FALSE)))</f>
        <v/>
      </c>
      <c r="F1609" s="67">
        <f>IF($B1609="",0,IF(LEFT($B1609,1)="━",0,$C1609*VLOOKUP($B1609,'4. CÀI ĐẶT'!$A$2:$H$32,3,FALSE)))</f>
        <v/>
      </c>
      <c r="G1609" s="67">
        <f>IF($B1609="",0,IF(LEFT($B1609,1)="━",0,$C1609*VLOOKUP($B1609,'4. CÀI ĐẶT'!$A$2:$H$32,4,FALSE)))</f>
        <v/>
      </c>
      <c r="H1609" s="67">
        <f>IF($B1609="",0,IF(LEFT($B1609,1)="━",0,$C1609*VLOOKUP($B1609,'4. CÀI ĐẶT'!$A$2:$H$32,5,FALSE)))</f>
        <v/>
      </c>
      <c r="I1609">
        <f>IF($B1609="","",IF(LEFT($B1609,1)="━","",VLOOKUP($B1609,'4. CÀI ĐẶT'!$A$2:$H$32,6,FALSE)))</f>
        <v/>
      </c>
      <c r="J1609" s="13">
        <f>IF($A1609="","",EOMONTH($A1609,0))</f>
        <v/>
      </c>
      <c r="K1609" s="67">
        <f>IF($B1609="",0,IF(LEFT($B1609,1)="━",0,$C1609*VLOOKUP($B1609,'4. CÀI ĐẶT'!$A$2:$H$32,7,FALSE)))</f>
        <v/>
      </c>
    </row>
    <row r="1610">
      <c r="A1610" s="8" t="n"/>
      <c r="B1610" s="9" t="n"/>
      <c r="C1610" s="65" t="n"/>
      <c r="D1610" s="9" t="n"/>
      <c r="E1610" s="66">
        <f>IF($B1610="","",IF(LEFT($B1610,1)="━","⚠️ Chọn hạng mục cụ thể",$C1610*VLOOKUP($B1610,'4. CÀI ĐẶT'!$A$2:$H$32,2,FALSE)))</f>
        <v/>
      </c>
      <c r="F1610" s="67">
        <f>IF($B1610="",0,IF(LEFT($B1610,1)="━",0,$C1610*VLOOKUP($B1610,'4. CÀI ĐẶT'!$A$2:$H$32,3,FALSE)))</f>
        <v/>
      </c>
      <c r="G1610" s="67">
        <f>IF($B1610="",0,IF(LEFT($B1610,1)="━",0,$C1610*VLOOKUP($B1610,'4. CÀI ĐẶT'!$A$2:$H$32,4,FALSE)))</f>
        <v/>
      </c>
      <c r="H1610" s="67">
        <f>IF($B1610="",0,IF(LEFT($B1610,1)="━",0,$C1610*VLOOKUP($B1610,'4. CÀI ĐẶT'!$A$2:$H$32,5,FALSE)))</f>
        <v/>
      </c>
      <c r="I1610">
        <f>IF($B1610="","",IF(LEFT($B1610,1)="━","",VLOOKUP($B1610,'4. CÀI ĐẶT'!$A$2:$H$32,6,FALSE)))</f>
        <v/>
      </c>
      <c r="J1610" s="13">
        <f>IF($A1610="","",EOMONTH($A1610,0))</f>
        <v/>
      </c>
      <c r="K1610" s="67">
        <f>IF($B1610="",0,IF(LEFT($B1610,1)="━",0,$C1610*VLOOKUP($B1610,'4. CÀI ĐẶT'!$A$2:$H$32,7,FALSE)))</f>
        <v/>
      </c>
    </row>
    <row r="1611">
      <c r="A1611" s="8" t="n"/>
      <c r="B1611" s="9" t="n"/>
      <c r="C1611" s="65" t="n"/>
      <c r="D1611" s="9" t="n"/>
      <c r="E1611" s="66">
        <f>IF($B1611="","",IF(LEFT($B1611,1)="━","⚠️ Chọn hạng mục cụ thể",$C1611*VLOOKUP($B1611,'4. CÀI ĐẶT'!$A$2:$H$32,2,FALSE)))</f>
        <v/>
      </c>
      <c r="F1611" s="67">
        <f>IF($B1611="",0,IF(LEFT($B1611,1)="━",0,$C1611*VLOOKUP($B1611,'4. CÀI ĐẶT'!$A$2:$H$32,3,FALSE)))</f>
        <v/>
      </c>
      <c r="G1611" s="67">
        <f>IF($B1611="",0,IF(LEFT($B1611,1)="━",0,$C1611*VLOOKUP($B1611,'4. CÀI ĐẶT'!$A$2:$H$32,4,FALSE)))</f>
        <v/>
      </c>
      <c r="H1611" s="67">
        <f>IF($B1611="",0,IF(LEFT($B1611,1)="━",0,$C1611*VLOOKUP($B1611,'4. CÀI ĐẶT'!$A$2:$H$32,5,FALSE)))</f>
        <v/>
      </c>
      <c r="I1611">
        <f>IF($B1611="","",IF(LEFT($B1611,1)="━","",VLOOKUP($B1611,'4. CÀI ĐẶT'!$A$2:$H$32,6,FALSE)))</f>
        <v/>
      </c>
      <c r="J1611" s="13">
        <f>IF($A1611="","",EOMONTH($A1611,0))</f>
        <v/>
      </c>
      <c r="K1611" s="67">
        <f>IF($B1611="",0,IF(LEFT($B1611,1)="━",0,$C1611*VLOOKUP($B1611,'4. CÀI ĐẶT'!$A$2:$H$32,7,FALSE)))</f>
        <v/>
      </c>
    </row>
    <row r="1612">
      <c r="A1612" s="8" t="n"/>
      <c r="B1612" s="9" t="n"/>
      <c r="C1612" s="65" t="n"/>
      <c r="D1612" s="9" t="n"/>
      <c r="E1612" s="66">
        <f>IF($B1612="","",IF(LEFT($B1612,1)="━","⚠️ Chọn hạng mục cụ thể",$C1612*VLOOKUP($B1612,'4. CÀI ĐẶT'!$A$2:$H$32,2,FALSE)))</f>
        <v/>
      </c>
      <c r="F1612" s="67">
        <f>IF($B1612="",0,IF(LEFT($B1612,1)="━",0,$C1612*VLOOKUP($B1612,'4. CÀI ĐẶT'!$A$2:$H$32,3,FALSE)))</f>
        <v/>
      </c>
      <c r="G1612" s="67">
        <f>IF($B1612="",0,IF(LEFT($B1612,1)="━",0,$C1612*VLOOKUP($B1612,'4. CÀI ĐẶT'!$A$2:$H$32,4,FALSE)))</f>
        <v/>
      </c>
      <c r="H1612" s="67">
        <f>IF($B1612="",0,IF(LEFT($B1612,1)="━",0,$C1612*VLOOKUP($B1612,'4. CÀI ĐẶT'!$A$2:$H$32,5,FALSE)))</f>
        <v/>
      </c>
      <c r="I1612">
        <f>IF($B1612="","",IF(LEFT($B1612,1)="━","",VLOOKUP($B1612,'4. CÀI ĐẶT'!$A$2:$H$32,6,FALSE)))</f>
        <v/>
      </c>
      <c r="J1612" s="13">
        <f>IF($A1612="","",EOMONTH($A1612,0))</f>
        <v/>
      </c>
      <c r="K1612" s="67">
        <f>IF($B1612="",0,IF(LEFT($B1612,1)="━",0,$C1612*VLOOKUP($B1612,'4. CÀI ĐẶT'!$A$2:$H$32,7,FALSE)))</f>
        <v/>
      </c>
    </row>
    <row r="1613">
      <c r="A1613" s="8" t="n"/>
      <c r="B1613" s="9" t="n"/>
      <c r="C1613" s="65" t="n"/>
      <c r="D1613" s="9" t="n"/>
      <c r="E1613" s="66">
        <f>IF($B1613="","",IF(LEFT($B1613,1)="━","⚠️ Chọn hạng mục cụ thể",$C1613*VLOOKUP($B1613,'4. CÀI ĐẶT'!$A$2:$H$32,2,FALSE)))</f>
        <v/>
      </c>
      <c r="F1613" s="67">
        <f>IF($B1613="",0,IF(LEFT($B1613,1)="━",0,$C1613*VLOOKUP($B1613,'4. CÀI ĐẶT'!$A$2:$H$32,3,FALSE)))</f>
        <v/>
      </c>
      <c r="G1613" s="67">
        <f>IF($B1613="",0,IF(LEFT($B1613,1)="━",0,$C1613*VLOOKUP($B1613,'4. CÀI ĐẶT'!$A$2:$H$32,4,FALSE)))</f>
        <v/>
      </c>
      <c r="H1613" s="67">
        <f>IF($B1613="",0,IF(LEFT($B1613,1)="━",0,$C1613*VLOOKUP($B1613,'4. CÀI ĐẶT'!$A$2:$H$32,5,FALSE)))</f>
        <v/>
      </c>
      <c r="I1613">
        <f>IF($B1613="","",IF(LEFT($B1613,1)="━","",VLOOKUP($B1613,'4. CÀI ĐẶT'!$A$2:$H$32,6,FALSE)))</f>
        <v/>
      </c>
      <c r="J1613" s="13">
        <f>IF($A1613="","",EOMONTH($A1613,0))</f>
        <v/>
      </c>
      <c r="K1613" s="67">
        <f>IF($B1613="",0,IF(LEFT($B1613,1)="━",0,$C1613*VLOOKUP($B1613,'4. CÀI ĐẶT'!$A$2:$H$32,7,FALSE)))</f>
        <v/>
      </c>
    </row>
    <row r="1614">
      <c r="A1614" s="8" t="n"/>
      <c r="B1614" s="9" t="n"/>
      <c r="C1614" s="65" t="n"/>
      <c r="D1614" s="9" t="n"/>
      <c r="E1614" s="66">
        <f>IF($B1614="","",IF(LEFT($B1614,1)="━","⚠️ Chọn hạng mục cụ thể",$C1614*VLOOKUP($B1614,'4. CÀI ĐẶT'!$A$2:$H$32,2,FALSE)))</f>
        <v/>
      </c>
      <c r="F1614" s="67">
        <f>IF($B1614="",0,IF(LEFT($B1614,1)="━",0,$C1614*VLOOKUP($B1614,'4. CÀI ĐẶT'!$A$2:$H$32,3,FALSE)))</f>
        <v/>
      </c>
      <c r="G1614" s="67">
        <f>IF($B1614="",0,IF(LEFT($B1614,1)="━",0,$C1614*VLOOKUP($B1614,'4. CÀI ĐẶT'!$A$2:$H$32,4,FALSE)))</f>
        <v/>
      </c>
      <c r="H1614" s="67">
        <f>IF($B1614="",0,IF(LEFT($B1614,1)="━",0,$C1614*VLOOKUP($B1614,'4. CÀI ĐẶT'!$A$2:$H$32,5,FALSE)))</f>
        <v/>
      </c>
      <c r="I1614">
        <f>IF($B1614="","",IF(LEFT($B1614,1)="━","",VLOOKUP($B1614,'4. CÀI ĐẶT'!$A$2:$H$32,6,FALSE)))</f>
        <v/>
      </c>
      <c r="J1614" s="13">
        <f>IF($A1614="","",EOMONTH($A1614,0))</f>
        <v/>
      </c>
      <c r="K1614" s="67">
        <f>IF($B1614="",0,IF(LEFT($B1614,1)="━",0,$C1614*VLOOKUP($B1614,'4. CÀI ĐẶT'!$A$2:$H$32,7,FALSE)))</f>
        <v/>
      </c>
    </row>
    <row r="1615">
      <c r="A1615" s="8" t="n"/>
      <c r="B1615" s="9" t="n"/>
      <c r="C1615" s="65" t="n"/>
      <c r="D1615" s="9" t="n"/>
      <c r="E1615" s="66">
        <f>IF($B1615="","",IF(LEFT($B1615,1)="━","⚠️ Chọn hạng mục cụ thể",$C1615*VLOOKUP($B1615,'4. CÀI ĐẶT'!$A$2:$H$32,2,FALSE)))</f>
        <v/>
      </c>
      <c r="F1615" s="67">
        <f>IF($B1615="",0,IF(LEFT($B1615,1)="━",0,$C1615*VLOOKUP($B1615,'4. CÀI ĐẶT'!$A$2:$H$32,3,FALSE)))</f>
        <v/>
      </c>
      <c r="G1615" s="67">
        <f>IF($B1615="",0,IF(LEFT($B1615,1)="━",0,$C1615*VLOOKUP($B1615,'4. CÀI ĐẶT'!$A$2:$H$32,4,FALSE)))</f>
        <v/>
      </c>
      <c r="H1615" s="67">
        <f>IF($B1615="",0,IF(LEFT($B1615,1)="━",0,$C1615*VLOOKUP($B1615,'4. CÀI ĐẶT'!$A$2:$H$32,5,FALSE)))</f>
        <v/>
      </c>
      <c r="I1615">
        <f>IF($B1615="","",IF(LEFT($B1615,1)="━","",VLOOKUP($B1615,'4. CÀI ĐẶT'!$A$2:$H$32,6,FALSE)))</f>
        <v/>
      </c>
      <c r="J1615" s="13">
        <f>IF($A1615="","",EOMONTH($A1615,0))</f>
        <v/>
      </c>
      <c r="K1615" s="67">
        <f>IF($B1615="",0,IF(LEFT($B1615,1)="━",0,$C1615*VLOOKUP($B1615,'4. CÀI ĐẶT'!$A$2:$H$32,7,FALSE)))</f>
        <v/>
      </c>
    </row>
    <row r="1616">
      <c r="A1616" s="8" t="n"/>
      <c r="B1616" s="9" t="n"/>
      <c r="C1616" s="65" t="n"/>
      <c r="D1616" s="9" t="n"/>
      <c r="E1616" s="66">
        <f>IF($B1616="","",IF(LEFT($B1616,1)="━","⚠️ Chọn hạng mục cụ thể",$C1616*VLOOKUP($B1616,'4. CÀI ĐẶT'!$A$2:$H$32,2,FALSE)))</f>
        <v/>
      </c>
      <c r="F1616" s="67">
        <f>IF($B1616="",0,IF(LEFT($B1616,1)="━",0,$C1616*VLOOKUP($B1616,'4. CÀI ĐẶT'!$A$2:$H$32,3,FALSE)))</f>
        <v/>
      </c>
      <c r="G1616" s="67">
        <f>IF($B1616="",0,IF(LEFT($B1616,1)="━",0,$C1616*VLOOKUP($B1616,'4. CÀI ĐẶT'!$A$2:$H$32,4,FALSE)))</f>
        <v/>
      </c>
      <c r="H1616" s="67">
        <f>IF($B1616="",0,IF(LEFT($B1616,1)="━",0,$C1616*VLOOKUP($B1616,'4. CÀI ĐẶT'!$A$2:$H$32,5,FALSE)))</f>
        <v/>
      </c>
      <c r="I1616">
        <f>IF($B1616="","",IF(LEFT($B1616,1)="━","",VLOOKUP($B1616,'4. CÀI ĐẶT'!$A$2:$H$32,6,FALSE)))</f>
        <v/>
      </c>
      <c r="J1616" s="13">
        <f>IF($A1616="","",EOMONTH($A1616,0))</f>
        <v/>
      </c>
      <c r="K1616" s="67">
        <f>IF($B1616="",0,IF(LEFT($B1616,1)="━",0,$C1616*VLOOKUP($B1616,'4. CÀI ĐẶT'!$A$2:$H$32,7,FALSE)))</f>
        <v/>
      </c>
    </row>
    <row r="1617">
      <c r="A1617" s="8" t="n"/>
      <c r="B1617" s="9" t="n"/>
      <c r="C1617" s="65" t="n"/>
      <c r="D1617" s="9" t="n"/>
      <c r="E1617" s="66">
        <f>IF($B1617="","",IF(LEFT($B1617,1)="━","⚠️ Chọn hạng mục cụ thể",$C1617*VLOOKUP($B1617,'4. CÀI ĐẶT'!$A$2:$H$32,2,FALSE)))</f>
        <v/>
      </c>
      <c r="F1617" s="67">
        <f>IF($B1617="",0,IF(LEFT($B1617,1)="━",0,$C1617*VLOOKUP($B1617,'4. CÀI ĐẶT'!$A$2:$H$32,3,FALSE)))</f>
        <v/>
      </c>
      <c r="G1617" s="67">
        <f>IF($B1617="",0,IF(LEFT($B1617,1)="━",0,$C1617*VLOOKUP($B1617,'4. CÀI ĐẶT'!$A$2:$H$32,4,FALSE)))</f>
        <v/>
      </c>
      <c r="H1617" s="67">
        <f>IF($B1617="",0,IF(LEFT($B1617,1)="━",0,$C1617*VLOOKUP($B1617,'4. CÀI ĐẶT'!$A$2:$H$32,5,FALSE)))</f>
        <v/>
      </c>
      <c r="I1617">
        <f>IF($B1617="","",IF(LEFT($B1617,1)="━","",VLOOKUP($B1617,'4. CÀI ĐẶT'!$A$2:$H$32,6,FALSE)))</f>
        <v/>
      </c>
      <c r="J1617" s="13">
        <f>IF($A1617="","",EOMONTH($A1617,0))</f>
        <v/>
      </c>
      <c r="K1617" s="67">
        <f>IF($B1617="",0,IF(LEFT($B1617,1)="━",0,$C1617*VLOOKUP($B1617,'4. CÀI ĐẶT'!$A$2:$H$32,7,FALSE)))</f>
        <v/>
      </c>
    </row>
    <row r="1618">
      <c r="A1618" s="8" t="n"/>
      <c r="B1618" s="9" t="n"/>
      <c r="C1618" s="65" t="n"/>
      <c r="D1618" s="9" t="n"/>
      <c r="E1618" s="66">
        <f>IF($B1618="","",IF(LEFT($B1618,1)="━","⚠️ Chọn hạng mục cụ thể",$C1618*VLOOKUP($B1618,'4. CÀI ĐẶT'!$A$2:$H$32,2,FALSE)))</f>
        <v/>
      </c>
      <c r="F1618" s="67">
        <f>IF($B1618="",0,IF(LEFT($B1618,1)="━",0,$C1618*VLOOKUP($B1618,'4. CÀI ĐẶT'!$A$2:$H$32,3,FALSE)))</f>
        <v/>
      </c>
      <c r="G1618" s="67">
        <f>IF($B1618="",0,IF(LEFT($B1618,1)="━",0,$C1618*VLOOKUP($B1618,'4. CÀI ĐẶT'!$A$2:$H$32,4,FALSE)))</f>
        <v/>
      </c>
      <c r="H1618" s="67">
        <f>IF($B1618="",0,IF(LEFT($B1618,1)="━",0,$C1618*VLOOKUP($B1618,'4. CÀI ĐẶT'!$A$2:$H$32,5,FALSE)))</f>
        <v/>
      </c>
      <c r="I1618">
        <f>IF($B1618="","",IF(LEFT($B1618,1)="━","",VLOOKUP($B1618,'4. CÀI ĐẶT'!$A$2:$H$32,6,FALSE)))</f>
        <v/>
      </c>
      <c r="J1618" s="13">
        <f>IF($A1618="","",EOMONTH($A1618,0))</f>
        <v/>
      </c>
      <c r="K1618" s="67">
        <f>IF($B1618="",0,IF(LEFT($B1618,1)="━",0,$C1618*VLOOKUP($B1618,'4. CÀI ĐẶT'!$A$2:$H$32,7,FALSE)))</f>
        <v/>
      </c>
    </row>
    <row r="1619">
      <c r="A1619" s="8" t="n"/>
      <c r="B1619" s="9" t="n"/>
      <c r="C1619" s="65" t="n"/>
      <c r="D1619" s="9" t="n"/>
      <c r="E1619" s="66">
        <f>IF($B1619="","",IF(LEFT($B1619,1)="━","⚠️ Chọn hạng mục cụ thể",$C1619*VLOOKUP($B1619,'4. CÀI ĐẶT'!$A$2:$H$32,2,FALSE)))</f>
        <v/>
      </c>
      <c r="F1619" s="67">
        <f>IF($B1619="",0,IF(LEFT($B1619,1)="━",0,$C1619*VLOOKUP($B1619,'4. CÀI ĐẶT'!$A$2:$H$32,3,FALSE)))</f>
        <v/>
      </c>
      <c r="G1619" s="67">
        <f>IF($B1619="",0,IF(LEFT($B1619,1)="━",0,$C1619*VLOOKUP($B1619,'4. CÀI ĐẶT'!$A$2:$H$32,4,FALSE)))</f>
        <v/>
      </c>
      <c r="H1619" s="67">
        <f>IF($B1619="",0,IF(LEFT($B1619,1)="━",0,$C1619*VLOOKUP($B1619,'4. CÀI ĐẶT'!$A$2:$H$32,5,FALSE)))</f>
        <v/>
      </c>
      <c r="I1619">
        <f>IF($B1619="","",IF(LEFT($B1619,1)="━","",VLOOKUP($B1619,'4. CÀI ĐẶT'!$A$2:$H$32,6,FALSE)))</f>
        <v/>
      </c>
      <c r="J1619" s="13">
        <f>IF($A1619="","",EOMONTH($A1619,0))</f>
        <v/>
      </c>
      <c r="K1619" s="67">
        <f>IF($B1619="",0,IF(LEFT($B1619,1)="━",0,$C1619*VLOOKUP($B1619,'4. CÀI ĐẶT'!$A$2:$H$32,7,FALSE)))</f>
        <v/>
      </c>
    </row>
    <row r="1620">
      <c r="A1620" s="8" t="n"/>
      <c r="B1620" s="9" t="n"/>
      <c r="C1620" s="65" t="n"/>
      <c r="D1620" s="9" t="n"/>
      <c r="E1620" s="66">
        <f>IF($B1620="","",IF(LEFT($B1620,1)="━","⚠️ Chọn hạng mục cụ thể",$C1620*VLOOKUP($B1620,'4. CÀI ĐẶT'!$A$2:$H$32,2,FALSE)))</f>
        <v/>
      </c>
      <c r="F1620" s="67">
        <f>IF($B1620="",0,IF(LEFT($B1620,1)="━",0,$C1620*VLOOKUP($B1620,'4. CÀI ĐẶT'!$A$2:$H$32,3,FALSE)))</f>
        <v/>
      </c>
      <c r="G1620" s="67">
        <f>IF($B1620="",0,IF(LEFT($B1620,1)="━",0,$C1620*VLOOKUP($B1620,'4. CÀI ĐẶT'!$A$2:$H$32,4,FALSE)))</f>
        <v/>
      </c>
      <c r="H1620" s="67">
        <f>IF($B1620="",0,IF(LEFT($B1620,1)="━",0,$C1620*VLOOKUP($B1620,'4. CÀI ĐẶT'!$A$2:$H$32,5,FALSE)))</f>
        <v/>
      </c>
      <c r="I1620">
        <f>IF($B1620="","",IF(LEFT($B1620,1)="━","",VLOOKUP($B1620,'4. CÀI ĐẶT'!$A$2:$H$32,6,FALSE)))</f>
        <v/>
      </c>
      <c r="J1620" s="13">
        <f>IF($A1620="","",EOMONTH($A1620,0))</f>
        <v/>
      </c>
      <c r="K1620" s="67">
        <f>IF($B1620="",0,IF(LEFT($B1620,1)="━",0,$C1620*VLOOKUP($B1620,'4. CÀI ĐẶT'!$A$2:$H$32,7,FALSE)))</f>
        <v/>
      </c>
    </row>
    <row r="1621">
      <c r="A1621" s="8" t="n"/>
      <c r="B1621" s="9" t="n"/>
      <c r="C1621" s="65" t="n"/>
      <c r="D1621" s="9" t="n"/>
      <c r="E1621" s="66">
        <f>IF($B1621="","",IF(LEFT($B1621,1)="━","⚠️ Chọn hạng mục cụ thể",$C1621*VLOOKUP($B1621,'4. CÀI ĐẶT'!$A$2:$H$32,2,FALSE)))</f>
        <v/>
      </c>
      <c r="F1621" s="67">
        <f>IF($B1621="",0,IF(LEFT($B1621,1)="━",0,$C1621*VLOOKUP($B1621,'4. CÀI ĐẶT'!$A$2:$H$32,3,FALSE)))</f>
        <v/>
      </c>
      <c r="G1621" s="67">
        <f>IF($B1621="",0,IF(LEFT($B1621,1)="━",0,$C1621*VLOOKUP($B1621,'4. CÀI ĐẶT'!$A$2:$H$32,4,FALSE)))</f>
        <v/>
      </c>
      <c r="H1621" s="67">
        <f>IF($B1621="",0,IF(LEFT($B1621,1)="━",0,$C1621*VLOOKUP($B1621,'4. CÀI ĐẶT'!$A$2:$H$32,5,FALSE)))</f>
        <v/>
      </c>
      <c r="I1621">
        <f>IF($B1621="","",IF(LEFT($B1621,1)="━","",VLOOKUP($B1621,'4. CÀI ĐẶT'!$A$2:$H$32,6,FALSE)))</f>
        <v/>
      </c>
      <c r="J1621" s="13">
        <f>IF($A1621="","",EOMONTH($A1621,0))</f>
        <v/>
      </c>
      <c r="K1621" s="67">
        <f>IF($B1621="",0,IF(LEFT($B1621,1)="━",0,$C1621*VLOOKUP($B1621,'4. CÀI ĐẶT'!$A$2:$H$32,7,FALSE)))</f>
        <v/>
      </c>
    </row>
    <row r="1622">
      <c r="A1622" s="8" t="n"/>
      <c r="B1622" s="9" t="n"/>
      <c r="C1622" s="65" t="n"/>
      <c r="D1622" s="9" t="n"/>
      <c r="E1622" s="66">
        <f>IF($B1622="","",IF(LEFT($B1622,1)="━","⚠️ Chọn hạng mục cụ thể",$C1622*VLOOKUP($B1622,'4. CÀI ĐẶT'!$A$2:$H$32,2,FALSE)))</f>
        <v/>
      </c>
      <c r="F1622" s="67">
        <f>IF($B1622="",0,IF(LEFT($B1622,1)="━",0,$C1622*VLOOKUP($B1622,'4. CÀI ĐẶT'!$A$2:$H$32,3,FALSE)))</f>
        <v/>
      </c>
      <c r="G1622" s="67">
        <f>IF($B1622="",0,IF(LEFT($B1622,1)="━",0,$C1622*VLOOKUP($B1622,'4. CÀI ĐẶT'!$A$2:$H$32,4,FALSE)))</f>
        <v/>
      </c>
      <c r="H1622" s="67">
        <f>IF($B1622="",0,IF(LEFT($B1622,1)="━",0,$C1622*VLOOKUP($B1622,'4. CÀI ĐẶT'!$A$2:$H$32,5,FALSE)))</f>
        <v/>
      </c>
      <c r="I1622">
        <f>IF($B1622="","",IF(LEFT($B1622,1)="━","",VLOOKUP($B1622,'4. CÀI ĐẶT'!$A$2:$H$32,6,FALSE)))</f>
        <v/>
      </c>
      <c r="J1622" s="13">
        <f>IF($A1622="","",EOMONTH($A1622,0))</f>
        <v/>
      </c>
      <c r="K1622" s="67">
        <f>IF($B1622="",0,IF(LEFT($B1622,1)="━",0,$C1622*VLOOKUP($B1622,'4. CÀI ĐẶT'!$A$2:$H$32,7,FALSE)))</f>
        <v/>
      </c>
    </row>
    <row r="1623">
      <c r="A1623" s="8" t="n"/>
      <c r="B1623" s="9" t="n"/>
      <c r="C1623" s="65" t="n"/>
      <c r="D1623" s="9" t="n"/>
      <c r="E1623" s="66">
        <f>IF($B1623="","",IF(LEFT($B1623,1)="━","⚠️ Chọn hạng mục cụ thể",$C1623*VLOOKUP($B1623,'4. CÀI ĐẶT'!$A$2:$H$32,2,FALSE)))</f>
        <v/>
      </c>
      <c r="F1623" s="67">
        <f>IF($B1623="",0,IF(LEFT($B1623,1)="━",0,$C1623*VLOOKUP($B1623,'4. CÀI ĐẶT'!$A$2:$H$32,3,FALSE)))</f>
        <v/>
      </c>
      <c r="G1623" s="67">
        <f>IF($B1623="",0,IF(LEFT($B1623,1)="━",0,$C1623*VLOOKUP($B1623,'4. CÀI ĐẶT'!$A$2:$H$32,4,FALSE)))</f>
        <v/>
      </c>
      <c r="H1623" s="67">
        <f>IF($B1623="",0,IF(LEFT($B1623,1)="━",0,$C1623*VLOOKUP($B1623,'4. CÀI ĐẶT'!$A$2:$H$32,5,FALSE)))</f>
        <v/>
      </c>
      <c r="I1623">
        <f>IF($B1623="","",IF(LEFT($B1623,1)="━","",VLOOKUP($B1623,'4. CÀI ĐẶT'!$A$2:$H$32,6,FALSE)))</f>
        <v/>
      </c>
      <c r="J1623" s="13">
        <f>IF($A1623="","",EOMONTH($A1623,0))</f>
        <v/>
      </c>
      <c r="K1623" s="67">
        <f>IF($B1623="",0,IF(LEFT($B1623,1)="━",0,$C1623*VLOOKUP($B1623,'4. CÀI ĐẶT'!$A$2:$H$32,7,FALSE)))</f>
        <v/>
      </c>
    </row>
    <row r="1624">
      <c r="A1624" s="8" t="n"/>
      <c r="B1624" s="9" t="n"/>
      <c r="C1624" s="65" t="n"/>
      <c r="D1624" s="9" t="n"/>
      <c r="E1624" s="66">
        <f>IF($B1624="","",IF(LEFT($B1624,1)="━","⚠️ Chọn hạng mục cụ thể",$C1624*VLOOKUP($B1624,'4. CÀI ĐẶT'!$A$2:$H$32,2,FALSE)))</f>
        <v/>
      </c>
      <c r="F1624" s="67">
        <f>IF($B1624="",0,IF(LEFT($B1624,1)="━",0,$C1624*VLOOKUP($B1624,'4. CÀI ĐẶT'!$A$2:$H$32,3,FALSE)))</f>
        <v/>
      </c>
      <c r="G1624" s="67">
        <f>IF($B1624="",0,IF(LEFT($B1624,1)="━",0,$C1624*VLOOKUP($B1624,'4. CÀI ĐẶT'!$A$2:$H$32,4,FALSE)))</f>
        <v/>
      </c>
      <c r="H1624" s="67">
        <f>IF($B1624="",0,IF(LEFT($B1624,1)="━",0,$C1624*VLOOKUP($B1624,'4. CÀI ĐẶT'!$A$2:$H$32,5,FALSE)))</f>
        <v/>
      </c>
      <c r="I1624">
        <f>IF($B1624="","",IF(LEFT($B1624,1)="━","",VLOOKUP($B1624,'4. CÀI ĐẶT'!$A$2:$H$32,6,FALSE)))</f>
        <v/>
      </c>
      <c r="J1624" s="13">
        <f>IF($A1624="","",EOMONTH($A1624,0))</f>
        <v/>
      </c>
      <c r="K1624" s="67">
        <f>IF($B1624="",0,IF(LEFT($B1624,1)="━",0,$C1624*VLOOKUP($B1624,'4. CÀI ĐẶT'!$A$2:$H$32,7,FALSE)))</f>
        <v/>
      </c>
    </row>
    <row r="1625">
      <c r="A1625" s="8" t="n"/>
      <c r="B1625" s="9" t="n"/>
      <c r="C1625" s="65" t="n"/>
      <c r="D1625" s="9" t="n"/>
      <c r="E1625" s="66">
        <f>IF($B1625="","",IF(LEFT($B1625,1)="━","⚠️ Chọn hạng mục cụ thể",$C1625*VLOOKUP($B1625,'4. CÀI ĐẶT'!$A$2:$H$32,2,FALSE)))</f>
        <v/>
      </c>
      <c r="F1625" s="67">
        <f>IF($B1625="",0,IF(LEFT($B1625,1)="━",0,$C1625*VLOOKUP($B1625,'4. CÀI ĐẶT'!$A$2:$H$32,3,FALSE)))</f>
        <v/>
      </c>
      <c r="G1625" s="67">
        <f>IF($B1625="",0,IF(LEFT($B1625,1)="━",0,$C1625*VLOOKUP($B1625,'4. CÀI ĐẶT'!$A$2:$H$32,4,FALSE)))</f>
        <v/>
      </c>
      <c r="H1625" s="67">
        <f>IF($B1625="",0,IF(LEFT($B1625,1)="━",0,$C1625*VLOOKUP($B1625,'4. CÀI ĐẶT'!$A$2:$H$32,5,FALSE)))</f>
        <v/>
      </c>
      <c r="I1625">
        <f>IF($B1625="","",IF(LEFT($B1625,1)="━","",VLOOKUP($B1625,'4. CÀI ĐẶT'!$A$2:$H$32,6,FALSE)))</f>
        <v/>
      </c>
      <c r="J1625" s="13">
        <f>IF($A1625="","",EOMONTH($A1625,0))</f>
        <v/>
      </c>
      <c r="K1625" s="67">
        <f>IF($B1625="",0,IF(LEFT($B1625,1)="━",0,$C1625*VLOOKUP($B1625,'4. CÀI ĐẶT'!$A$2:$H$32,7,FALSE)))</f>
        <v/>
      </c>
    </row>
    <row r="1626">
      <c r="A1626" s="8" t="n"/>
      <c r="B1626" s="9" t="n"/>
      <c r="C1626" s="65" t="n"/>
      <c r="D1626" s="9" t="n"/>
      <c r="E1626" s="66">
        <f>IF($B1626="","",IF(LEFT($B1626,1)="━","⚠️ Chọn hạng mục cụ thể",$C1626*VLOOKUP($B1626,'4. CÀI ĐẶT'!$A$2:$H$32,2,FALSE)))</f>
        <v/>
      </c>
      <c r="F1626" s="67">
        <f>IF($B1626="",0,IF(LEFT($B1626,1)="━",0,$C1626*VLOOKUP($B1626,'4. CÀI ĐẶT'!$A$2:$H$32,3,FALSE)))</f>
        <v/>
      </c>
      <c r="G1626" s="67">
        <f>IF($B1626="",0,IF(LEFT($B1626,1)="━",0,$C1626*VLOOKUP($B1626,'4. CÀI ĐẶT'!$A$2:$H$32,4,FALSE)))</f>
        <v/>
      </c>
      <c r="H1626" s="67">
        <f>IF($B1626="",0,IF(LEFT($B1626,1)="━",0,$C1626*VLOOKUP($B1626,'4. CÀI ĐẶT'!$A$2:$H$32,5,FALSE)))</f>
        <v/>
      </c>
      <c r="I1626">
        <f>IF($B1626="","",IF(LEFT($B1626,1)="━","",VLOOKUP($B1626,'4. CÀI ĐẶT'!$A$2:$H$32,6,FALSE)))</f>
        <v/>
      </c>
      <c r="J1626" s="13">
        <f>IF($A1626="","",EOMONTH($A1626,0))</f>
        <v/>
      </c>
      <c r="K1626" s="67">
        <f>IF($B1626="",0,IF(LEFT($B1626,1)="━",0,$C1626*VLOOKUP($B1626,'4. CÀI ĐẶT'!$A$2:$H$32,7,FALSE)))</f>
        <v/>
      </c>
    </row>
    <row r="1627">
      <c r="A1627" s="8" t="n"/>
      <c r="B1627" s="9" t="n"/>
      <c r="C1627" s="65" t="n"/>
      <c r="D1627" s="9" t="n"/>
      <c r="E1627" s="66">
        <f>IF($B1627="","",IF(LEFT($B1627,1)="━","⚠️ Chọn hạng mục cụ thể",$C1627*VLOOKUP($B1627,'4. CÀI ĐẶT'!$A$2:$H$32,2,FALSE)))</f>
        <v/>
      </c>
      <c r="F1627" s="67">
        <f>IF($B1627="",0,IF(LEFT($B1627,1)="━",0,$C1627*VLOOKUP($B1627,'4. CÀI ĐẶT'!$A$2:$H$32,3,FALSE)))</f>
        <v/>
      </c>
      <c r="G1627" s="67">
        <f>IF($B1627="",0,IF(LEFT($B1627,1)="━",0,$C1627*VLOOKUP($B1627,'4. CÀI ĐẶT'!$A$2:$H$32,4,FALSE)))</f>
        <v/>
      </c>
      <c r="H1627" s="67">
        <f>IF($B1627="",0,IF(LEFT($B1627,1)="━",0,$C1627*VLOOKUP($B1627,'4. CÀI ĐẶT'!$A$2:$H$32,5,FALSE)))</f>
        <v/>
      </c>
      <c r="I1627">
        <f>IF($B1627="","",IF(LEFT($B1627,1)="━","",VLOOKUP($B1627,'4. CÀI ĐẶT'!$A$2:$H$32,6,FALSE)))</f>
        <v/>
      </c>
      <c r="J1627" s="13">
        <f>IF($A1627="","",EOMONTH($A1627,0))</f>
        <v/>
      </c>
      <c r="K1627" s="67">
        <f>IF($B1627="",0,IF(LEFT($B1627,1)="━",0,$C1627*VLOOKUP($B1627,'4. CÀI ĐẶT'!$A$2:$H$32,7,FALSE)))</f>
        <v/>
      </c>
    </row>
    <row r="1628">
      <c r="A1628" s="8" t="n"/>
      <c r="B1628" s="9" t="n"/>
      <c r="C1628" s="65" t="n"/>
      <c r="D1628" s="9" t="n"/>
      <c r="E1628" s="66">
        <f>IF($B1628="","",IF(LEFT($B1628,1)="━","⚠️ Chọn hạng mục cụ thể",$C1628*VLOOKUP($B1628,'4. CÀI ĐẶT'!$A$2:$H$32,2,FALSE)))</f>
        <v/>
      </c>
      <c r="F1628" s="67">
        <f>IF($B1628="",0,IF(LEFT($B1628,1)="━",0,$C1628*VLOOKUP($B1628,'4. CÀI ĐẶT'!$A$2:$H$32,3,FALSE)))</f>
        <v/>
      </c>
      <c r="G1628" s="67">
        <f>IF($B1628="",0,IF(LEFT($B1628,1)="━",0,$C1628*VLOOKUP($B1628,'4. CÀI ĐẶT'!$A$2:$H$32,4,FALSE)))</f>
        <v/>
      </c>
      <c r="H1628" s="67">
        <f>IF($B1628="",0,IF(LEFT($B1628,1)="━",0,$C1628*VLOOKUP($B1628,'4. CÀI ĐẶT'!$A$2:$H$32,5,FALSE)))</f>
        <v/>
      </c>
      <c r="I1628">
        <f>IF($B1628="","",IF(LEFT($B1628,1)="━","",VLOOKUP($B1628,'4. CÀI ĐẶT'!$A$2:$H$32,6,FALSE)))</f>
        <v/>
      </c>
      <c r="J1628" s="13">
        <f>IF($A1628="","",EOMONTH($A1628,0))</f>
        <v/>
      </c>
      <c r="K1628" s="67">
        <f>IF($B1628="",0,IF(LEFT($B1628,1)="━",0,$C1628*VLOOKUP($B1628,'4. CÀI ĐẶT'!$A$2:$H$32,7,FALSE)))</f>
        <v/>
      </c>
    </row>
    <row r="1629">
      <c r="A1629" s="8" t="n"/>
      <c r="B1629" s="9" t="n"/>
      <c r="C1629" s="65" t="n"/>
      <c r="D1629" s="9" t="n"/>
      <c r="E1629" s="66">
        <f>IF($B1629="","",IF(LEFT($B1629,1)="━","⚠️ Chọn hạng mục cụ thể",$C1629*VLOOKUP($B1629,'4. CÀI ĐẶT'!$A$2:$H$32,2,FALSE)))</f>
        <v/>
      </c>
      <c r="F1629" s="67">
        <f>IF($B1629="",0,IF(LEFT($B1629,1)="━",0,$C1629*VLOOKUP($B1629,'4. CÀI ĐẶT'!$A$2:$H$32,3,FALSE)))</f>
        <v/>
      </c>
      <c r="G1629" s="67">
        <f>IF($B1629="",0,IF(LEFT($B1629,1)="━",0,$C1629*VLOOKUP($B1629,'4. CÀI ĐẶT'!$A$2:$H$32,4,FALSE)))</f>
        <v/>
      </c>
      <c r="H1629" s="67">
        <f>IF($B1629="",0,IF(LEFT($B1629,1)="━",0,$C1629*VLOOKUP($B1629,'4. CÀI ĐẶT'!$A$2:$H$32,5,FALSE)))</f>
        <v/>
      </c>
      <c r="I1629">
        <f>IF($B1629="","",IF(LEFT($B1629,1)="━","",VLOOKUP($B1629,'4. CÀI ĐẶT'!$A$2:$H$32,6,FALSE)))</f>
        <v/>
      </c>
      <c r="J1629" s="13">
        <f>IF($A1629="","",EOMONTH($A1629,0))</f>
        <v/>
      </c>
      <c r="K1629" s="67">
        <f>IF($B1629="",0,IF(LEFT($B1629,1)="━",0,$C1629*VLOOKUP($B1629,'4. CÀI ĐẶT'!$A$2:$H$32,7,FALSE)))</f>
        <v/>
      </c>
    </row>
    <row r="1630">
      <c r="A1630" s="8" t="n"/>
      <c r="B1630" s="9" t="n"/>
      <c r="C1630" s="65" t="n"/>
      <c r="D1630" s="9" t="n"/>
      <c r="E1630" s="66">
        <f>IF($B1630="","",IF(LEFT($B1630,1)="━","⚠️ Chọn hạng mục cụ thể",$C1630*VLOOKUP($B1630,'4. CÀI ĐẶT'!$A$2:$H$32,2,FALSE)))</f>
        <v/>
      </c>
      <c r="F1630" s="67">
        <f>IF($B1630="",0,IF(LEFT($B1630,1)="━",0,$C1630*VLOOKUP($B1630,'4. CÀI ĐẶT'!$A$2:$H$32,3,FALSE)))</f>
        <v/>
      </c>
      <c r="G1630" s="67">
        <f>IF($B1630="",0,IF(LEFT($B1630,1)="━",0,$C1630*VLOOKUP($B1630,'4. CÀI ĐẶT'!$A$2:$H$32,4,FALSE)))</f>
        <v/>
      </c>
      <c r="H1630" s="67">
        <f>IF($B1630="",0,IF(LEFT($B1630,1)="━",0,$C1630*VLOOKUP($B1630,'4. CÀI ĐẶT'!$A$2:$H$32,5,FALSE)))</f>
        <v/>
      </c>
      <c r="I1630">
        <f>IF($B1630="","",IF(LEFT($B1630,1)="━","",VLOOKUP($B1630,'4. CÀI ĐẶT'!$A$2:$H$32,6,FALSE)))</f>
        <v/>
      </c>
      <c r="J1630" s="13">
        <f>IF($A1630="","",EOMONTH($A1630,0))</f>
        <v/>
      </c>
      <c r="K1630" s="67">
        <f>IF($B1630="",0,IF(LEFT($B1630,1)="━",0,$C1630*VLOOKUP($B1630,'4. CÀI ĐẶT'!$A$2:$H$32,7,FALSE)))</f>
        <v/>
      </c>
    </row>
    <row r="1631">
      <c r="A1631" s="8" t="n"/>
      <c r="B1631" s="9" t="n"/>
      <c r="C1631" s="65" t="n"/>
      <c r="D1631" s="9" t="n"/>
      <c r="E1631" s="66">
        <f>IF($B1631="","",IF(LEFT($B1631,1)="━","⚠️ Chọn hạng mục cụ thể",$C1631*VLOOKUP($B1631,'4. CÀI ĐẶT'!$A$2:$H$32,2,FALSE)))</f>
        <v/>
      </c>
      <c r="F1631" s="67">
        <f>IF($B1631="",0,IF(LEFT($B1631,1)="━",0,$C1631*VLOOKUP($B1631,'4. CÀI ĐẶT'!$A$2:$H$32,3,FALSE)))</f>
        <v/>
      </c>
      <c r="G1631" s="67">
        <f>IF($B1631="",0,IF(LEFT($B1631,1)="━",0,$C1631*VLOOKUP($B1631,'4. CÀI ĐẶT'!$A$2:$H$32,4,FALSE)))</f>
        <v/>
      </c>
      <c r="H1631" s="67">
        <f>IF($B1631="",0,IF(LEFT($B1631,1)="━",0,$C1631*VLOOKUP($B1631,'4. CÀI ĐẶT'!$A$2:$H$32,5,FALSE)))</f>
        <v/>
      </c>
      <c r="I1631">
        <f>IF($B1631="","",IF(LEFT($B1631,1)="━","",VLOOKUP($B1631,'4. CÀI ĐẶT'!$A$2:$H$32,6,FALSE)))</f>
        <v/>
      </c>
      <c r="J1631" s="13">
        <f>IF($A1631="","",EOMONTH($A1631,0))</f>
        <v/>
      </c>
      <c r="K1631" s="67">
        <f>IF($B1631="",0,IF(LEFT($B1631,1)="━",0,$C1631*VLOOKUP($B1631,'4. CÀI ĐẶT'!$A$2:$H$32,7,FALSE)))</f>
        <v/>
      </c>
    </row>
    <row r="1632">
      <c r="A1632" s="8" t="n"/>
      <c r="B1632" s="9" t="n"/>
      <c r="C1632" s="65" t="n"/>
      <c r="D1632" s="9" t="n"/>
      <c r="E1632" s="66">
        <f>IF($B1632="","",IF(LEFT($B1632,1)="━","⚠️ Chọn hạng mục cụ thể",$C1632*VLOOKUP($B1632,'4. CÀI ĐẶT'!$A$2:$H$32,2,FALSE)))</f>
        <v/>
      </c>
      <c r="F1632" s="67">
        <f>IF($B1632="",0,IF(LEFT($B1632,1)="━",0,$C1632*VLOOKUP($B1632,'4. CÀI ĐẶT'!$A$2:$H$32,3,FALSE)))</f>
        <v/>
      </c>
      <c r="G1632" s="67">
        <f>IF($B1632="",0,IF(LEFT($B1632,1)="━",0,$C1632*VLOOKUP($B1632,'4. CÀI ĐẶT'!$A$2:$H$32,4,FALSE)))</f>
        <v/>
      </c>
      <c r="H1632" s="67">
        <f>IF($B1632="",0,IF(LEFT($B1632,1)="━",0,$C1632*VLOOKUP($B1632,'4. CÀI ĐẶT'!$A$2:$H$32,5,FALSE)))</f>
        <v/>
      </c>
      <c r="I1632">
        <f>IF($B1632="","",IF(LEFT($B1632,1)="━","",VLOOKUP($B1632,'4. CÀI ĐẶT'!$A$2:$H$32,6,FALSE)))</f>
        <v/>
      </c>
      <c r="J1632" s="13">
        <f>IF($A1632="","",EOMONTH($A1632,0))</f>
        <v/>
      </c>
      <c r="K1632" s="67">
        <f>IF($B1632="",0,IF(LEFT($B1632,1)="━",0,$C1632*VLOOKUP($B1632,'4. CÀI ĐẶT'!$A$2:$H$32,7,FALSE)))</f>
        <v/>
      </c>
    </row>
    <row r="1633">
      <c r="A1633" s="8" t="n"/>
      <c r="B1633" s="9" t="n"/>
      <c r="C1633" s="65" t="n"/>
      <c r="D1633" s="9" t="n"/>
      <c r="E1633" s="66">
        <f>IF($B1633="","",IF(LEFT($B1633,1)="━","⚠️ Chọn hạng mục cụ thể",$C1633*VLOOKUP($B1633,'4. CÀI ĐẶT'!$A$2:$H$32,2,FALSE)))</f>
        <v/>
      </c>
      <c r="F1633" s="67">
        <f>IF($B1633="",0,IF(LEFT($B1633,1)="━",0,$C1633*VLOOKUP($B1633,'4. CÀI ĐẶT'!$A$2:$H$32,3,FALSE)))</f>
        <v/>
      </c>
      <c r="G1633" s="67">
        <f>IF($B1633="",0,IF(LEFT($B1633,1)="━",0,$C1633*VLOOKUP($B1633,'4. CÀI ĐẶT'!$A$2:$H$32,4,FALSE)))</f>
        <v/>
      </c>
      <c r="H1633" s="67">
        <f>IF($B1633="",0,IF(LEFT($B1633,1)="━",0,$C1633*VLOOKUP($B1633,'4. CÀI ĐẶT'!$A$2:$H$32,5,FALSE)))</f>
        <v/>
      </c>
      <c r="I1633">
        <f>IF($B1633="","",IF(LEFT($B1633,1)="━","",VLOOKUP($B1633,'4. CÀI ĐẶT'!$A$2:$H$32,6,FALSE)))</f>
        <v/>
      </c>
      <c r="J1633" s="13">
        <f>IF($A1633="","",EOMONTH($A1633,0))</f>
        <v/>
      </c>
      <c r="K1633" s="67">
        <f>IF($B1633="",0,IF(LEFT($B1633,1)="━",0,$C1633*VLOOKUP($B1633,'4. CÀI ĐẶT'!$A$2:$H$32,7,FALSE)))</f>
        <v/>
      </c>
    </row>
    <row r="1634">
      <c r="A1634" s="8" t="n"/>
      <c r="B1634" s="9" t="n"/>
      <c r="C1634" s="65" t="n"/>
      <c r="D1634" s="9" t="n"/>
      <c r="E1634" s="66">
        <f>IF($B1634="","",IF(LEFT($B1634,1)="━","⚠️ Chọn hạng mục cụ thể",$C1634*VLOOKUP($B1634,'4. CÀI ĐẶT'!$A$2:$H$32,2,FALSE)))</f>
        <v/>
      </c>
      <c r="F1634" s="67">
        <f>IF($B1634="",0,IF(LEFT($B1634,1)="━",0,$C1634*VLOOKUP($B1634,'4. CÀI ĐẶT'!$A$2:$H$32,3,FALSE)))</f>
        <v/>
      </c>
      <c r="G1634" s="67">
        <f>IF($B1634="",0,IF(LEFT($B1634,1)="━",0,$C1634*VLOOKUP($B1634,'4. CÀI ĐẶT'!$A$2:$H$32,4,FALSE)))</f>
        <v/>
      </c>
      <c r="H1634" s="67">
        <f>IF($B1634="",0,IF(LEFT($B1634,1)="━",0,$C1634*VLOOKUP($B1634,'4. CÀI ĐẶT'!$A$2:$H$32,5,FALSE)))</f>
        <v/>
      </c>
      <c r="I1634">
        <f>IF($B1634="","",IF(LEFT($B1634,1)="━","",VLOOKUP($B1634,'4. CÀI ĐẶT'!$A$2:$H$32,6,FALSE)))</f>
        <v/>
      </c>
      <c r="J1634" s="13">
        <f>IF($A1634="","",EOMONTH($A1634,0))</f>
        <v/>
      </c>
      <c r="K1634" s="67">
        <f>IF($B1634="",0,IF(LEFT($B1634,1)="━",0,$C1634*VLOOKUP($B1634,'4. CÀI ĐẶT'!$A$2:$H$32,7,FALSE)))</f>
        <v/>
      </c>
    </row>
    <row r="1635">
      <c r="A1635" s="8" t="n"/>
      <c r="B1635" s="9" t="n"/>
      <c r="C1635" s="65" t="n"/>
      <c r="D1635" s="9" t="n"/>
      <c r="E1635" s="66">
        <f>IF($B1635="","",IF(LEFT($B1635,1)="━","⚠️ Chọn hạng mục cụ thể",$C1635*VLOOKUP($B1635,'4. CÀI ĐẶT'!$A$2:$H$32,2,FALSE)))</f>
        <v/>
      </c>
      <c r="F1635" s="67">
        <f>IF($B1635="",0,IF(LEFT($B1635,1)="━",0,$C1635*VLOOKUP($B1635,'4. CÀI ĐẶT'!$A$2:$H$32,3,FALSE)))</f>
        <v/>
      </c>
      <c r="G1635" s="67">
        <f>IF($B1635="",0,IF(LEFT($B1635,1)="━",0,$C1635*VLOOKUP($B1635,'4. CÀI ĐẶT'!$A$2:$H$32,4,FALSE)))</f>
        <v/>
      </c>
      <c r="H1635" s="67">
        <f>IF($B1635="",0,IF(LEFT($B1635,1)="━",0,$C1635*VLOOKUP($B1635,'4. CÀI ĐẶT'!$A$2:$H$32,5,FALSE)))</f>
        <v/>
      </c>
      <c r="I1635">
        <f>IF($B1635="","",IF(LEFT($B1635,1)="━","",VLOOKUP($B1635,'4. CÀI ĐẶT'!$A$2:$H$32,6,FALSE)))</f>
        <v/>
      </c>
      <c r="J1635" s="13">
        <f>IF($A1635="","",EOMONTH($A1635,0))</f>
        <v/>
      </c>
      <c r="K1635" s="67">
        <f>IF($B1635="",0,IF(LEFT($B1635,1)="━",0,$C1635*VLOOKUP($B1635,'4. CÀI ĐẶT'!$A$2:$H$32,7,FALSE)))</f>
        <v/>
      </c>
    </row>
    <row r="1636">
      <c r="A1636" s="8" t="n"/>
      <c r="B1636" s="9" t="n"/>
      <c r="C1636" s="65" t="n"/>
      <c r="D1636" s="9" t="n"/>
      <c r="E1636" s="66">
        <f>IF($B1636="","",IF(LEFT($B1636,1)="━","⚠️ Chọn hạng mục cụ thể",$C1636*VLOOKUP($B1636,'4. CÀI ĐẶT'!$A$2:$H$32,2,FALSE)))</f>
        <v/>
      </c>
      <c r="F1636" s="67">
        <f>IF($B1636="",0,IF(LEFT($B1636,1)="━",0,$C1636*VLOOKUP($B1636,'4. CÀI ĐẶT'!$A$2:$H$32,3,FALSE)))</f>
        <v/>
      </c>
      <c r="G1636" s="67">
        <f>IF($B1636="",0,IF(LEFT($B1636,1)="━",0,$C1636*VLOOKUP($B1636,'4. CÀI ĐẶT'!$A$2:$H$32,4,FALSE)))</f>
        <v/>
      </c>
      <c r="H1636" s="67">
        <f>IF($B1636="",0,IF(LEFT($B1636,1)="━",0,$C1636*VLOOKUP($B1636,'4. CÀI ĐẶT'!$A$2:$H$32,5,FALSE)))</f>
        <v/>
      </c>
      <c r="I1636">
        <f>IF($B1636="","",IF(LEFT($B1636,1)="━","",VLOOKUP($B1636,'4. CÀI ĐẶT'!$A$2:$H$32,6,FALSE)))</f>
        <v/>
      </c>
      <c r="J1636" s="13">
        <f>IF($A1636="","",EOMONTH($A1636,0))</f>
        <v/>
      </c>
      <c r="K1636" s="67">
        <f>IF($B1636="",0,IF(LEFT($B1636,1)="━",0,$C1636*VLOOKUP($B1636,'4. CÀI ĐẶT'!$A$2:$H$32,7,FALSE)))</f>
        <v/>
      </c>
    </row>
    <row r="1637">
      <c r="A1637" s="8" t="n"/>
      <c r="B1637" s="9" t="n"/>
      <c r="C1637" s="65" t="n"/>
      <c r="D1637" s="9" t="n"/>
      <c r="E1637" s="66">
        <f>IF($B1637="","",IF(LEFT($B1637,1)="━","⚠️ Chọn hạng mục cụ thể",$C1637*VLOOKUP($B1637,'4. CÀI ĐẶT'!$A$2:$H$32,2,FALSE)))</f>
        <v/>
      </c>
      <c r="F1637" s="67">
        <f>IF($B1637="",0,IF(LEFT($B1637,1)="━",0,$C1637*VLOOKUP($B1637,'4. CÀI ĐẶT'!$A$2:$H$32,3,FALSE)))</f>
        <v/>
      </c>
      <c r="G1637" s="67">
        <f>IF($B1637="",0,IF(LEFT($B1637,1)="━",0,$C1637*VLOOKUP($B1637,'4. CÀI ĐẶT'!$A$2:$H$32,4,FALSE)))</f>
        <v/>
      </c>
      <c r="H1637" s="67">
        <f>IF($B1637="",0,IF(LEFT($B1637,1)="━",0,$C1637*VLOOKUP($B1637,'4. CÀI ĐẶT'!$A$2:$H$32,5,FALSE)))</f>
        <v/>
      </c>
      <c r="I1637">
        <f>IF($B1637="","",IF(LEFT($B1637,1)="━","",VLOOKUP($B1637,'4. CÀI ĐẶT'!$A$2:$H$32,6,FALSE)))</f>
        <v/>
      </c>
      <c r="J1637" s="13">
        <f>IF($A1637="","",EOMONTH($A1637,0))</f>
        <v/>
      </c>
      <c r="K1637" s="67">
        <f>IF($B1637="",0,IF(LEFT($B1637,1)="━",0,$C1637*VLOOKUP($B1637,'4. CÀI ĐẶT'!$A$2:$H$32,7,FALSE)))</f>
        <v/>
      </c>
    </row>
    <row r="1638">
      <c r="A1638" s="8" t="n"/>
      <c r="B1638" s="9" t="n"/>
      <c r="C1638" s="65" t="n"/>
      <c r="D1638" s="9" t="n"/>
      <c r="E1638" s="66">
        <f>IF($B1638="","",IF(LEFT($B1638,1)="━","⚠️ Chọn hạng mục cụ thể",$C1638*VLOOKUP($B1638,'4. CÀI ĐẶT'!$A$2:$H$32,2,FALSE)))</f>
        <v/>
      </c>
      <c r="F1638" s="67">
        <f>IF($B1638="",0,IF(LEFT($B1638,1)="━",0,$C1638*VLOOKUP($B1638,'4. CÀI ĐẶT'!$A$2:$H$32,3,FALSE)))</f>
        <v/>
      </c>
      <c r="G1638" s="67">
        <f>IF($B1638="",0,IF(LEFT($B1638,1)="━",0,$C1638*VLOOKUP($B1638,'4. CÀI ĐẶT'!$A$2:$H$32,4,FALSE)))</f>
        <v/>
      </c>
      <c r="H1638" s="67">
        <f>IF($B1638="",0,IF(LEFT($B1638,1)="━",0,$C1638*VLOOKUP($B1638,'4. CÀI ĐẶT'!$A$2:$H$32,5,FALSE)))</f>
        <v/>
      </c>
      <c r="I1638">
        <f>IF($B1638="","",IF(LEFT($B1638,1)="━","",VLOOKUP($B1638,'4. CÀI ĐẶT'!$A$2:$H$32,6,FALSE)))</f>
        <v/>
      </c>
      <c r="J1638" s="13">
        <f>IF($A1638="","",EOMONTH($A1638,0))</f>
        <v/>
      </c>
      <c r="K1638" s="67">
        <f>IF($B1638="",0,IF(LEFT($B1638,1)="━",0,$C1638*VLOOKUP($B1638,'4. CÀI ĐẶT'!$A$2:$H$32,7,FALSE)))</f>
        <v/>
      </c>
    </row>
    <row r="1639">
      <c r="A1639" s="8" t="n"/>
      <c r="B1639" s="9" t="n"/>
      <c r="C1639" s="65" t="n"/>
      <c r="D1639" s="9" t="n"/>
      <c r="E1639" s="66">
        <f>IF($B1639="","",IF(LEFT($B1639,1)="━","⚠️ Chọn hạng mục cụ thể",$C1639*VLOOKUP($B1639,'4. CÀI ĐẶT'!$A$2:$H$32,2,FALSE)))</f>
        <v/>
      </c>
      <c r="F1639" s="67">
        <f>IF($B1639="",0,IF(LEFT($B1639,1)="━",0,$C1639*VLOOKUP($B1639,'4. CÀI ĐẶT'!$A$2:$H$32,3,FALSE)))</f>
        <v/>
      </c>
      <c r="G1639" s="67">
        <f>IF($B1639="",0,IF(LEFT($B1639,1)="━",0,$C1639*VLOOKUP($B1639,'4. CÀI ĐẶT'!$A$2:$H$32,4,FALSE)))</f>
        <v/>
      </c>
      <c r="H1639" s="67">
        <f>IF($B1639="",0,IF(LEFT($B1639,1)="━",0,$C1639*VLOOKUP($B1639,'4. CÀI ĐẶT'!$A$2:$H$32,5,FALSE)))</f>
        <v/>
      </c>
      <c r="I1639">
        <f>IF($B1639="","",IF(LEFT($B1639,1)="━","",VLOOKUP($B1639,'4. CÀI ĐẶT'!$A$2:$H$32,6,FALSE)))</f>
        <v/>
      </c>
      <c r="J1639" s="13">
        <f>IF($A1639="","",EOMONTH($A1639,0))</f>
        <v/>
      </c>
      <c r="K1639" s="67">
        <f>IF($B1639="",0,IF(LEFT($B1639,1)="━",0,$C1639*VLOOKUP($B1639,'4. CÀI ĐẶT'!$A$2:$H$32,7,FALSE)))</f>
        <v/>
      </c>
    </row>
    <row r="1640">
      <c r="A1640" s="8" t="n"/>
      <c r="B1640" s="9" t="n"/>
      <c r="C1640" s="65" t="n"/>
      <c r="D1640" s="9" t="n"/>
      <c r="E1640" s="66">
        <f>IF($B1640="","",IF(LEFT($B1640,1)="━","⚠️ Chọn hạng mục cụ thể",$C1640*VLOOKUP($B1640,'4. CÀI ĐẶT'!$A$2:$H$32,2,FALSE)))</f>
        <v/>
      </c>
      <c r="F1640" s="67">
        <f>IF($B1640="",0,IF(LEFT($B1640,1)="━",0,$C1640*VLOOKUP($B1640,'4. CÀI ĐẶT'!$A$2:$H$32,3,FALSE)))</f>
        <v/>
      </c>
      <c r="G1640" s="67">
        <f>IF($B1640="",0,IF(LEFT($B1640,1)="━",0,$C1640*VLOOKUP($B1640,'4. CÀI ĐẶT'!$A$2:$H$32,4,FALSE)))</f>
        <v/>
      </c>
      <c r="H1640" s="67">
        <f>IF($B1640="",0,IF(LEFT($B1640,1)="━",0,$C1640*VLOOKUP($B1640,'4. CÀI ĐẶT'!$A$2:$H$32,5,FALSE)))</f>
        <v/>
      </c>
      <c r="I1640">
        <f>IF($B1640="","",IF(LEFT($B1640,1)="━","",VLOOKUP($B1640,'4. CÀI ĐẶT'!$A$2:$H$32,6,FALSE)))</f>
        <v/>
      </c>
      <c r="J1640" s="13">
        <f>IF($A1640="","",EOMONTH($A1640,0))</f>
        <v/>
      </c>
      <c r="K1640" s="67">
        <f>IF($B1640="",0,IF(LEFT($B1640,1)="━",0,$C1640*VLOOKUP($B1640,'4. CÀI ĐẶT'!$A$2:$H$32,7,FALSE)))</f>
        <v/>
      </c>
    </row>
    <row r="1641">
      <c r="A1641" s="8" t="n"/>
      <c r="B1641" s="9" t="n"/>
      <c r="C1641" s="65" t="n"/>
      <c r="D1641" s="9" t="n"/>
      <c r="E1641" s="66">
        <f>IF($B1641="","",IF(LEFT($B1641,1)="━","⚠️ Chọn hạng mục cụ thể",$C1641*VLOOKUP($B1641,'4. CÀI ĐẶT'!$A$2:$H$32,2,FALSE)))</f>
        <v/>
      </c>
      <c r="F1641" s="67">
        <f>IF($B1641="",0,IF(LEFT($B1641,1)="━",0,$C1641*VLOOKUP($B1641,'4. CÀI ĐẶT'!$A$2:$H$32,3,FALSE)))</f>
        <v/>
      </c>
      <c r="G1641" s="67">
        <f>IF($B1641="",0,IF(LEFT($B1641,1)="━",0,$C1641*VLOOKUP($B1641,'4. CÀI ĐẶT'!$A$2:$H$32,4,FALSE)))</f>
        <v/>
      </c>
      <c r="H1641" s="67">
        <f>IF($B1641="",0,IF(LEFT($B1641,1)="━",0,$C1641*VLOOKUP($B1641,'4. CÀI ĐẶT'!$A$2:$H$32,5,FALSE)))</f>
        <v/>
      </c>
      <c r="I1641">
        <f>IF($B1641="","",IF(LEFT($B1641,1)="━","",VLOOKUP($B1641,'4. CÀI ĐẶT'!$A$2:$H$32,6,FALSE)))</f>
        <v/>
      </c>
      <c r="J1641" s="13">
        <f>IF($A1641="","",EOMONTH($A1641,0))</f>
        <v/>
      </c>
      <c r="K1641" s="67">
        <f>IF($B1641="",0,IF(LEFT($B1641,1)="━",0,$C1641*VLOOKUP($B1641,'4. CÀI ĐẶT'!$A$2:$H$32,7,FALSE)))</f>
        <v/>
      </c>
    </row>
    <row r="1642">
      <c r="A1642" s="8" t="n"/>
      <c r="B1642" s="9" t="n"/>
      <c r="C1642" s="65" t="n"/>
      <c r="D1642" s="9" t="n"/>
      <c r="E1642" s="66">
        <f>IF($B1642="","",IF(LEFT($B1642,1)="━","⚠️ Chọn hạng mục cụ thể",$C1642*VLOOKUP($B1642,'4. CÀI ĐẶT'!$A$2:$H$32,2,FALSE)))</f>
        <v/>
      </c>
      <c r="F1642" s="67">
        <f>IF($B1642="",0,IF(LEFT($B1642,1)="━",0,$C1642*VLOOKUP($B1642,'4. CÀI ĐẶT'!$A$2:$H$32,3,FALSE)))</f>
        <v/>
      </c>
      <c r="G1642" s="67">
        <f>IF($B1642="",0,IF(LEFT($B1642,1)="━",0,$C1642*VLOOKUP($B1642,'4. CÀI ĐẶT'!$A$2:$H$32,4,FALSE)))</f>
        <v/>
      </c>
      <c r="H1642" s="67">
        <f>IF($B1642="",0,IF(LEFT($B1642,1)="━",0,$C1642*VLOOKUP($B1642,'4. CÀI ĐẶT'!$A$2:$H$32,5,FALSE)))</f>
        <v/>
      </c>
      <c r="I1642">
        <f>IF($B1642="","",IF(LEFT($B1642,1)="━","",VLOOKUP($B1642,'4. CÀI ĐẶT'!$A$2:$H$32,6,FALSE)))</f>
        <v/>
      </c>
      <c r="J1642" s="13">
        <f>IF($A1642="","",EOMONTH($A1642,0))</f>
        <v/>
      </c>
      <c r="K1642" s="67">
        <f>IF($B1642="",0,IF(LEFT($B1642,1)="━",0,$C1642*VLOOKUP($B1642,'4. CÀI ĐẶT'!$A$2:$H$32,7,FALSE)))</f>
        <v/>
      </c>
    </row>
    <row r="1643">
      <c r="A1643" s="8" t="n"/>
      <c r="B1643" s="9" t="n"/>
      <c r="C1643" s="65" t="n"/>
      <c r="D1643" s="9" t="n"/>
      <c r="E1643" s="66">
        <f>IF($B1643="","",IF(LEFT($B1643,1)="━","⚠️ Chọn hạng mục cụ thể",$C1643*VLOOKUP($B1643,'4. CÀI ĐẶT'!$A$2:$H$32,2,FALSE)))</f>
        <v/>
      </c>
      <c r="F1643" s="67">
        <f>IF($B1643="",0,IF(LEFT($B1643,1)="━",0,$C1643*VLOOKUP($B1643,'4. CÀI ĐẶT'!$A$2:$H$32,3,FALSE)))</f>
        <v/>
      </c>
      <c r="G1643" s="67">
        <f>IF($B1643="",0,IF(LEFT($B1643,1)="━",0,$C1643*VLOOKUP($B1643,'4. CÀI ĐẶT'!$A$2:$H$32,4,FALSE)))</f>
        <v/>
      </c>
      <c r="H1643" s="67">
        <f>IF($B1643="",0,IF(LEFT($B1643,1)="━",0,$C1643*VLOOKUP($B1643,'4. CÀI ĐẶT'!$A$2:$H$32,5,FALSE)))</f>
        <v/>
      </c>
      <c r="I1643">
        <f>IF($B1643="","",IF(LEFT($B1643,1)="━","",VLOOKUP($B1643,'4. CÀI ĐẶT'!$A$2:$H$32,6,FALSE)))</f>
        <v/>
      </c>
      <c r="J1643" s="13">
        <f>IF($A1643="","",EOMONTH($A1643,0))</f>
        <v/>
      </c>
      <c r="K1643" s="67">
        <f>IF($B1643="",0,IF(LEFT($B1643,1)="━",0,$C1643*VLOOKUP($B1643,'4. CÀI ĐẶT'!$A$2:$H$32,7,FALSE)))</f>
        <v/>
      </c>
    </row>
    <row r="1644">
      <c r="A1644" s="8" t="n"/>
      <c r="B1644" s="9" t="n"/>
      <c r="C1644" s="65" t="n"/>
      <c r="D1644" s="9" t="n"/>
      <c r="E1644" s="66">
        <f>IF($B1644="","",IF(LEFT($B1644,1)="━","⚠️ Chọn hạng mục cụ thể",$C1644*VLOOKUP($B1644,'4. CÀI ĐẶT'!$A$2:$H$32,2,FALSE)))</f>
        <v/>
      </c>
      <c r="F1644" s="67">
        <f>IF($B1644="",0,IF(LEFT($B1644,1)="━",0,$C1644*VLOOKUP($B1644,'4. CÀI ĐẶT'!$A$2:$H$32,3,FALSE)))</f>
        <v/>
      </c>
      <c r="G1644" s="67">
        <f>IF($B1644="",0,IF(LEFT($B1644,1)="━",0,$C1644*VLOOKUP($B1644,'4. CÀI ĐẶT'!$A$2:$H$32,4,FALSE)))</f>
        <v/>
      </c>
      <c r="H1644" s="67">
        <f>IF($B1644="",0,IF(LEFT($B1644,1)="━",0,$C1644*VLOOKUP($B1644,'4. CÀI ĐẶT'!$A$2:$H$32,5,FALSE)))</f>
        <v/>
      </c>
      <c r="I1644">
        <f>IF($B1644="","",IF(LEFT($B1644,1)="━","",VLOOKUP($B1644,'4. CÀI ĐẶT'!$A$2:$H$32,6,FALSE)))</f>
        <v/>
      </c>
      <c r="J1644" s="13">
        <f>IF($A1644="","",EOMONTH($A1644,0))</f>
        <v/>
      </c>
      <c r="K1644" s="67">
        <f>IF($B1644="",0,IF(LEFT($B1644,1)="━",0,$C1644*VLOOKUP($B1644,'4. CÀI ĐẶT'!$A$2:$H$32,7,FALSE)))</f>
        <v/>
      </c>
    </row>
    <row r="1645">
      <c r="A1645" s="8" t="n"/>
      <c r="B1645" s="9" t="n"/>
      <c r="C1645" s="65" t="n"/>
      <c r="D1645" s="9" t="n"/>
      <c r="E1645" s="66">
        <f>IF($B1645="","",IF(LEFT($B1645,1)="━","⚠️ Chọn hạng mục cụ thể",$C1645*VLOOKUP($B1645,'4. CÀI ĐẶT'!$A$2:$H$32,2,FALSE)))</f>
        <v/>
      </c>
      <c r="F1645" s="67">
        <f>IF($B1645="",0,IF(LEFT($B1645,1)="━",0,$C1645*VLOOKUP($B1645,'4. CÀI ĐẶT'!$A$2:$H$32,3,FALSE)))</f>
        <v/>
      </c>
      <c r="G1645" s="67">
        <f>IF($B1645="",0,IF(LEFT($B1645,1)="━",0,$C1645*VLOOKUP($B1645,'4. CÀI ĐẶT'!$A$2:$H$32,4,FALSE)))</f>
        <v/>
      </c>
      <c r="H1645" s="67">
        <f>IF($B1645="",0,IF(LEFT($B1645,1)="━",0,$C1645*VLOOKUP($B1645,'4. CÀI ĐẶT'!$A$2:$H$32,5,FALSE)))</f>
        <v/>
      </c>
      <c r="I1645">
        <f>IF($B1645="","",IF(LEFT($B1645,1)="━","",VLOOKUP($B1645,'4. CÀI ĐẶT'!$A$2:$H$32,6,FALSE)))</f>
        <v/>
      </c>
      <c r="J1645" s="13">
        <f>IF($A1645="","",EOMONTH($A1645,0))</f>
        <v/>
      </c>
      <c r="K1645" s="67">
        <f>IF($B1645="",0,IF(LEFT($B1645,1)="━",0,$C1645*VLOOKUP($B1645,'4. CÀI ĐẶT'!$A$2:$H$32,7,FALSE)))</f>
        <v/>
      </c>
    </row>
    <row r="1646">
      <c r="A1646" s="8" t="n"/>
      <c r="B1646" s="9" t="n"/>
      <c r="C1646" s="65" t="n"/>
      <c r="D1646" s="9" t="n"/>
      <c r="E1646" s="66">
        <f>IF($B1646="","",IF(LEFT($B1646,1)="━","⚠️ Chọn hạng mục cụ thể",$C1646*VLOOKUP($B1646,'4. CÀI ĐẶT'!$A$2:$H$32,2,FALSE)))</f>
        <v/>
      </c>
      <c r="F1646" s="67">
        <f>IF($B1646="",0,IF(LEFT($B1646,1)="━",0,$C1646*VLOOKUP($B1646,'4. CÀI ĐẶT'!$A$2:$H$32,3,FALSE)))</f>
        <v/>
      </c>
      <c r="G1646" s="67">
        <f>IF($B1646="",0,IF(LEFT($B1646,1)="━",0,$C1646*VLOOKUP($B1646,'4. CÀI ĐẶT'!$A$2:$H$32,4,FALSE)))</f>
        <v/>
      </c>
      <c r="H1646" s="67">
        <f>IF($B1646="",0,IF(LEFT($B1646,1)="━",0,$C1646*VLOOKUP($B1646,'4. CÀI ĐẶT'!$A$2:$H$32,5,FALSE)))</f>
        <v/>
      </c>
      <c r="I1646">
        <f>IF($B1646="","",IF(LEFT($B1646,1)="━","",VLOOKUP($B1646,'4. CÀI ĐẶT'!$A$2:$H$32,6,FALSE)))</f>
        <v/>
      </c>
      <c r="J1646" s="13">
        <f>IF($A1646="","",EOMONTH($A1646,0))</f>
        <v/>
      </c>
      <c r="K1646" s="67">
        <f>IF($B1646="",0,IF(LEFT($B1646,1)="━",0,$C1646*VLOOKUP($B1646,'4. CÀI ĐẶT'!$A$2:$H$32,7,FALSE)))</f>
        <v/>
      </c>
    </row>
    <row r="1647">
      <c r="A1647" s="8" t="n"/>
      <c r="B1647" s="9" t="n"/>
      <c r="C1647" s="65" t="n"/>
      <c r="D1647" s="9" t="n"/>
      <c r="E1647" s="66">
        <f>IF($B1647="","",IF(LEFT($B1647,1)="━","⚠️ Chọn hạng mục cụ thể",$C1647*VLOOKUP($B1647,'4. CÀI ĐẶT'!$A$2:$H$32,2,FALSE)))</f>
        <v/>
      </c>
      <c r="F1647" s="67">
        <f>IF($B1647="",0,IF(LEFT($B1647,1)="━",0,$C1647*VLOOKUP($B1647,'4. CÀI ĐẶT'!$A$2:$H$32,3,FALSE)))</f>
        <v/>
      </c>
      <c r="G1647" s="67">
        <f>IF($B1647="",0,IF(LEFT($B1647,1)="━",0,$C1647*VLOOKUP($B1647,'4. CÀI ĐẶT'!$A$2:$H$32,4,FALSE)))</f>
        <v/>
      </c>
      <c r="H1647" s="67">
        <f>IF($B1647="",0,IF(LEFT($B1647,1)="━",0,$C1647*VLOOKUP($B1647,'4. CÀI ĐẶT'!$A$2:$H$32,5,FALSE)))</f>
        <v/>
      </c>
      <c r="I1647">
        <f>IF($B1647="","",IF(LEFT($B1647,1)="━","",VLOOKUP($B1647,'4. CÀI ĐẶT'!$A$2:$H$32,6,FALSE)))</f>
        <v/>
      </c>
      <c r="J1647" s="13">
        <f>IF($A1647="","",EOMONTH($A1647,0))</f>
        <v/>
      </c>
      <c r="K1647" s="67">
        <f>IF($B1647="",0,IF(LEFT($B1647,1)="━",0,$C1647*VLOOKUP($B1647,'4. CÀI ĐẶT'!$A$2:$H$32,7,FALSE)))</f>
        <v/>
      </c>
    </row>
    <row r="1648">
      <c r="A1648" s="8" t="n"/>
      <c r="B1648" s="9" t="n"/>
      <c r="C1648" s="65" t="n"/>
      <c r="D1648" s="9" t="n"/>
      <c r="E1648" s="66">
        <f>IF($B1648="","",IF(LEFT($B1648,1)="━","⚠️ Chọn hạng mục cụ thể",$C1648*VLOOKUP($B1648,'4. CÀI ĐẶT'!$A$2:$H$32,2,FALSE)))</f>
        <v/>
      </c>
      <c r="F1648" s="67">
        <f>IF($B1648="",0,IF(LEFT($B1648,1)="━",0,$C1648*VLOOKUP($B1648,'4. CÀI ĐẶT'!$A$2:$H$32,3,FALSE)))</f>
        <v/>
      </c>
      <c r="G1648" s="67">
        <f>IF($B1648="",0,IF(LEFT($B1648,1)="━",0,$C1648*VLOOKUP($B1648,'4. CÀI ĐẶT'!$A$2:$H$32,4,FALSE)))</f>
        <v/>
      </c>
      <c r="H1648" s="67">
        <f>IF($B1648="",0,IF(LEFT($B1648,1)="━",0,$C1648*VLOOKUP($B1648,'4. CÀI ĐẶT'!$A$2:$H$32,5,FALSE)))</f>
        <v/>
      </c>
      <c r="I1648">
        <f>IF($B1648="","",IF(LEFT($B1648,1)="━","",VLOOKUP($B1648,'4. CÀI ĐẶT'!$A$2:$H$32,6,FALSE)))</f>
        <v/>
      </c>
      <c r="J1648" s="13">
        <f>IF($A1648="","",EOMONTH($A1648,0))</f>
        <v/>
      </c>
      <c r="K1648" s="67">
        <f>IF($B1648="",0,IF(LEFT($B1648,1)="━",0,$C1648*VLOOKUP($B1648,'4. CÀI ĐẶT'!$A$2:$H$32,7,FALSE)))</f>
        <v/>
      </c>
    </row>
    <row r="1649">
      <c r="A1649" s="8" t="n"/>
      <c r="B1649" s="9" t="n"/>
      <c r="C1649" s="65" t="n"/>
      <c r="D1649" s="9" t="n"/>
      <c r="E1649" s="66">
        <f>IF($B1649="","",IF(LEFT($B1649,1)="━","⚠️ Chọn hạng mục cụ thể",$C1649*VLOOKUP($B1649,'4. CÀI ĐẶT'!$A$2:$H$32,2,FALSE)))</f>
        <v/>
      </c>
      <c r="F1649" s="67">
        <f>IF($B1649="",0,IF(LEFT($B1649,1)="━",0,$C1649*VLOOKUP($B1649,'4. CÀI ĐẶT'!$A$2:$H$32,3,FALSE)))</f>
        <v/>
      </c>
      <c r="G1649" s="67">
        <f>IF($B1649="",0,IF(LEFT($B1649,1)="━",0,$C1649*VLOOKUP($B1649,'4. CÀI ĐẶT'!$A$2:$H$32,4,FALSE)))</f>
        <v/>
      </c>
      <c r="H1649" s="67">
        <f>IF($B1649="",0,IF(LEFT($B1649,1)="━",0,$C1649*VLOOKUP($B1649,'4. CÀI ĐẶT'!$A$2:$H$32,5,FALSE)))</f>
        <v/>
      </c>
      <c r="I1649">
        <f>IF($B1649="","",IF(LEFT($B1649,1)="━","",VLOOKUP($B1649,'4. CÀI ĐẶT'!$A$2:$H$32,6,FALSE)))</f>
        <v/>
      </c>
      <c r="J1649" s="13">
        <f>IF($A1649="","",EOMONTH($A1649,0))</f>
        <v/>
      </c>
      <c r="K1649" s="67">
        <f>IF($B1649="",0,IF(LEFT($B1649,1)="━",0,$C1649*VLOOKUP($B1649,'4. CÀI ĐẶT'!$A$2:$H$32,7,FALSE)))</f>
        <v/>
      </c>
    </row>
    <row r="1650">
      <c r="A1650" s="8" t="n"/>
      <c r="B1650" s="9" t="n"/>
      <c r="C1650" s="65" t="n"/>
      <c r="D1650" s="9" t="n"/>
      <c r="E1650" s="66">
        <f>IF($B1650="","",IF(LEFT($B1650,1)="━","⚠️ Chọn hạng mục cụ thể",$C1650*VLOOKUP($B1650,'4. CÀI ĐẶT'!$A$2:$H$32,2,FALSE)))</f>
        <v/>
      </c>
      <c r="F1650" s="67">
        <f>IF($B1650="",0,IF(LEFT($B1650,1)="━",0,$C1650*VLOOKUP($B1650,'4. CÀI ĐẶT'!$A$2:$H$32,3,FALSE)))</f>
        <v/>
      </c>
      <c r="G1650" s="67">
        <f>IF($B1650="",0,IF(LEFT($B1650,1)="━",0,$C1650*VLOOKUP($B1650,'4. CÀI ĐẶT'!$A$2:$H$32,4,FALSE)))</f>
        <v/>
      </c>
      <c r="H1650" s="67">
        <f>IF($B1650="",0,IF(LEFT($B1650,1)="━",0,$C1650*VLOOKUP($B1650,'4. CÀI ĐẶT'!$A$2:$H$32,5,FALSE)))</f>
        <v/>
      </c>
      <c r="I1650">
        <f>IF($B1650="","",IF(LEFT($B1650,1)="━","",VLOOKUP($B1650,'4. CÀI ĐẶT'!$A$2:$H$32,6,FALSE)))</f>
        <v/>
      </c>
      <c r="J1650" s="13">
        <f>IF($A1650="","",EOMONTH($A1650,0))</f>
        <v/>
      </c>
      <c r="K1650" s="67">
        <f>IF($B1650="",0,IF(LEFT($B1650,1)="━",0,$C1650*VLOOKUP($B1650,'4. CÀI ĐẶT'!$A$2:$H$32,7,FALSE)))</f>
        <v/>
      </c>
    </row>
    <row r="1651">
      <c r="A1651" s="8" t="n"/>
      <c r="B1651" s="9" t="n"/>
      <c r="C1651" s="65" t="n"/>
      <c r="D1651" s="9" t="n"/>
      <c r="E1651" s="66">
        <f>IF($B1651="","",IF(LEFT($B1651,1)="━","⚠️ Chọn hạng mục cụ thể",$C1651*VLOOKUP($B1651,'4. CÀI ĐẶT'!$A$2:$H$32,2,FALSE)))</f>
        <v/>
      </c>
      <c r="F1651" s="67">
        <f>IF($B1651="",0,IF(LEFT($B1651,1)="━",0,$C1651*VLOOKUP($B1651,'4. CÀI ĐẶT'!$A$2:$H$32,3,FALSE)))</f>
        <v/>
      </c>
      <c r="G1651" s="67">
        <f>IF($B1651="",0,IF(LEFT($B1651,1)="━",0,$C1651*VLOOKUP($B1651,'4. CÀI ĐẶT'!$A$2:$H$32,4,FALSE)))</f>
        <v/>
      </c>
      <c r="H1651" s="67">
        <f>IF($B1651="",0,IF(LEFT($B1651,1)="━",0,$C1651*VLOOKUP($B1651,'4. CÀI ĐẶT'!$A$2:$H$32,5,FALSE)))</f>
        <v/>
      </c>
      <c r="I1651">
        <f>IF($B1651="","",IF(LEFT($B1651,1)="━","",VLOOKUP($B1651,'4. CÀI ĐẶT'!$A$2:$H$32,6,FALSE)))</f>
        <v/>
      </c>
      <c r="J1651" s="13">
        <f>IF($A1651="","",EOMONTH($A1651,0))</f>
        <v/>
      </c>
      <c r="K1651" s="67">
        <f>IF($B1651="",0,IF(LEFT($B1651,1)="━",0,$C1651*VLOOKUP($B1651,'4. CÀI ĐẶT'!$A$2:$H$32,7,FALSE)))</f>
        <v/>
      </c>
    </row>
    <row r="1652">
      <c r="A1652" s="8" t="n"/>
      <c r="B1652" s="9" t="n"/>
      <c r="C1652" s="65" t="n"/>
      <c r="D1652" s="9" t="n"/>
      <c r="E1652" s="66">
        <f>IF($B1652="","",IF(LEFT($B1652,1)="━","⚠️ Chọn hạng mục cụ thể",$C1652*VLOOKUP($B1652,'4. CÀI ĐẶT'!$A$2:$H$32,2,FALSE)))</f>
        <v/>
      </c>
      <c r="F1652" s="67">
        <f>IF($B1652="",0,IF(LEFT($B1652,1)="━",0,$C1652*VLOOKUP($B1652,'4. CÀI ĐẶT'!$A$2:$H$32,3,FALSE)))</f>
        <v/>
      </c>
      <c r="G1652" s="67">
        <f>IF($B1652="",0,IF(LEFT($B1652,1)="━",0,$C1652*VLOOKUP($B1652,'4. CÀI ĐẶT'!$A$2:$H$32,4,FALSE)))</f>
        <v/>
      </c>
      <c r="H1652" s="67">
        <f>IF($B1652="",0,IF(LEFT($B1652,1)="━",0,$C1652*VLOOKUP($B1652,'4. CÀI ĐẶT'!$A$2:$H$32,5,FALSE)))</f>
        <v/>
      </c>
      <c r="I1652">
        <f>IF($B1652="","",IF(LEFT($B1652,1)="━","",VLOOKUP($B1652,'4. CÀI ĐẶT'!$A$2:$H$32,6,FALSE)))</f>
        <v/>
      </c>
      <c r="J1652" s="13">
        <f>IF($A1652="","",EOMONTH($A1652,0))</f>
        <v/>
      </c>
      <c r="K1652" s="67">
        <f>IF($B1652="",0,IF(LEFT($B1652,1)="━",0,$C1652*VLOOKUP($B1652,'4. CÀI ĐẶT'!$A$2:$H$32,7,FALSE)))</f>
        <v/>
      </c>
    </row>
    <row r="1653">
      <c r="A1653" s="8" t="n"/>
      <c r="B1653" s="9" t="n"/>
      <c r="C1653" s="65" t="n"/>
      <c r="D1653" s="9" t="n"/>
      <c r="E1653" s="66">
        <f>IF($B1653="","",IF(LEFT($B1653,1)="━","⚠️ Chọn hạng mục cụ thể",$C1653*VLOOKUP($B1653,'4. CÀI ĐẶT'!$A$2:$H$32,2,FALSE)))</f>
        <v/>
      </c>
      <c r="F1653" s="67">
        <f>IF($B1653="",0,IF(LEFT($B1653,1)="━",0,$C1653*VLOOKUP($B1653,'4. CÀI ĐẶT'!$A$2:$H$32,3,FALSE)))</f>
        <v/>
      </c>
      <c r="G1653" s="67">
        <f>IF($B1653="",0,IF(LEFT($B1653,1)="━",0,$C1653*VLOOKUP($B1653,'4. CÀI ĐẶT'!$A$2:$H$32,4,FALSE)))</f>
        <v/>
      </c>
      <c r="H1653" s="67">
        <f>IF($B1653="",0,IF(LEFT($B1653,1)="━",0,$C1653*VLOOKUP($B1653,'4. CÀI ĐẶT'!$A$2:$H$32,5,FALSE)))</f>
        <v/>
      </c>
      <c r="I1653">
        <f>IF($B1653="","",IF(LEFT($B1653,1)="━","",VLOOKUP($B1653,'4. CÀI ĐẶT'!$A$2:$H$32,6,FALSE)))</f>
        <v/>
      </c>
      <c r="J1653" s="13">
        <f>IF($A1653="","",EOMONTH($A1653,0))</f>
        <v/>
      </c>
      <c r="K1653" s="67">
        <f>IF($B1653="",0,IF(LEFT($B1653,1)="━",0,$C1653*VLOOKUP($B1653,'4. CÀI ĐẶT'!$A$2:$H$32,7,FALSE)))</f>
        <v/>
      </c>
    </row>
    <row r="1654">
      <c r="A1654" s="8" t="n"/>
      <c r="B1654" s="9" t="n"/>
      <c r="C1654" s="65" t="n"/>
      <c r="D1654" s="9" t="n"/>
      <c r="E1654" s="66">
        <f>IF($B1654="","",IF(LEFT($B1654,1)="━","⚠️ Chọn hạng mục cụ thể",$C1654*VLOOKUP($B1654,'4. CÀI ĐẶT'!$A$2:$H$32,2,FALSE)))</f>
        <v/>
      </c>
      <c r="F1654" s="67">
        <f>IF($B1654="",0,IF(LEFT($B1654,1)="━",0,$C1654*VLOOKUP($B1654,'4. CÀI ĐẶT'!$A$2:$H$32,3,FALSE)))</f>
        <v/>
      </c>
      <c r="G1654" s="67">
        <f>IF($B1654="",0,IF(LEFT($B1654,1)="━",0,$C1654*VLOOKUP($B1654,'4. CÀI ĐẶT'!$A$2:$H$32,4,FALSE)))</f>
        <v/>
      </c>
      <c r="H1654" s="67">
        <f>IF($B1654="",0,IF(LEFT($B1654,1)="━",0,$C1654*VLOOKUP($B1654,'4. CÀI ĐẶT'!$A$2:$H$32,5,FALSE)))</f>
        <v/>
      </c>
      <c r="I1654">
        <f>IF($B1654="","",IF(LEFT($B1654,1)="━","",VLOOKUP($B1654,'4. CÀI ĐẶT'!$A$2:$H$32,6,FALSE)))</f>
        <v/>
      </c>
      <c r="J1654" s="13">
        <f>IF($A1654="","",EOMONTH($A1654,0))</f>
        <v/>
      </c>
      <c r="K1654" s="67">
        <f>IF($B1654="",0,IF(LEFT($B1654,1)="━",0,$C1654*VLOOKUP($B1654,'4. CÀI ĐẶT'!$A$2:$H$32,7,FALSE)))</f>
        <v/>
      </c>
    </row>
    <row r="1655">
      <c r="A1655" s="8" t="n"/>
      <c r="B1655" s="9" t="n"/>
      <c r="C1655" s="65" t="n"/>
      <c r="D1655" s="9" t="n"/>
      <c r="E1655" s="66">
        <f>IF($B1655="","",IF(LEFT($B1655,1)="━","⚠️ Chọn hạng mục cụ thể",$C1655*VLOOKUP($B1655,'4. CÀI ĐẶT'!$A$2:$H$32,2,FALSE)))</f>
        <v/>
      </c>
      <c r="F1655" s="67">
        <f>IF($B1655="",0,IF(LEFT($B1655,1)="━",0,$C1655*VLOOKUP($B1655,'4. CÀI ĐẶT'!$A$2:$H$32,3,FALSE)))</f>
        <v/>
      </c>
      <c r="G1655" s="67">
        <f>IF($B1655="",0,IF(LEFT($B1655,1)="━",0,$C1655*VLOOKUP($B1655,'4. CÀI ĐẶT'!$A$2:$H$32,4,FALSE)))</f>
        <v/>
      </c>
      <c r="H1655" s="67">
        <f>IF($B1655="",0,IF(LEFT($B1655,1)="━",0,$C1655*VLOOKUP($B1655,'4. CÀI ĐẶT'!$A$2:$H$32,5,FALSE)))</f>
        <v/>
      </c>
      <c r="I1655">
        <f>IF($B1655="","",IF(LEFT($B1655,1)="━","",VLOOKUP($B1655,'4. CÀI ĐẶT'!$A$2:$H$32,6,FALSE)))</f>
        <v/>
      </c>
      <c r="J1655" s="13">
        <f>IF($A1655="","",EOMONTH($A1655,0))</f>
        <v/>
      </c>
      <c r="K1655" s="67">
        <f>IF($B1655="",0,IF(LEFT($B1655,1)="━",0,$C1655*VLOOKUP($B1655,'4. CÀI ĐẶT'!$A$2:$H$32,7,FALSE)))</f>
        <v/>
      </c>
    </row>
    <row r="1656">
      <c r="A1656" s="8" t="n"/>
      <c r="B1656" s="9" t="n"/>
      <c r="C1656" s="65" t="n"/>
      <c r="D1656" s="9" t="n"/>
      <c r="E1656" s="66">
        <f>IF($B1656="","",IF(LEFT($B1656,1)="━","⚠️ Chọn hạng mục cụ thể",$C1656*VLOOKUP($B1656,'4. CÀI ĐẶT'!$A$2:$H$32,2,FALSE)))</f>
        <v/>
      </c>
      <c r="F1656" s="67">
        <f>IF($B1656="",0,IF(LEFT($B1656,1)="━",0,$C1656*VLOOKUP($B1656,'4. CÀI ĐẶT'!$A$2:$H$32,3,FALSE)))</f>
        <v/>
      </c>
      <c r="G1656" s="67">
        <f>IF($B1656="",0,IF(LEFT($B1656,1)="━",0,$C1656*VLOOKUP($B1656,'4. CÀI ĐẶT'!$A$2:$H$32,4,FALSE)))</f>
        <v/>
      </c>
      <c r="H1656" s="67">
        <f>IF($B1656="",0,IF(LEFT($B1656,1)="━",0,$C1656*VLOOKUP($B1656,'4. CÀI ĐẶT'!$A$2:$H$32,5,FALSE)))</f>
        <v/>
      </c>
      <c r="I1656">
        <f>IF($B1656="","",IF(LEFT($B1656,1)="━","",VLOOKUP($B1656,'4. CÀI ĐẶT'!$A$2:$H$32,6,FALSE)))</f>
        <v/>
      </c>
      <c r="J1656" s="13">
        <f>IF($A1656="","",EOMONTH($A1656,0))</f>
        <v/>
      </c>
      <c r="K1656" s="67">
        <f>IF($B1656="",0,IF(LEFT($B1656,1)="━",0,$C1656*VLOOKUP($B1656,'4. CÀI ĐẶT'!$A$2:$H$32,7,FALSE)))</f>
        <v/>
      </c>
    </row>
    <row r="1657">
      <c r="A1657" s="8" t="n"/>
      <c r="B1657" s="9" t="n"/>
      <c r="C1657" s="65" t="n"/>
      <c r="D1657" s="9" t="n"/>
      <c r="E1657" s="66">
        <f>IF($B1657="","",IF(LEFT($B1657,1)="━","⚠️ Chọn hạng mục cụ thể",$C1657*VLOOKUP($B1657,'4. CÀI ĐẶT'!$A$2:$H$32,2,FALSE)))</f>
        <v/>
      </c>
      <c r="F1657" s="67">
        <f>IF($B1657="",0,IF(LEFT($B1657,1)="━",0,$C1657*VLOOKUP($B1657,'4. CÀI ĐẶT'!$A$2:$H$32,3,FALSE)))</f>
        <v/>
      </c>
      <c r="G1657" s="67">
        <f>IF($B1657="",0,IF(LEFT($B1657,1)="━",0,$C1657*VLOOKUP($B1657,'4. CÀI ĐẶT'!$A$2:$H$32,4,FALSE)))</f>
        <v/>
      </c>
      <c r="H1657" s="67">
        <f>IF($B1657="",0,IF(LEFT($B1657,1)="━",0,$C1657*VLOOKUP($B1657,'4. CÀI ĐẶT'!$A$2:$H$32,5,FALSE)))</f>
        <v/>
      </c>
      <c r="I1657">
        <f>IF($B1657="","",IF(LEFT($B1657,1)="━","",VLOOKUP($B1657,'4. CÀI ĐẶT'!$A$2:$H$32,6,FALSE)))</f>
        <v/>
      </c>
      <c r="J1657" s="13">
        <f>IF($A1657="","",EOMONTH($A1657,0))</f>
        <v/>
      </c>
      <c r="K1657" s="67">
        <f>IF($B1657="",0,IF(LEFT($B1657,1)="━",0,$C1657*VLOOKUP($B1657,'4. CÀI ĐẶT'!$A$2:$H$32,7,FALSE)))</f>
        <v/>
      </c>
    </row>
    <row r="1658">
      <c r="A1658" s="8" t="n"/>
      <c r="B1658" s="9" t="n"/>
      <c r="C1658" s="65" t="n"/>
      <c r="D1658" s="9" t="n"/>
      <c r="E1658" s="66">
        <f>IF($B1658="","",IF(LEFT($B1658,1)="━","⚠️ Chọn hạng mục cụ thể",$C1658*VLOOKUP($B1658,'4. CÀI ĐẶT'!$A$2:$H$32,2,FALSE)))</f>
        <v/>
      </c>
      <c r="F1658" s="67">
        <f>IF($B1658="",0,IF(LEFT($B1658,1)="━",0,$C1658*VLOOKUP($B1658,'4. CÀI ĐẶT'!$A$2:$H$32,3,FALSE)))</f>
        <v/>
      </c>
      <c r="G1658" s="67">
        <f>IF($B1658="",0,IF(LEFT($B1658,1)="━",0,$C1658*VLOOKUP($B1658,'4. CÀI ĐẶT'!$A$2:$H$32,4,FALSE)))</f>
        <v/>
      </c>
      <c r="H1658" s="67">
        <f>IF($B1658="",0,IF(LEFT($B1658,1)="━",0,$C1658*VLOOKUP($B1658,'4. CÀI ĐẶT'!$A$2:$H$32,5,FALSE)))</f>
        <v/>
      </c>
      <c r="I1658">
        <f>IF($B1658="","",IF(LEFT($B1658,1)="━","",VLOOKUP($B1658,'4. CÀI ĐẶT'!$A$2:$H$32,6,FALSE)))</f>
        <v/>
      </c>
      <c r="J1658" s="13">
        <f>IF($A1658="","",EOMONTH($A1658,0))</f>
        <v/>
      </c>
      <c r="K1658" s="67">
        <f>IF($B1658="",0,IF(LEFT($B1658,1)="━",0,$C1658*VLOOKUP($B1658,'4. CÀI ĐẶT'!$A$2:$H$32,7,FALSE)))</f>
        <v/>
      </c>
    </row>
    <row r="1659">
      <c r="A1659" s="8" t="n"/>
      <c r="B1659" s="9" t="n"/>
      <c r="C1659" s="65" t="n"/>
      <c r="D1659" s="9" t="n"/>
      <c r="E1659" s="66">
        <f>IF($B1659="","",IF(LEFT($B1659,1)="━","⚠️ Chọn hạng mục cụ thể",$C1659*VLOOKUP($B1659,'4. CÀI ĐẶT'!$A$2:$H$32,2,FALSE)))</f>
        <v/>
      </c>
      <c r="F1659" s="67">
        <f>IF($B1659="",0,IF(LEFT($B1659,1)="━",0,$C1659*VLOOKUP($B1659,'4. CÀI ĐẶT'!$A$2:$H$32,3,FALSE)))</f>
        <v/>
      </c>
      <c r="G1659" s="67">
        <f>IF($B1659="",0,IF(LEFT($B1659,1)="━",0,$C1659*VLOOKUP($B1659,'4. CÀI ĐẶT'!$A$2:$H$32,4,FALSE)))</f>
        <v/>
      </c>
      <c r="H1659" s="67">
        <f>IF($B1659="",0,IF(LEFT($B1659,1)="━",0,$C1659*VLOOKUP($B1659,'4. CÀI ĐẶT'!$A$2:$H$32,5,FALSE)))</f>
        <v/>
      </c>
      <c r="I1659">
        <f>IF($B1659="","",IF(LEFT($B1659,1)="━","",VLOOKUP($B1659,'4. CÀI ĐẶT'!$A$2:$H$32,6,FALSE)))</f>
        <v/>
      </c>
      <c r="J1659" s="13">
        <f>IF($A1659="","",EOMONTH($A1659,0))</f>
        <v/>
      </c>
      <c r="K1659" s="67">
        <f>IF($B1659="",0,IF(LEFT($B1659,1)="━",0,$C1659*VLOOKUP($B1659,'4. CÀI ĐẶT'!$A$2:$H$32,7,FALSE)))</f>
        <v/>
      </c>
    </row>
    <row r="1660">
      <c r="A1660" s="8" t="n"/>
      <c r="B1660" s="9" t="n"/>
      <c r="C1660" s="65" t="n"/>
      <c r="D1660" s="9" t="n"/>
      <c r="E1660" s="66">
        <f>IF($B1660="","",IF(LEFT($B1660,1)="━","⚠️ Chọn hạng mục cụ thể",$C1660*VLOOKUP($B1660,'4. CÀI ĐẶT'!$A$2:$H$32,2,FALSE)))</f>
        <v/>
      </c>
      <c r="F1660" s="67">
        <f>IF($B1660="",0,IF(LEFT($B1660,1)="━",0,$C1660*VLOOKUP($B1660,'4. CÀI ĐẶT'!$A$2:$H$32,3,FALSE)))</f>
        <v/>
      </c>
      <c r="G1660" s="67">
        <f>IF($B1660="",0,IF(LEFT($B1660,1)="━",0,$C1660*VLOOKUP($B1660,'4. CÀI ĐẶT'!$A$2:$H$32,4,FALSE)))</f>
        <v/>
      </c>
      <c r="H1660" s="67">
        <f>IF($B1660="",0,IF(LEFT($B1660,1)="━",0,$C1660*VLOOKUP($B1660,'4. CÀI ĐẶT'!$A$2:$H$32,5,FALSE)))</f>
        <v/>
      </c>
      <c r="I1660">
        <f>IF($B1660="","",IF(LEFT($B1660,1)="━","",VLOOKUP($B1660,'4. CÀI ĐẶT'!$A$2:$H$32,6,FALSE)))</f>
        <v/>
      </c>
      <c r="J1660" s="13">
        <f>IF($A1660="","",EOMONTH($A1660,0))</f>
        <v/>
      </c>
      <c r="K1660" s="67">
        <f>IF($B1660="",0,IF(LEFT($B1660,1)="━",0,$C1660*VLOOKUP($B1660,'4. CÀI ĐẶT'!$A$2:$H$32,7,FALSE)))</f>
        <v/>
      </c>
    </row>
    <row r="1661">
      <c r="A1661" s="8" t="n"/>
      <c r="B1661" s="9" t="n"/>
      <c r="C1661" s="65" t="n"/>
      <c r="D1661" s="9" t="n"/>
      <c r="E1661" s="66">
        <f>IF($B1661="","",IF(LEFT($B1661,1)="━","⚠️ Chọn hạng mục cụ thể",$C1661*VLOOKUP($B1661,'4. CÀI ĐẶT'!$A$2:$H$32,2,FALSE)))</f>
        <v/>
      </c>
      <c r="F1661" s="67">
        <f>IF($B1661="",0,IF(LEFT($B1661,1)="━",0,$C1661*VLOOKUP($B1661,'4. CÀI ĐẶT'!$A$2:$H$32,3,FALSE)))</f>
        <v/>
      </c>
      <c r="G1661" s="67">
        <f>IF($B1661="",0,IF(LEFT($B1661,1)="━",0,$C1661*VLOOKUP($B1661,'4. CÀI ĐẶT'!$A$2:$H$32,4,FALSE)))</f>
        <v/>
      </c>
      <c r="H1661" s="67">
        <f>IF($B1661="",0,IF(LEFT($B1661,1)="━",0,$C1661*VLOOKUP($B1661,'4. CÀI ĐẶT'!$A$2:$H$32,5,FALSE)))</f>
        <v/>
      </c>
      <c r="I1661">
        <f>IF($B1661="","",IF(LEFT($B1661,1)="━","",VLOOKUP($B1661,'4. CÀI ĐẶT'!$A$2:$H$32,6,FALSE)))</f>
        <v/>
      </c>
      <c r="J1661" s="13">
        <f>IF($A1661="","",EOMONTH($A1661,0))</f>
        <v/>
      </c>
      <c r="K1661" s="67">
        <f>IF($B1661="",0,IF(LEFT($B1661,1)="━",0,$C1661*VLOOKUP($B1661,'4. CÀI ĐẶT'!$A$2:$H$32,7,FALSE)))</f>
        <v/>
      </c>
    </row>
    <row r="1662">
      <c r="A1662" s="8" t="n"/>
      <c r="B1662" s="9" t="n"/>
      <c r="C1662" s="65" t="n"/>
      <c r="D1662" s="9" t="n"/>
      <c r="E1662" s="66">
        <f>IF($B1662="","",IF(LEFT($B1662,1)="━","⚠️ Chọn hạng mục cụ thể",$C1662*VLOOKUP($B1662,'4. CÀI ĐẶT'!$A$2:$H$32,2,FALSE)))</f>
        <v/>
      </c>
      <c r="F1662" s="67">
        <f>IF($B1662="",0,IF(LEFT($B1662,1)="━",0,$C1662*VLOOKUP($B1662,'4. CÀI ĐẶT'!$A$2:$H$32,3,FALSE)))</f>
        <v/>
      </c>
      <c r="G1662" s="67">
        <f>IF($B1662="",0,IF(LEFT($B1662,1)="━",0,$C1662*VLOOKUP($B1662,'4. CÀI ĐẶT'!$A$2:$H$32,4,FALSE)))</f>
        <v/>
      </c>
      <c r="H1662" s="67">
        <f>IF($B1662="",0,IF(LEFT($B1662,1)="━",0,$C1662*VLOOKUP($B1662,'4. CÀI ĐẶT'!$A$2:$H$32,5,FALSE)))</f>
        <v/>
      </c>
      <c r="I1662">
        <f>IF($B1662="","",IF(LEFT($B1662,1)="━","",VLOOKUP($B1662,'4. CÀI ĐẶT'!$A$2:$H$32,6,FALSE)))</f>
        <v/>
      </c>
      <c r="J1662" s="13">
        <f>IF($A1662="","",EOMONTH($A1662,0))</f>
        <v/>
      </c>
      <c r="K1662" s="67">
        <f>IF($B1662="",0,IF(LEFT($B1662,1)="━",0,$C1662*VLOOKUP($B1662,'4. CÀI ĐẶT'!$A$2:$H$32,7,FALSE)))</f>
        <v/>
      </c>
    </row>
    <row r="1663">
      <c r="A1663" s="8" t="n"/>
      <c r="B1663" s="9" t="n"/>
      <c r="C1663" s="65" t="n"/>
      <c r="D1663" s="9" t="n"/>
      <c r="E1663" s="66">
        <f>IF($B1663="","",IF(LEFT($B1663,1)="━","⚠️ Chọn hạng mục cụ thể",$C1663*VLOOKUP($B1663,'4. CÀI ĐẶT'!$A$2:$H$32,2,FALSE)))</f>
        <v/>
      </c>
      <c r="F1663" s="67">
        <f>IF($B1663="",0,IF(LEFT($B1663,1)="━",0,$C1663*VLOOKUP($B1663,'4. CÀI ĐẶT'!$A$2:$H$32,3,FALSE)))</f>
        <v/>
      </c>
      <c r="G1663" s="67">
        <f>IF($B1663="",0,IF(LEFT($B1663,1)="━",0,$C1663*VLOOKUP($B1663,'4. CÀI ĐẶT'!$A$2:$H$32,4,FALSE)))</f>
        <v/>
      </c>
      <c r="H1663" s="67">
        <f>IF($B1663="",0,IF(LEFT($B1663,1)="━",0,$C1663*VLOOKUP($B1663,'4. CÀI ĐẶT'!$A$2:$H$32,5,FALSE)))</f>
        <v/>
      </c>
      <c r="I1663">
        <f>IF($B1663="","",IF(LEFT($B1663,1)="━","",VLOOKUP($B1663,'4. CÀI ĐẶT'!$A$2:$H$32,6,FALSE)))</f>
        <v/>
      </c>
      <c r="J1663" s="13">
        <f>IF($A1663="","",EOMONTH($A1663,0))</f>
        <v/>
      </c>
      <c r="K1663" s="67">
        <f>IF($B1663="",0,IF(LEFT($B1663,1)="━",0,$C1663*VLOOKUP($B1663,'4. CÀI ĐẶT'!$A$2:$H$32,7,FALSE)))</f>
        <v/>
      </c>
    </row>
    <row r="1664">
      <c r="A1664" s="8" t="n"/>
      <c r="B1664" s="9" t="n"/>
      <c r="C1664" s="65" t="n"/>
      <c r="D1664" s="9" t="n"/>
      <c r="E1664" s="66">
        <f>IF($B1664="","",IF(LEFT($B1664,1)="━","⚠️ Chọn hạng mục cụ thể",$C1664*VLOOKUP($B1664,'4. CÀI ĐẶT'!$A$2:$H$32,2,FALSE)))</f>
        <v/>
      </c>
      <c r="F1664" s="67">
        <f>IF($B1664="",0,IF(LEFT($B1664,1)="━",0,$C1664*VLOOKUP($B1664,'4. CÀI ĐẶT'!$A$2:$H$32,3,FALSE)))</f>
        <v/>
      </c>
      <c r="G1664" s="67">
        <f>IF($B1664="",0,IF(LEFT($B1664,1)="━",0,$C1664*VLOOKUP($B1664,'4. CÀI ĐẶT'!$A$2:$H$32,4,FALSE)))</f>
        <v/>
      </c>
      <c r="H1664" s="67">
        <f>IF($B1664="",0,IF(LEFT($B1664,1)="━",0,$C1664*VLOOKUP($B1664,'4. CÀI ĐẶT'!$A$2:$H$32,5,FALSE)))</f>
        <v/>
      </c>
      <c r="I1664">
        <f>IF($B1664="","",IF(LEFT($B1664,1)="━","",VLOOKUP($B1664,'4. CÀI ĐẶT'!$A$2:$H$32,6,FALSE)))</f>
        <v/>
      </c>
      <c r="J1664" s="13">
        <f>IF($A1664="","",EOMONTH($A1664,0))</f>
        <v/>
      </c>
      <c r="K1664" s="67">
        <f>IF($B1664="",0,IF(LEFT($B1664,1)="━",0,$C1664*VLOOKUP($B1664,'4. CÀI ĐẶT'!$A$2:$H$32,7,FALSE)))</f>
        <v/>
      </c>
    </row>
    <row r="1665">
      <c r="A1665" s="8" t="n"/>
      <c r="B1665" s="9" t="n"/>
      <c r="C1665" s="65" t="n"/>
      <c r="D1665" s="9" t="n"/>
      <c r="E1665" s="66">
        <f>IF($B1665="","",IF(LEFT($B1665,1)="━","⚠️ Chọn hạng mục cụ thể",$C1665*VLOOKUP($B1665,'4. CÀI ĐẶT'!$A$2:$H$32,2,FALSE)))</f>
        <v/>
      </c>
      <c r="F1665" s="67">
        <f>IF($B1665="",0,IF(LEFT($B1665,1)="━",0,$C1665*VLOOKUP($B1665,'4. CÀI ĐẶT'!$A$2:$H$32,3,FALSE)))</f>
        <v/>
      </c>
      <c r="G1665" s="67">
        <f>IF($B1665="",0,IF(LEFT($B1665,1)="━",0,$C1665*VLOOKUP($B1665,'4. CÀI ĐẶT'!$A$2:$H$32,4,FALSE)))</f>
        <v/>
      </c>
      <c r="H1665" s="67">
        <f>IF($B1665="",0,IF(LEFT($B1665,1)="━",0,$C1665*VLOOKUP($B1665,'4. CÀI ĐẶT'!$A$2:$H$32,5,FALSE)))</f>
        <v/>
      </c>
      <c r="I1665">
        <f>IF($B1665="","",IF(LEFT($B1665,1)="━","",VLOOKUP($B1665,'4. CÀI ĐẶT'!$A$2:$H$32,6,FALSE)))</f>
        <v/>
      </c>
      <c r="J1665" s="13">
        <f>IF($A1665="","",EOMONTH($A1665,0))</f>
        <v/>
      </c>
      <c r="K1665" s="67">
        <f>IF($B1665="",0,IF(LEFT($B1665,1)="━",0,$C1665*VLOOKUP($B1665,'4. CÀI ĐẶT'!$A$2:$H$32,7,FALSE)))</f>
        <v/>
      </c>
    </row>
    <row r="1666">
      <c r="A1666" s="8" t="n"/>
      <c r="B1666" s="9" t="n"/>
      <c r="C1666" s="65" t="n"/>
      <c r="D1666" s="9" t="n"/>
      <c r="E1666" s="66">
        <f>IF($B1666="","",IF(LEFT($B1666,1)="━","⚠️ Chọn hạng mục cụ thể",$C1666*VLOOKUP($B1666,'4. CÀI ĐẶT'!$A$2:$H$32,2,FALSE)))</f>
        <v/>
      </c>
      <c r="F1666" s="67">
        <f>IF($B1666="",0,IF(LEFT($B1666,1)="━",0,$C1666*VLOOKUP($B1666,'4. CÀI ĐẶT'!$A$2:$H$32,3,FALSE)))</f>
        <v/>
      </c>
      <c r="G1666" s="67">
        <f>IF($B1666="",0,IF(LEFT($B1666,1)="━",0,$C1666*VLOOKUP($B1666,'4. CÀI ĐẶT'!$A$2:$H$32,4,FALSE)))</f>
        <v/>
      </c>
      <c r="H1666" s="67">
        <f>IF($B1666="",0,IF(LEFT($B1666,1)="━",0,$C1666*VLOOKUP($B1666,'4. CÀI ĐẶT'!$A$2:$H$32,5,FALSE)))</f>
        <v/>
      </c>
      <c r="I1666">
        <f>IF($B1666="","",IF(LEFT($B1666,1)="━","",VLOOKUP($B1666,'4. CÀI ĐẶT'!$A$2:$H$32,6,FALSE)))</f>
        <v/>
      </c>
      <c r="J1666" s="13">
        <f>IF($A1666="","",EOMONTH($A1666,0))</f>
        <v/>
      </c>
      <c r="K1666" s="67">
        <f>IF($B1666="",0,IF(LEFT($B1666,1)="━",0,$C1666*VLOOKUP($B1666,'4. CÀI ĐẶT'!$A$2:$H$32,7,FALSE)))</f>
        <v/>
      </c>
    </row>
    <row r="1667">
      <c r="A1667" s="8" t="n"/>
      <c r="B1667" s="9" t="n"/>
      <c r="C1667" s="65" t="n"/>
      <c r="D1667" s="9" t="n"/>
      <c r="E1667" s="66">
        <f>IF($B1667="","",IF(LEFT($B1667,1)="━","⚠️ Chọn hạng mục cụ thể",$C1667*VLOOKUP($B1667,'4. CÀI ĐẶT'!$A$2:$H$32,2,FALSE)))</f>
        <v/>
      </c>
      <c r="F1667" s="67">
        <f>IF($B1667="",0,IF(LEFT($B1667,1)="━",0,$C1667*VLOOKUP($B1667,'4. CÀI ĐẶT'!$A$2:$H$32,3,FALSE)))</f>
        <v/>
      </c>
      <c r="G1667" s="67">
        <f>IF($B1667="",0,IF(LEFT($B1667,1)="━",0,$C1667*VLOOKUP($B1667,'4. CÀI ĐẶT'!$A$2:$H$32,4,FALSE)))</f>
        <v/>
      </c>
      <c r="H1667" s="67">
        <f>IF($B1667="",0,IF(LEFT($B1667,1)="━",0,$C1667*VLOOKUP($B1667,'4. CÀI ĐẶT'!$A$2:$H$32,5,FALSE)))</f>
        <v/>
      </c>
      <c r="I1667">
        <f>IF($B1667="","",IF(LEFT($B1667,1)="━","",VLOOKUP($B1667,'4. CÀI ĐẶT'!$A$2:$H$32,6,FALSE)))</f>
        <v/>
      </c>
      <c r="J1667" s="13">
        <f>IF($A1667="","",EOMONTH($A1667,0))</f>
        <v/>
      </c>
      <c r="K1667" s="67">
        <f>IF($B1667="",0,IF(LEFT($B1667,1)="━",0,$C1667*VLOOKUP($B1667,'4. CÀI ĐẶT'!$A$2:$H$32,7,FALSE)))</f>
        <v/>
      </c>
    </row>
    <row r="1668">
      <c r="A1668" s="8" t="n"/>
      <c r="B1668" s="9" t="n"/>
      <c r="C1668" s="65" t="n"/>
      <c r="D1668" s="9" t="n"/>
      <c r="E1668" s="66">
        <f>IF($B1668="","",IF(LEFT($B1668,1)="━","⚠️ Chọn hạng mục cụ thể",$C1668*VLOOKUP($B1668,'4. CÀI ĐẶT'!$A$2:$H$32,2,FALSE)))</f>
        <v/>
      </c>
      <c r="F1668" s="67">
        <f>IF($B1668="",0,IF(LEFT($B1668,1)="━",0,$C1668*VLOOKUP($B1668,'4. CÀI ĐẶT'!$A$2:$H$32,3,FALSE)))</f>
        <v/>
      </c>
      <c r="G1668" s="67">
        <f>IF($B1668="",0,IF(LEFT($B1668,1)="━",0,$C1668*VLOOKUP($B1668,'4. CÀI ĐẶT'!$A$2:$H$32,4,FALSE)))</f>
        <v/>
      </c>
      <c r="H1668" s="67">
        <f>IF($B1668="",0,IF(LEFT($B1668,1)="━",0,$C1668*VLOOKUP($B1668,'4. CÀI ĐẶT'!$A$2:$H$32,5,FALSE)))</f>
        <v/>
      </c>
      <c r="I1668">
        <f>IF($B1668="","",IF(LEFT($B1668,1)="━","",VLOOKUP($B1668,'4. CÀI ĐẶT'!$A$2:$H$32,6,FALSE)))</f>
        <v/>
      </c>
      <c r="J1668" s="13">
        <f>IF($A1668="","",EOMONTH($A1668,0))</f>
        <v/>
      </c>
      <c r="K1668" s="67">
        <f>IF($B1668="",0,IF(LEFT($B1668,1)="━",0,$C1668*VLOOKUP($B1668,'4. CÀI ĐẶT'!$A$2:$H$32,7,FALSE)))</f>
        <v/>
      </c>
    </row>
    <row r="1669">
      <c r="A1669" s="8" t="n"/>
      <c r="B1669" s="9" t="n"/>
      <c r="C1669" s="65" t="n"/>
      <c r="D1669" s="9" t="n"/>
      <c r="E1669" s="66">
        <f>IF($B1669="","",IF(LEFT($B1669,1)="━","⚠️ Chọn hạng mục cụ thể",$C1669*VLOOKUP($B1669,'4. CÀI ĐẶT'!$A$2:$H$32,2,FALSE)))</f>
        <v/>
      </c>
      <c r="F1669" s="67">
        <f>IF($B1669="",0,IF(LEFT($B1669,1)="━",0,$C1669*VLOOKUP($B1669,'4. CÀI ĐẶT'!$A$2:$H$32,3,FALSE)))</f>
        <v/>
      </c>
      <c r="G1669" s="67">
        <f>IF($B1669="",0,IF(LEFT($B1669,1)="━",0,$C1669*VLOOKUP($B1669,'4. CÀI ĐẶT'!$A$2:$H$32,4,FALSE)))</f>
        <v/>
      </c>
      <c r="H1669" s="67">
        <f>IF($B1669="",0,IF(LEFT($B1669,1)="━",0,$C1669*VLOOKUP($B1669,'4. CÀI ĐẶT'!$A$2:$H$32,5,FALSE)))</f>
        <v/>
      </c>
      <c r="I1669">
        <f>IF($B1669="","",IF(LEFT($B1669,1)="━","",VLOOKUP($B1669,'4. CÀI ĐẶT'!$A$2:$H$32,6,FALSE)))</f>
        <v/>
      </c>
      <c r="J1669" s="13">
        <f>IF($A1669="","",EOMONTH($A1669,0))</f>
        <v/>
      </c>
      <c r="K1669" s="67">
        <f>IF($B1669="",0,IF(LEFT($B1669,1)="━",0,$C1669*VLOOKUP($B1669,'4. CÀI ĐẶT'!$A$2:$H$32,7,FALSE)))</f>
        <v/>
      </c>
    </row>
    <row r="1670">
      <c r="A1670" s="8" t="n"/>
      <c r="B1670" s="9" t="n"/>
      <c r="C1670" s="65" t="n"/>
      <c r="D1670" s="9" t="n"/>
      <c r="E1670" s="66">
        <f>IF($B1670="","",IF(LEFT($B1670,1)="━","⚠️ Chọn hạng mục cụ thể",$C1670*VLOOKUP($B1670,'4. CÀI ĐẶT'!$A$2:$H$32,2,FALSE)))</f>
        <v/>
      </c>
      <c r="F1670" s="67">
        <f>IF($B1670="",0,IF(LEFT($B1670,1)="━",0,$C1670*VLOOKUP($B1670,'4. CÀI ĐẶT'!$A$2:$H$32,3,FALSE)))</f>
        <v/>
      </c>
      <c r="G1670" s="67">
        <f>IF($B1670="",0,IF(LEFT($B1670,1)="━",0,$C1670*VLOOKUP($B1670,'4. CÀI ĐẶT'!$A$2:$H$32,4,FALSE)))</f>
        <v/>
      </c>
      <c r="H1670" s="67">
        <f>IF($B1670="",0,IF(LEFT($B1670,1)="━",0,$C1670*VLOOKUP($B1670,'4. CÀI ĐẶT'!$A$2:$H$32,5,FALSE)))</f>
        <v/>
      </c>
      <c r="I1670">
        <f>IF($B1670="","",IF(LEFT($B1670,1)="━","",VLOOKUP($B1670,'4. CÀI ĐẶT'!$A$2:$H$32,6,FALSE)))</f>
        <v/>
      </c>
      <c r="J1670" s="13">
        <f>IF($A1670="","",EOMONTH($A1670,0))</f>
        <v/>
      </c>
      <c r="K1670" s="67">
        <f>IF($B1670="",0,IF(LEFT($B1670,1)="━",0,$C1670*VLOOKUP($B1670,'4. CÀI ĐẶT'!$A$2:$H$32,7,FALSE)))</f>
        <v/>
      </c>
    </row>
    <row r="1671">
      <c r="A1671" s="8" t="n"/>
      <c r="B1671" s="9" t="n"/>
      <c r="C1671" s="65" t="n"/>
      <c r="D1671" s="9" t="n"/>
      <c r="E1671" s="66">
        <f>IF($B1671="","",IF(LEFT($B1671,1)="━","⚠️ Chọn hạng mục cụ thể",$C1671*VLOOKUP($B1671,'4. CÀI ĐẶT'!$A$2:$H$32,2,FALSE)))</f>
        <v/>
      </c>
      <c r="F1671" s="67">
        <f>IF($B1671="",0,IF(LEFT($B1671,1)="━",0,$C1671*VLOOKUP($B1671,'4. CÀI ĐẶT'!$A$2:$H$32,3,FALSE)))</f>
        <v/>
      </c>
      <c r="G1671" s="67">
        <f>IF($B1671="",0,IF(LEFT($B1671,1)="━",0,$C1671*VLOOKUP($B1671,'4. CÀI ĐẶT'!$A$2:$H$32,4,FALSE)))</f>
        <v/>
      </c>
      <c r="H1671" s="67">
        <f>IF($B1671="",0,IF(LEFT($B1671,1)="━",0,$C1671*VLOOKUP($B1671,'4. CÀI ĐẶT'!$A$2:$H$32,5,FALSE)))</f>
        <v/>
      </c>
      <c r="I1671">
        <f>IF($B1671="","",IF(LEFT($B1671,1)="━","",VLOOKUP($B1671,'4. CÀI ĐẶT'!$A$2:$H$32,6,FALSE)))</f>
        <v/>
      </c>
      <c r="J1671" s="13">
        <f>IF($A1671="","",EOMONTH($A1671,0))</f>
        <v/>
      </c>
      <c r="K1671" s="67">
        <f>IF($B1671="",0,IF(LEFT($B1671,1)="━",0,$C1671*VLOOKUP($B1671,'4. CÀI ĐẶT'!$A$2:$H$32,7,FALSE)))</f>
        <v/>
      </c>
    </row>
    <row r="1672">
      <c r="A1672" s="8" t="n"/>
      <c r="B1672" s="9" t="n"/>
      <c r="C1672" s="65" t="n"/>
      <c r="D1672" s="9" t="n"/>
      <c r="E1672" s="66">
        <f>IF($B1672="","",IF(LEFT($B1672,1)="━","⚠️ Chọn hạng mục cụ thể",$C1672*VLOOKUP($B1672,'4. CÀI ĐẶT'!$A$2:$H$32,2,FALSE)))</f>
        <v/>
      </c>
      <c r="F1672" s="67">
        <f>IF($B1672="",0,IF(LEFT($B1672,1)="━",0,$C1672*VLOOKUP($B1672,'4. CÀI ĐẶT'!$A$2:$H$32,3,FALSE)))</f>
        <v/>
      </c>
      <c r="G1672" s="67">
        <f>IF($B1672="",0,IF(LEFT($B1672,1)="━",0,$C1672*VLOOKUP($B1672,'4. CÀI ĐẶT'!$A$2:$H$32,4,FALSE)))</f>
        <v/>
      </c>
      <c r="H1672" s="67">
        <f>IF($B1672="",0,IF(LEFT($B1672,1)="━",0,$C1672*VLOOKUP($B1672,'4. CÀI ĐẶT'!$A$2:$H$32,5,FALSE)))</f>
        <v/>
      </c>
      <c r="I1672">
        <f>IF($B1672="","",IF(LEFT($B1672,1)="━","",VLOOKUP($B1672,'4. CÀI ĐẶT'!$A$2:$H$32,6,FALSE)))</f>
        <v/>
      </c>
      <c r="J1672" s="13">
        <f>IF($A1672="","",EOMONTH($A1672,0))</f>
        <v/>
      </c>
      <c r="K1672" s="67">
        <f>IF($B1672="",0,IF(LEFT($B1672,1)="━",0,$C1672*VLOOKUP($B1672,'4. CÀI ĐẶT'!$A$2:$H$32,7,FALSE)))</f>
        <v/>
      </c>
    </row>
    <row r="1673">
      <c r="A1673" s="8" t="n"/>
      <c r="B1673" s="9" t="n"/>
      <c r="C1673" s="65" t="n"/>
      <c r="D1673" s="9" t="n"/>
      <c r="E1673" s="66">
        <f>IF($B1673="","",IF(LEFT($B1673,1)="━","⚠️ Chọn hạng mục cụ thể",$C1673*VLOOKUP($B1673,'4. CÀI ĐẶT'!$A$2:$H$32,2,FALSE)))</f>
        <v/>
      </c>
      <c r="F1673" s="67">
        <f>IF($B1673="",0,IF(LEFT($B1673,1)="━",0,$C1673*VLOOKUP($B1673,'4. CÀI ĐẶT'!$A$2:$H$32,3,FALSE)))</f>
        <v/>
      </c>
      <c r="G1673" s="67">
        <f>IF($B1673="",0,IF(LEFT($B1673,1)="━",0,$C1673*VLOOKUP($B1673,'4. CÀI ĐẶT'!$A$2:$H$32,4,FALSE)))</f>
        <v/>
      </c>
      <c r="H1673" s="67">
        <f>IF($B1673="",0,IF(LEFT($B1673,1)="━",0,$C1673*VLOOKUP($B1673,'4. CÀI ĐẶT'!$A$2:$H$32,5,FALSE)))</f>
        <v/>
      </c>
      <c r="I1673">
        <f>IF($B1673="","",IF(LEFT($B1673,1)="━","",VLOOKUP($B1673,'4. CÀI ĐẶT'!$A$2:$H$32,6,FALSE)))</f>
        <v/>
      </c>
      <c r="J1673" s="13">
        <f>IF($A1673="","",EOMONTH($A1673,0))</f>
        <v/>
      </c>
      <c r="K1673" s="67">
        <f>IF($B1673="",0,IF(LEFT($B1673,1)="━",0,$C1673*VLOOKUP($B1673,'4. CÀI ĐẶT'!$A$2:$H$32,7,FALSE)))</f>
        <v/>
      </c>
    </row>
    <row r="1674">
      <c r="A1674" s="8" t="n"/>
      <c r="B1674" s="9" t="n"/>
      <c r="C1674" s="65" t="n"/>
      <c r="D1674" s="9" t="n"/>
      <c r="E1674" s="66">
        <f>IF($B1674="","",IF(LEFT($B1674,1)="━","⚠️ Chọn hạng mục cụ thể",$C1674*VLOOKUP($B1674,'4. CÀI ĐẶT'!$A$2:$H$32,2,FALSE)))</f>
        <v/>
      </c>
      <c r="F1674" s="67">
        <f>IF($B1674="",0,IF(LEFT($B1674,1)="━",0,$C1674*VLOOKUP($B1674,'4. CÀI ĐẶT'!$A$2:$H$32,3,FALSE)))</f>
        <v/>
      </c>
      <c r="G1674" s="67">
        <f>IF($B1674="",0,IF(LEFT($B1674,1)="━",0,$C1674*VLOOKUP($B1674,'4. CÀI ĐẶT'!$A$2:$H$32,4,FALSE)))</f>
        <v/>
      </c>
      <c r="H1674" s="67">
        <f>IF($B1674="",0,IF(LEFT($B1674,1)="━",0,$C1674*VLOOKUP($B1674,'4. CÀI ĐẶT'!$A$2:$H$32,5,FALSE)))</f>
        <v/>
      </c>
      <c r="I1674">
        <f>IF($B1674="","",IF(LEFT($B1674,1)="━","",VLOOKUP($B1674,'4. CÀI ĐẶT'!$A$2:$H$32,6,FALSE)))</f>
        <v/>
      </c>
      <c r="J1674" s="13">
        <f>IF($A1674="","",EOMONTH($A1674,0))</f>
        <v/>
      </c>
      <c r="K1674" s="67">
        <f>IF($B1674="",0,IF(LEFT($B1674,1)="━",0,$C1674*VLOOKUP($B1674,'4. CÀI ĐẶT'!$A$2:$H$32,7,FALSE)))</f>
        <v/>
      </c>
    </row>
    <row r="1675">
      <c r="A1675" s="8" t="n"/>
      <c r="B1675" s="9" t="n"/>
      <c r="C1675" s="65" t="n"/>
      <c r="D1675" s="9" t="n"/>
      <c r="E1675" s="66">
        <f>IF($B1675="","",IF(LEFT($B1675,1)="━","⚠️ Chọn hạng mục cụ thể",$C1675*VLOOKUP($B1675,'4. CÀI ĐẶT'!$A$2:$H$32,2,FALSE)))</f>
        <v/>
      </c>
      <c r="F1675" s="67">
        <f>IF($B1675="",0,IF(LEFT($B1675,1)="━",0,$C1675*VLOOKUP($B1675,'4. CÀI ĐẶT'!$A$2:$H$32,3,FALSE)))</f>
        <v/>
      </c>
      <c r="G1675" s="67">
        <f>IF($B1675="",0,IF(LEFT($B1675,1)="━",0,$C1675*VLOOKUP($B1675,'4. CÀI ĐẶT'!$A$2:$H$32,4,FALSE)))</f>
        <v/>
      </c>
      <c r="H1675" s="67">
        <f>IF($B1675="",0,IF(LEFT($B1675,1)="━",0,$C1675*VLOOKUP($B1675,'4. CÀI ĐẶT'!$A$2:$H$32,5,FALSE)))</f>
        <v/>
      </c>
      <c r="I1675">
        <f>IF($B1675="","",IF(LEFT($B1675,1)="━","",VLOOKUP($B1675,'4. CÀI ĐẶT'!$A$2:$H$32,6,FALSE)))</f>
        <v/>
      </c>
      <c r="J1675" s="13">
        <f>IF($A1675="","",EOMONTH($A1675,0))</f>
        <v/>
      </c>
      <c r="K1675" s="67">
        <f>IF($B1675="",0,IF(LEFT($B1675,1)="━",0,$C1675*VLOOKUP($B1675,'4. CÀI ĐẶT'!$A$2:$H$32,7,FALSE)))</f>
        <v/>
      </c>
    </row>
    <row r="1676">
      <c r="A1676" s="8" t="n"/>
      <c r="B1676" s="9" t="n"/>
      <c r="C1676" s="65" t="n"/>
      <c r="D1676" s="9" t="n"/>
      <c r="E1676" s="66">
        <f>IF($B1676="","",IF(LEFT($B1676,1)="━","⚠️ Chọn hạng mục cụ thể",$C1676*VLOOKUP($B1676,'4. CÀI ĐẶT'!$A$2:$H$32,2,FALSE)))</f>
        <v/>
      </c>
      <c r="F1676" s="67">
        <f>IF($B1676="",0,IF(LEFT($B1676,1)="━",0,$C1676*VLOOKUP($B1676,'4. CÀI ĐẶT'!$A$2:$H$32,3,FALSE)))</f>
        <v/>
      </c>
      <c r="G1676" s="67">
        <f>IF($B1676="",0,IF(LEFT($B1676,1)="━",0,$C1676*VLOOKUP($B1676,'4. CÀI ĐẶT'!$A$2:$H$32,4,FALSE)))</f>
        <v/>
      </c>
      <c r="H1676" s="67">
        <f>IF($B1676="",0,IF(LEFT($B1676,1)="━",0,$C1676*VLOOKUP($B1676,'4. CÀI ĐẶT'!$A$2:$H$32,5,FALSE)))</f>
        <v/>
      </c>
      <c r="I1676">
        <f>IF($B1676="","",IF(LEFT($B1676,1)="━","",VLOOKUP($B1676,'4. CÀI ĐẶT'!$A$2:$H$32,6,FALSE)))</f>
        <v/>
      </c>
      <c r="J1676" s="13">
        <f>IF($A1676="","",EOMONTH($A1676,0))</f>
        <v/>
      </c>
      <c r="K1676" s="67">
        <f>IF($B1676="",0,IF(LEFT($B1676,1)="━",0,$C1676*VLOOKUP($B1676,'4. CÀI ĐẶT'!$A$2:$H$32,7,FALSE)))</f>
        <v/>
      </c>
    </row>
    <row r="1677">
      <c r="A1677" s="8" t="n"/>
      <c r="B1677" s="9" t="n"/>
      <c r="C1677" s="65" t="n"/>
      <c r="D1677" s="9" t="n"/>
      <c r="E1677" s="66">
        <f>IF($B1677="","",IF(LEFT($B1677,1)="━","⚠️ Chọn hạng mục cụ thể",$C1677*VLOOKUP($B1677,'4. CÀI ĐẶT'!$A$2:$H$32,2,FALSE)))</f>
        <v/>
      </c>
      <c r="F1677" s="67">
        <f>IF($B1677="",0,IF(LEFT($B1677,1)="━",0,$C1677*VLOOKUP($B1677,'4. CÀI ĐẶT'!$A$2:$H$32,3,FALSE)))</f>
        <v/>
      </c>
      <c r="G1677" s="67">
        <f>IF($B1677="",0,IF(LEFT($B1677,1)="━",0,$C1677*VLOOKUP($B1677,'4. CÀI ĐẶT'!$A$2:$H$32,4,FALSE)))</f>
        <v/>
      </c>
      <c r="H1677" s="67">
        <f>IF($B1677="",0,IF(LEFT($B1677,1)="━",0,$C1677*VLOOKUP($B1677,'4. CÀI ĐẶT'!$A$2:$H$32,5,FALSE)))</f>
        <v/>
      </c>
      <c r="I1677">
        <f>IF($B1677="","",IF(LEFT($B1677,1)="━","",VLOOKUP($B1677,'4. CÀI ĐẶT'!$A$2:$H$32,6,FALSE)))</f>
        <v/>
      </c>
      <c r="J1677" s="13">
        <f>IF($A1677="","",EOMONTH($A1677,0))</f>
        <v/>
      </c>
      <c r="K1677" s="67">
        <f>IF($B1677="",0,IF(LEFT($B1677,1)="━",0,$C1677*VLOOKUP($B1677,'4. CÀI ĐẶT'!$A$2:$H$32,7,FALSE)))</f>
        <v/>
      </c>
    </row>
    <row r="1678">
      <c r="A1678" s="8" t="n"/>
      <c r="B1678" s="9" t="n"/>
      <c r="C1678" s="65" t="n"/>
      <c r="D1678" s="9" t="n"/>
      <c r="E1678" s="66">
        <f>IF($B1678="","",IF(LEFT($B1678,1)="━","⚠️ Chọn hạng mục cụ thể",$C1678*VLOOKUP($B1678,'4. CÀI ĐẶT'!$A$2:$H$32,2,FALSE)))</f>
        <v/>
      </c>
      <c r="F1678" s="67">
        <f>IF($B1678="",0,IF(LEFT($B1678,1)="━",0,$C1678*VLOOKUP($B1678,'4. CÀI ĐẶT'!$A$2:$H$32,3,FALSE)))</f>
        <v/>
      </c>
      <c r="G1678" s="67">
        <f>IF($B1678="",0,IF(LEFT($B1678,1)="━",0,$C1678*VLOOKUP($B1678,'4. CÀI ĐẶT'!$A$2:$H$32,4,FALSE)))</f>
        <v/>
      </c>
      <c r="H1678" s="67">
        <f>IF($B1678="",0,IF(LEFT($B1678,1)="━",0,$C1678*VLOOKUP($B1678,'4. CÀI ĐẶT'!$A$2:$H$32,5,FALSE)))</f>
        <v/>
      </c>
      <c r="I1678">
        <f>IF($B1678="","",IF(LEFT($B1678,1)="━","",VLOOKUP($B1678,'4. CÀI ĐẶT'!$A$2:$H$32,6,FALSE)))</f>
        <v/>
      </c>
      <c r="J1678" s="13">
        <f>IF($A1678="","",EOMONTH($A1678,0))</f>
        <v/>
      </c>
      <c r="K1678" s="67">
        <f>IF($B1678="",0,IF(LEFT($B1678,1)="━",0,$C1678*VLOOKUP($B1678,'4. CÀI ĐẶT'!$A$2:$H$32,7,FALSE)))</f>
        <v/>
      </c>
    </row>
    <row r="1679">
      <c r="A1679" s="8" t="n"/>
      <c r="B1679" s="9" t="n"/>
      <c r="C1679" s="65" t="n"/>
      <c r="D1679" s="9" t="n"/>
      <c r="E1679" s="66">
        <f>IF($B1679="","",IF(LEFT($B1679,1)="━","⚠️ Chọn hạng mục cụ thể",$C1679*VLOOKUP($B1679,'4. CÀI ĐẶT'!$A$2:$H$32,2,FALSE)))</f>
        <v/>
      </c>
      <c r="F1679" s="67">
        <f>IF($B1679="",0,IF(LEFT($B1679,1)="━",0,$C1679*VLOOKUP($B1679,'4. CÀI ĐẶT'!$A$2:$H$32,3,FALSE)))</f>
        <v/>
      </c>
      <c r="G1679" s="67">
        <f>IF($B1679="",0,IF(LEFT($B1679,1)="━",0,$C1679*VLOOKUP($B1679,'4. CÀI ĐẶT'!$A$2:$H$32,4,FALSE)))</f>
        <v/>
      </c>
      <c r="H1679" s="67">
        <f>IF($B1679="",0,IF(LEFT($B1679,1)="━",0,$C1679*VLOOKUP($B1679,'4. CÀI ĐẶT'!$A$2:$H$32,5,FALSE)))</f>
        <v/>
      </c>
      <c r="I1679">
        <f>IF($B1679="","",IF(LEFT($B1679,1)="━","",VLOOKUP($B1679,'4. CÀI ĐẶT'!$A$2:$H$32,6,FALSE)))</f>
        <v/>
      </c>
      <c r="J1679" s="13">
        <f>IF($A1679="","",EOMONTH($A1679,0))</f>
        <v/>
      </c>
      <c r="K1679" s="67">
        <f>IF($B1679="",0,IF(LEFT($B1679,1)="━",0,$C1679*VLOOKUP($B1679,'4. CÀI ĐẶT'!$A$2:$H$32,7,FALSE)))</f>
        <v/>
      </c>
    </row>
    <row r="1680">
      <c r="A1680" s="8" t="n"/>
      <c r="B1680" s="9" t="n"/>
      <c r="C1680" s="65" t="n"/>
      <c r="D1680" s="9" t="n"/>
      <c r="E1680" s="66">
        <f>IF($B1680="","",IF(LEFT($B1680,1)="━","⚠️ Chọn hạng mục cụ thể",$C1680*VLOOKUP($B1680,'4. CÀI ĐẶT'!$A$2:$H$32,2,FALSE)))</f>
        <v/>
      </c>
      <c r="F1680" s="67">
        <f>IF($B1680="",0,IF(LEFT($B1680,1)="━",0,$C1680*VLOOKUP($B1680,'4. CÀI ĐẶT'!$A$2:$H$32,3,FALSE)))</f>
        <v/>
      </c>
      <c r="G1680" s="67">
        <f>IF($B1680="",0,IF(LEFT($B1680,1)="━",0,$C1680*VLOOKUP($B1680,'4. CÀI ĐẶT'!$A$2:$H$32,4,FALSE)))</f>
        <v/>
      </c>
      <c r="H1680" s="67">
        <f>IF($B1680="",0,IF(LEFT($B1680,1)="━",0,$C1680*VLOOKUP($B1680,'4. CÀI ĐẶT'!$A$2:$H$32,5,FALSE)))</f>
        <v/>
      </c>
      <c r="I1680">
        <f>IF($B1680="","",IF(LEFT($B1680,1)="━","",VLOOKUP($B1680,'4. CÀI ĐẶT'!$A$2:$H$32,6,FALSE)))</f>
        <v/>
      </c>
      <c r="J1680" s="13">
        <f>IF($A1680="","",EOMONTH($A1680,0))</f>
        <v/>
      </c>
      <c r="K1680" s="67">
        <f>IF($B1680="",0,IF(LEFT($B1680,1)="━",0,$C1680*VLOOKUP($B1680,'4. CÀI ĐẶT'!$A$2:$H$32,7,FALSE)))</f>
        <v/>
      </c>
    </row>
    <row r="1681">
      <c r="A1681" s="8" t="n"/>
      <c r="B1681" s="9" t="n"/>
      <c r="C1681" s="65" t="n"/>
      <c r="D1681" s="9" t="n"/>
      <c r="E1681" s="66">
        <f>IF($B1681="","",IF(LEFT($B1681,1)="━","⚠️ Chọn hạng mục cụ thể",$C1681*VLOOKUP($B1681,'4. CÀI ĐẶT'!$A$2:$H$32,2,FALSE)))</f>
        <v/>
      </c>
      <c r="F1681" s="67">
        <f>IF($B1681="",0,IF(LEFT($B1681,1)="━",0,$C1681*VLOOKUP($B1681,'4. CÀI ĐẶT'!$A$2:$H$32,3,FALSE)))</f>
        <v/>
      </c>
      <c r="G1681" s="67">
        <f>IF($B1681="",0,IF(LEFT($B1681,1)="━",0,$C1681*VLOOKUP($B1681,'4. CÀI ĐẶT'!$A$2:$H$32,4,FALSE)))</f>
        <v/>
      </c>
      <c r="H1681" s="67">
        <f>IF($B1681="",0,IF(LEFT($B1681,1)="━",0,$C1681*VLOOKUP($B1681,'4. CÀI ĐẶT'!$A$2:$H$32,5,FALSE)))</f>
        <v/>
      </c>
      <c r="I1681">
        <f>IF($B1681="","",IF(LEFT($B1681,1)="━","",VLOOKUP($B1681,'4. CÀI ĐẶT'!$A$2:$H$32,6,FALSE)))</f>
        <v/>
      </c>
      <c r="J1681" s="13">
        <f>IF($A1681="","",EOMONTH($A1681,0))</f>
        <v/>
      </c>
      <c r="K1681" s="67">
        <f>IF($B1681="",0,IF(LEFT($B1681,1)="━",0,$C1681*VLOOKUP($B1681,'4. CÀI ĐẶT'!$A$2:$H$32,7,FALSE)))</f>
        <v/>
      </c>
    </row>
    <row r="1682">
      <c r="A1682" s="8" t="n"/>
      <c r="B1682" s="9" t="n"/>
      <c r="C1682" s="65" t="n"/>
      <c r="D1682" s="9" t="n"/>
      <c r="E1682" s="66">
        <f>IF($B1682="","",IF(LEFT($B1682,1)="━","⚠️ Chọn hạng mục cụ thể",$C1682*VLOOKUP($B1682,'4. CÀI ĐẶT'!$A$2:$H$32,2,FALSE)))</f>
        <v/>
      </c>
      <c r="F1682" s="67">
        <f>IF($B1682="",0,IF(LEFT($B1682,1)="━",0,$C1682*VLOOKUP($B1682,'4. CÀI ĐẶT'!$A$2:$H$32,3,FALSE)))</f>
        <v/>
      </c>
      <c r="G1682" s="67">
        <f>IF($B1682="",0,IF(LEFT($B1682,1)="━",0,$C1682*VLOOKUP($B1682,'4. CÀI ĐẶT'!$A$2:$H$32,4,FALSE)))</f>
        <v/>
      </c>
      <c r="H1682" s="67">
        <f>IF($B1682="",0,IF(LEFT($B1682,1)="━",0,$C1682*VLOOKUP($B1682,'4. CÀI ĐẶT'!$A$2:$H$32,5,FALSE)))</f>
        <v/>
      </c>
      <c r="I1682">
        <f>IF($B1682="","",IF(LEFT($B1682,1)="━","",VLOOKUP($B1682,'4. CÀI ĐẶT'!$A$2:$H$32,6,FALSE)))</f>
        <v/>
      </c>
      <c r="J1682" s="13">
        <f>IF($A1682="","",EOMONTH($A1682,0))</f>
        <v/>
      </c>
      <c r="K1682" s="67">
        <f>IF($B1682="",0,IF(LEFT($B1682,1)="━",0,$C1682*VLOOKUP($B1682,'4. CÀI ĐẶT'!$A$2:$H$32,7,FALSE)))</f>
        <v/>
      </c>
    </row>
    <row r="1683">
      <c r="A1683" s="8" t="n"/>
      <c r="B1683" s="9" t="n"/>
      <c r="C1683" s="65" t="n"/>
      <c r="D1683" s="9" t="n"/>
      <c r="E1683" s="66">
        <f>IF($B1683="","",IF(LEFT($B1683,1)="━","⚠️ Chọn hạng mục cụ thể",$C1683*VLOOKUP($B1683,'4. CÀI ĐẶT'!$A$2:$H$32,2,FALSE)))</f>
        <v/>
      </c>
      <c r="F1683" s="67">
        <f>IF($B1683="",0,IF(LEFT($B1683,1)="━",0,$C1683*VLOOKUP($B1683,'4. CÀI ĐẶT'!$A$2:$H$32,3,FALSE)))</f>
        <v/>
      </c>
      <c r="G1683" s="67">
        <f>IF($B1683="",0,IF(LEFT($B1683,1)="━",0,$C1683*VLOOKUP($B1683,'4. CÀI ĐẶT'!$A$2:$H$32,4,FALSE)))</f>
        <v/>
      </c>
      <c r="H1683" s="67">
        <f>IF($B1683="",0,IF(LEFT($B1683,1)="━",0,$C1683*VLOOKUP($B1683,'4. CÀI ĐẶT'!$A$2:$H$32,5,FALSE)))</f>
        <v/>
      </c>
      <c r="I1683">
        <f>IF($B1683="","",IF(LEFT($B1683,1)="━","",VLOOKUP($B1683,'4. CÀI ĐẶT'!$A$2:$H$32,6,FALSE)))</f>
        <v/>
      </c>
      <c r="J1683" s="13">
        <f>IF($A1683="","",EOMONTH($A1683,0))</f>
        <v/>
      </c>
      <c r="K1683" s="67">
        <f>IF($B1683="",0,IF(LEFT($B1683,1)="━",0,$C1683*VLOOKUP($B1683,'4. CÀI ĐẶT'!$A$2:$H$32,7,FALSE)))</f>
        <v/>
      </c>
    </row>
    <row r="1684">
      <c r="A1684" s="8" t="n"/>
      <c r="B1684" s="9" t="n"/>
      <c r="C1684" s="65" t="n"/>
      <c r="D1684" s="9" t="n"/>
      <c r="E1684" s="66">
        <f>IF($B1684="","",IF(LEFT($B1684,1)="━","⚠️ Chọn hạng mục cụ thể",$C1684*VLOOKUP($B1684,'4. CÀI ĐẶT'!$A$2:$H$32,2,FALSE)))</f>
        <v/>
      </c>
      <c r="F1684" s="67">
        <f>IF($B1684="",0,IF(LEFT($B1684,1)="━",0,$C1684*VLOOKUP($B1684,'4. CÀI ĐẶT'!$A$2:$H$32,3,FALSE)))</f>
        <v/>
      </c>
      <c r="G1684" s="67">
        <f>IF($B1684="",0,IF(LEFT($B1684,1)="━",0,$C1684*VLOOKUP($B1684,'4. CÀI ĐẶT'!$A$2:$H$32,4,FALSE)))</f>
        <v/>
      </c>
      <c r="H1684" s="67">
        <f>IF($B1684="",0,IF(LEFT($B1684,1)="━",0,$C1684*VLOOKUP($B1684,'4. CÀI ĐẶT'!$A$2:$H$32,5,FALSE)))</f>
        <v/>
      </c>
      <c r="I1684">
        <f>IF($B1684="","",IF(LEFT($B1684,1)="━","",VLOOKUP($B1684,'4. CÀI ĐẶT'!$A$2:$H$32,6,FALSE)))</f>
        <v/>
      </c>
      <c r="J1684" s="13">
        <f>IF($A1684="","",EOMONTH($A1684,0))</f>
        <v/>
      </c>
      <c r="K1684" s="67">
        <f>IF($B1684="",0,IF(LEFT($B1684,1)="━",0,$C1684*VLOOKUP($B1684,'4. CÀI ĐẶT'!$A$2:$H$32,7,FALSE)))</f>
        <v/>
      </c>
    </row>
    <row r="1685">
      <c r="A1685" s="8" t="n"/>
      <c r="B1685" s="9" t="n"/>
      <c r="C1685" s="65" t="n"/>
      <c r="D1685" s="9" t="n"/>
      <c r="E1685" s="66">
        <f>IF($B1685="","",IF(LEFT($B1685,1)="━","⚠️ Chọn hạng mục cụ thể",$C1685*VLOOKUP($B1685,'4. CÀI ĐẶT'!$A$2:$H$32,2,FALSE)))</f>
        <v/>
      </c>
      <c r="F1685" s="67">
        <f>IF($B1685="",0,IF(LEFT($B1685,1)="━",0,$C1685*VLOOKUP($B1685,'4. CÀI ĐẶT'!$A$2:$H$32,3,FALSE)))</f>
        <v/>
      </c>
      <c r="G1685" s="67">
        <f>IF($B1685="",0,IF(LEFT($B1685,1)="━",0,$C1685*VLOOKUP($B1685,'4. CÀI ĐẶT'!$A$2:$H$32,4,FALSE)))</f>
        <v/>
      </c>
      <c r="H1685" s="67">
        <f>IF($B1685="",0,IF(LEFT($B1685,1)="━",0,$C1685*VLOOKUP($B1685,'4. CÀI ĐẶT'!$A$2:$H$32,5,FALSE)))</f>
        <v/>
      </c>
      <c r="I1685">
        <f>IF($B1685="","",IF(LEFT($B1685,1)="━","",VLOOKUP($B1685,'4. CÀI ĐẶT'!$A$2:$H$32,6,FALSE)))</f>
        <v/>
      </c>
      <c r="J1685" s="13">
        <f>IF($A1685="","",EOMONTH($A1685,0))</f>
        <v/>
      </c>
      <c r="K1685" s="67">
        <f>IF($B1685="",0,IF(LEFT($B1685,1)="━",0,$C1685*VLOOKUP($B1685,'4. CÀI ĐẶT'!$A$2:$H$32,7,FALSE)))</f>
        <v/>
      </c>
    </row>
    <row r="1686">
      <c r="A1686" s="8" t="n"/>
      <c r="B1686" s="9" t="n"/>
      <c r="C1686" s="65" t="n"/>
      <c r="D1686" s="9" t="n"/>
      <c r="E1686" s="66">
        <f>IF($B1686="","",IF(LEFT($B1686,1)="━","⚠️ Chọn hạng mục cụ thể",$C1686*VLOOKUP($B1686,'4. CÀI ĐẶT'!$A$2:$H$32,2,FALSE)))</f>
        <v/>
      </c>
      <c r="F1686" s="67">
        <f>IF($B1686="",0,IF(LEFT($B1686,1)="━",0,$C1686*VLOOKUP($B1686,'4. CÀI ĐẶT'!$A$2:$H$32,3,FALSE)))</f>
        <v/>
      </c>
      <c r="G1686" s="67">
        <f>IF($B1686="",0,IF(LEFT($B1686,1)="━",0,$C1686*VLOOKUP($B1686,'4. CÀI ĐẶT'!$A$2:$H$32,4,FALSE)))</f>
        <v/>
      </c>
      <c r="H1686" s="67">
        <f>IF($B1686="",0,IF(LEFT($B1686,1)="━",0,$C1686*VLOOKUP($B1686,'4. CÀI ĐẶT'!$A$2:$H$32,5,FALSE)))</f>
        <v/>
      </c>
      <c r="I1686">
        <f>IF($B1686="","",IF(LEFT($B1686,1)="━","",VLOOKUP($B1686,'4. CÀI ĐẶT'!$A$2:$H$32,6,FALSE)))</f>
        <v/>
      </c>
      <c r="J1686" s="13">
        <f>IF($A1686="","",EOMONTH($A1686,0))</f>
        <v/>
      </c>
      <c r="K1686" s="67">
        <f>IF($B1686="",0,IF(LEFT($B1686,1)="━",0,$C1686*VLOOKUP($B1686,'4. CÀI ĐẶT'!$A$2:$H$32,7,FALSE)))</f>
        <v/>
      </c>
    </row>
    <row r="1687">
      <c r="A1687" s="8" t="n"/>
      <c r="B1687" s="9" t="n"/>
      <c r="C1687" s="65" t="n"/>
      <c r="D1687" s="9" t="n"/>
      <c r="E1687" s="66">
        <f>IF($B1687="","",IF(LEFT($B1687,1)="━","⚠️ Chọn hạng mục cụ thể",$C1687*VLOOKUP($B1687,'4. CÀI ĐẶT'!$A$2:$H$32,2,FALSE)))</f>
        <v/>
      </c>
      <c r="F1687" s="67">
        <f>IF($B1687="",0,IF(LEFT($B1687,1)="━",0,$C1687*VLOOKUP($B1687,'4. CÀI ĐẶT'!$A$2:$H$32,3,FALSE)))</f>
        <v/>
      </c>
      <c r="G1687" s="67">
        <f>IF($B1687="",0,IF(LEFT($B1687,1)="━",0,$C1687*VLOOKUP($B1687,'4. CÀI ĐẶT'!$A$2:$H$32,4,FALSE)))</f>
        <v/>
      </c>
      <c r="H1687" s="67">
        <f>IF($B1687="",0,IF(LEFT($B1687,1)="━",0,$C1687*VLOOKUP($B1687,'4. CÀI ĐẶT'!$A$2:$H$32,5,FALSE)))</f>
        <v/>
      </c>
      <c r="I1687">
        <f>IF($B1687="","",IF(LEFT($B1687,1)="━","",VLOOKUP($B1687,'4. CÀI ĐẶT'!$A$2:$H$32,6,FALSE)))</f>
        <v/>
      </c>
      <c r="J1687" s="13">
        <f>IF($A1687="","",EOMONTH($A1687,0))</f>
        <v/>
      </c>
      <c r="K1687" s="67">
        <f>IF($B1687="",0,IF(LEFT($B1687,1)="━",0,$C1687*VLOOKUP($B1687,'4. CÀI ĐẶT'!$A$2:$H$32,7,FALSE)))</f>
        <v/>
      </c>
    </row>
    <row r="1688">
      <c r="A1688" s="8" t="n"/>
      <c r="B1688" s="9" t="n"/>
      <c r="C1688" s="65" t="n"/>
      <c r="D1688" s="9" t="n"/>
      <c r="E1688" s="66">
        <f>IF($B1688="","",IF(LEFT($B1688,1)="━","⚠️ Chọn hạng mục cụ thể",$C1688*VLOOKUP($B1688,'4. CÀI ĐẶT'!$A$2:$H$32,2,FALSE)))</f>
        <v/>
      </c>
      <c r="F1688" s="67">
        <f>IF($B1688="",0,IF(LEFT($B1688,1)="━",0,$C1688*VLOOKUP($B1688,'4. CÀI ĐẶT'!$A$2:$H$32,3,FALSE)))</f>
        <v/>
      </c>
      <c r="G1688" s="67">
        <f>IF($B1688="",0,IF(LEFT($B1688,1)="━",0,$C1688*VLOOKUP($B1688,'4. CÀI ĐẶT'!$A$2:$H$32,4,FALSE)))</f>
        <v/>
      </c>
      <c r="H1688" s="67">
        <f>IF($B1688="",0,IF(LEFT($B1688,1)="━",0,$C1688*VLOOKUP($B1688,'4. CÀI ĐẶT'!$A$2:$H$32,5,FALSE)))</f>
        <v/>
      </c>
      <c r="I1688">
        <f>IF($B1688="","",IF(LEFT($B1688,1)="━","",VLOOKUP($B1688,'4. CÀI ĐẶT'!$A$2:$H$32,6,FALSE)))</f>
        <v/>
      </c>
      <c r="J1688" s="13">
        <f>IF($A1688="","",EOMONTH($A1688,0))</f>
        <v/>
      </c>
      <c r="K1688" s="67">
        <f>IF($B1688="",0,IF(LEFT($B1688,1)="━",0,$C1688*VLOOKUP($B1688,'4. CÀI ĐẶT'!$A$2:$H$32,7,FALSE)))</f>
        <v/>
      </c>
    </row>
    <row r="1689">
      <c r="A1689" s="8" t="n"/>
      <c r="B1689" s="9" t="n"/>
      <c r="C1689" s="65" t="n"/>
      <c r="D1689" s="9" t="n"/>
      <c r="E1689" s="66">
        <f>IF($B1689="","",IF(LEFT($B1689,1)="━","⚠️ Chọn hạng mục cụ thể",$C1689*VLOOKUP($B1689,'4. CÀI ĐẶT'!$A$2:$H$32,2,FALSE)))</f>
        <v/>
      </c>
      <c r="F1689" s="67">
        <f>IF($B1689="",0,IF(LEFT($B1689,1)="━",0,$C1689*VLOOKUP($B1689,'4. CÀI ĐẶT'!$A$2:$H$32,3,FALSE)))</f>
        <v/>
      </c>
      <c r="G1689" s="67">
        <f>IF($B1689="",0,IF(LEFT($B1689,1)="━",0,$C1689*VLOOKUP($B1689,'4. CÀI ĐẶT'!$A$2:$H$32,4,FALSE)))</f>
        <v/>
      </c>
      <c r="H1689" s="67">
        <f>IF($B1689="",0,IF(LEFT($B1689,1)="━",0,$C1689*VLOOKUP($B1689,'4. CÀI ĐẶT'!$A$2:$H$32,5,FALSE)))</f>
        <v/>
      </c>
      <c r="I1689">
        <f>IF($B1689="","",IF(LEFT($B1689,1)="━","",VLOOKUP($B1689,'4. CÀI ĐẶT'!$A$2:$H$32,6,FALSE)))</f>
        <v/>
      </c>
      <c r="J1689" s="13">
        <f>IF($A1689="","",EOMONTH($A1689,0))</f>
        <v/>
      </c>
      <c r="K1689" s="67">
        <f>IF($B1689="",0,IF(LEFT($B1689,1)="━",0,$C1689*VLOOKUP($B1689,'4. CÀI ĐẶT'!$A$2:$H$32,7,FALSE)))</f>
        <v/>
      </c>
    </row>
    <row r="1690">
      <c r="A1690" s="8" t="n"/>
      <c r="B1690" s="9" t="n"/>
      <c r="C1690" s="65" t="n"/>
      <c r="D1690" s="9" t="n"/>
      <c r="E1690" s="66">
        <f>IF($B1690="","",IF(LEFT($B1690,1)="━","⚠️ Chọn hạng mục cụ thể",$C1690*VLOOKUP($B1690,'4. CÀI ĐẶT'!$A$2:$H$32,2,FALSE)))</f>
        <v/>
      </c>
      <c r="F1690" s="67">
        <f>IF($B1690="",0,IF(LEFT($B1690,1)="━",0,$C1690*VLOOKUP($B1690,'4. CÀI ĐẶT'!$A$2:$H$32,3,FALSE)))</f>
        <v/>
      </c>
      <c r="G1690" s="67">
        <f>IF($B1690="",0,IF(LEFT($B1690,1)="━",0,$C1690*VLOOKUP($B1690,'4. CÀI ĐẶT'!$A$2:$H$32,4,FALSE)))</f>
        <v/>
      </c>
      <c r="H1690" s="67">
        <f>IF($B1690="",0,IF(LEFT($B1690,1)="━",0,$C1690*VLOOKUP($B1690,'4. CÀI ĐẶT'!$A$2:$H$32,5,FALSE)))</f>
        <v/>
      </c>
      <c r="I1690">
        <f>IF($B1690="","",IF(LEFT($B1690,1)="━","",VLOOKUP($B1690,'4. CÀI ĐẶT'!$A$2:$H$32,6,FALSE)))</f>
        <v/>
      </c>
      <c r="J1690" s="13">
        <f>IF($A1690="","",EOMONTH($A1690,0))</f>
        <v/>
      </c>
      <c r="K1690" s="67">
        <f>IF($B1690="",0,IF(LEFT($B1690,1)="━",0,$C1690*VLOOKUP($B1690,'4. CÀI ĐẶT'!$A$2:$H$32,7,FALSE)))</f>
        <v/>
      </c>
    </row>
    <row r="1691">
      <c r="A1691" s="8" t="n"/>
      <c r="B1691" s="9" t="n"/>
      <c r="C1691" s="65" t="n"/>
      <c r="D1691" s="9" t="n"/>
      <c r="E1691" s="66">
        <f>IF($B1691="","",IF(LEFT($B1691,1)="━","⚠️ Chọn hạng mục cụ thể",$C1691*VLOOKUP($B1691,'4. CÀI ĐẶT'!$A$2:$H$32,2,FALSE)))</f>
        <v/>
      </c>
      <c r="F1691" s="67">
        <f>IF($B1691="",0,IF(LEFT($B1691,1)="━",0,$C1691*VLOOKUP($B1691,'4. CÀI ĐẶT'!$A$2:$H$32,3,FALSE)))</f>
        <v/>
      </c>
      <c r="G1691" s="67">
        <f>IF($B1691="",0,IF(LEFT($B1691,1)="━",0,$C1691*VLOOKUP($B1691,'4. CÀI ĐẶT'!$A$2:$H$32,4,FALSE)))</f>
        <v/>
      </c>
      <c r="H1691" s="67">
        <f>IF($B1691="",0,IF(LEFT($B1691,1)="━",0,$C1691*VLOOKUP($B1691,'4. CÀI ĐẶT'!$A$2:$H$32,5,FALSE)))</f>
        <v/>
      </c>
      <c r="I1691">
        <f>IF($B1691="","",IF(LEFT($B1691,1)="━","",VLOOKUP($B1691,'4. CÀI ĐẶT'!$A$2:$H$32,6,FALSE)))</f>
        <v/>
      </c>
      <c r="J1691" s="13">
        <f>IF($A1691="","",EOMONTH($A1691,0))</f>
        <v/>
      </c>
      <c r="K1691" s="67">
        <f>IF($B1691="",0,IF(LEFT($B1691,1)="━",0,$C1691*VLOOKUP($B1691,'4. CÀI ĐẶT'!$A$2:$H$32,7,FALSE)))</f>
        <v/>
      </c>
    </row>
    <row r="1692">
      <c r="A1692" s="8" t="n"/>
      <c r="B1692" s="9" t="n"/>
      <c r="C1692" s="65" t="n"/>
      <c r="D1692" s="9" t="n"/>
      <c r="E1692" s="66">
        <f>IF($B1692="","",IF(LEFT($B1692,1)="━","⚠️ Chọn hạng mục cụ thể",$C1692*VLOOKUP($B1692,'4. CÀI ĐẶT'!$A$2:$H$32,2,FALSE)))</f>
        <v/>
      </c>
      <c r="F1692" s="67">
        <f>IF($B1692="",0,IF(LEFT($B1692,1)="━",0,$C1692*VLOOKUP($B1692,'4. CÀI ĐẶT'!$A$2:$H$32,3,FALSE)))</f>
        <v/>
      </c>
      <c r="G1692" s="67">
        <f>IF($B1692="",0,IF(LEFT($B1692,1)="━",0,$C1692*VLOOKUP($B1692,'4. CÀI ĐẶT'!$A$2:$H$32,4,FALSE)))</f>
        <v/>
      </c>
      <c r="H1692" s="67">
        <f>IF($B1692="",0,IF(LEFT($B1692,1)="━",0,$C1692*VLOOKUP($B1692,'4. CÀI ĐẶT'!$A$2:$H$32,5,FALSE)))</f>
        <v/>
      </c>
      <c r="I1692">
        <f>IF($B1692="","",IF(LEFT($B1692,1)="━","",VLOOKUP($B1692,'4. CÀI ĐẶT'!$A$2:$H$32,6,FALSE)))</f>
        <v/>
      </c>
      <c r="J1692" s="13">
        <f>IF($A1692="","",EOMONTH($A1692,0))</f>
        <v/>
      </c>
      <c r="K1692" s="67">
        <f>IF($B1692="",0,IF(LEFT($B1692,1)="━",0,$C1692*VLOOKUP($B1692,'4. CÀI ĐẶT'!$A$2:$H$32,7,FALSE)))</f>
        <v/>
      </c>
    </row>
    <row r="1693">
      <c r="A1693" s="8" t="n"/>
      <c r="B1693" s="9" t="n"/>
      <c r="C1693" s="65" t="n"/>
      <c r="D1693" s="9" t="n"/>
      <c r="E1693" s="66">
        <f>IF($B1693="","",IF(LEFT($B1693,1)="━","⚠️ Chọn hạng mục cụ thể",$C1693*VLOOKUP($B1693,'4. CÀI ĐẶT'!$A$2:$H$32,2,FALSE)))</f>
        <v/>
      </c>
      <c r="F1693" s="67">
        <f>IF($B1693="",0,IF(LEFT($B1693,1)="━",0,$C1693*VLOOKUP($B1693,'4. CÀI ĐẶT'!$A$2:$H$32,3,FALSE)))</f>
        <v/>
      </c>
      <c r="G1693" s="67">
        <f>IF($B1693="",0,IF(LEFT($B1693,1)="━",0,$C1693*VLOOKUP($B1693,'4. CÀI ĐẶT'!$A$2:$H$32,4,FALSE)))</f>
        <v/>
      </c>
      <c r="H1693" s="67">
        <f>IF($B1693="",0,IF(LEFT($B1693,1)="━",0,$C1693*VLOOKUP($B1693,'4. CÀI ĐẶT'!$A$2:$H$32,5,FALSE)))</f>
        <v/>
      </c>
      <c r="I1693">
        <f>IF($B1693="","",IF(LEFT($B1693,1)="━","",VLOOKUP($B1693,'4. CÀI ĐẶT'!$A$2:$H$32,6,FALSE)))</f>
        <v/>
      </c>
      <c r="J1693" s="13">
        <f>IF($A1693="","",EOMONTH($A1693,0))</f>
        <v/>
      </c>
      <c r="K1693" s="67">
        <f>IF($B1693="",0,IF(LEFT($B1693,1)="━",0,$C1693*VLOOKUP($B1693,'4. CÀI ĐẶT'!$A$2:$H$32,7,FALSE)))</f>
        <v/>
      </c>
    </row>
    <row r="1694">
      <c r="A1694" s="8" t="n"/>
      <c r="B1694" s="9" t="n"/>
      <c r="C1694" s="65" t="n"/>
      <c r="D1694" s="9" t="n"/>
      <c r="E1694" s="66">
        <f>IF($B1694="","",IF(LEFT($B1694,1)="━","⚠️ Chọn hạng mục cụ thể",$C1694*VLOOKUP($B1694,'4. CÀI ĐẶT'!$A$2:$H$32,2,FALSE)))</f>
        <v/>
      </c>
      <c r="F1694" s="67">
        <f>IF($B1694="",0,IF(LEFT($B1694,1)="━",0,$C1694*VLOOKUP($B1694,'4. CÀI ĐẶT'!$A$2:$H$32,3,FALSE)))</f>
        <v/>
      </c>
      <c r="G1694" s="67">
        <f>IF($B1694="",0,IF(LEFT($B1694,1)="━",0,$C1694*VLOOKUP($B1694,'4. CÀI ĐẶT'!$A$2:$H$32,4,FALSE)))</f>
        <v/>
      </c>
      <c r="H1694" s="67">
        <f>IF($B1694="",0,IF(LEFT($B1694,1)="━",0,$C1694*VLOOKUP($B1694,'4. CÀI ĐẶT'!$A$2:$H$32,5,FALSE)))</f>
        <v/>
      </c>
      <c r="I1694">
        <f>IF($B1694="","",IF(LEFT($B1694,1)="━","",VLOOKUP($B1694,'4. CÀI ĐẶT'!$A$2:$H$32,6,FALSE)))</f>
        <v/>
      </c>
      <c r="J1694" s="13">
        <f>IF($A1694="","",EOMONTH($A1694,0))</f>
        <v/>
      </c>
      <c r="K1694" s="67">
        <f>IF($B1694="",0,IF(LEFT($B1694,1)="━",0,$C1694*VLOOKUP($B1694,'4. CÀI ĐẶT'!$A$2:$H$32,7,FALSE)))</f>
        <v/>
      </c>
    </row>
    <row r="1695">
      <c r="A1695" s="8" t="n"/>
      <c r="B1695" s="9" t="n"/>
      <c r="C1695" s="65" t="n"/>
      <c r="D1695" s="9" t="n"/>
      <c r="E1695" s="66">
        <f>IF($B1695="","",IF(LEFT($B1695,1)="━","⚠️ Chọn hạng mục cụ thể",$C1695*VLOOKUP($B1695,'4. CÀI ĐẶT'!$A$2:$H$32,2,FALSE)))</f>
        <v/>
      </c>
      <c r="F1695" s="67">
        <f>IF($B1695="",0,IF(LEFT($B1695,1)="━",0,$C1695*VLOOKUP($B1695,'4. CÀI ĐẶT'!$A$2:$H$32,3,FALSE)))</f>
        <v/>
      </c>
      <c r="G1695" s="67">
        <f>IF($B1695="",0,IF(LEFT($B1695,1)="━",0,$C1695*VLOOKUP($B1695,'4. CÀI ĐẶT'!$A$2:$H$32,4,FALSE)))</f>
        <v/>
      </c>
      <c r="H1695" s="67">
        <f>IF($B1695="",0,IF(LEFT($B1695,1)="━",0,$C1695*VLOOKUP($B1695,'4. CÀI ĐẶT'!$A$2:$H$32,5,FALSE)))</f>
        <v/>
      </c>
      <c r="I1695">
        <f>IF($B1695="","",IF(LEFT($B1695,1)="━","",VLOOKUP($B1695,'4. CÀI ĐẶT'!$A$2:$H$32,6,FALSE)))</f>
        <v/>
      </c>
      <c r="J1695" s="13">
        <f>IF($A1695="","",EOMONTH($A1695,0))</f>
        <v/>
      </c>
      <c r="K1695" s="67">
        <f>IF($B1695="",0,IF(LEFT($B1695,1)="━",0,$C1695*VLOOKUP($B1695,'4. CÀI ĐẶT'!$A$2:$H$32,7,FALSE)))</f>
        <v/>
      </c>
    </row>
    <row r="1696">
      <c r="A1696" s="8" t="n"/>
      <c r="B1696" s="9" t="n"/>
      <c r="C1696" s="65" t="n"/>
      <c r="D1696" s="9" t="n"/>
      <c r="E1696" s="66">
        <f>IF($B1696="","",IF(LEFT($B1696,1)="━","⚠️ Chọn hạng mục cụ thể",$C1696*VLOOKUP($B1696,'4. CÀI ĐẶT'!$A$2:$H$32,2,FALSE)))</f>
        <v/>
      </c>
      <c r="F1696" s="67">
        <f>IF($B1696="",0,IF(LEFT($B1696,1)="━",0,$C1696*VLOOKUP($B1696,'4. CÀI ĐẶT'!$A$2:$H$32,3,FALSE)))</f>
        <v/>
      </c>
      <c r="G1696" s="67">
        <f>IF($B1696="",0,IF(LEFT($B1696,1)="━",0,$C1696*VLOOKUP($B1696,'4. CÀI ĐẶT'!$A$2:$H$32,4,FALSE)))</f>
        <v/>
      </c>
      <c r="H1696" s="67">
        <f>IF($B1696="",0,IF(LEFT($B1696,1)="━",0,$C1696*VLOOKUP($B1696,'4. CÀI ĐẶT'!$A$2:$H$32,5,FALSE)))</f>
        <v/>
      </c>
      <c r="I1696">
        <f>IF($B1696="","",IF(LEFT($B1696,1)="━","",VLOOKUP($B1696,'4. CÀI ĐẶT'!$A$2:$H$32,6,FALSE)))</f>
        <v/>
      </c>
      <c r="J1696" s="13">
        <f>IF($A1696="","",EOMONTH($A1696,0))</f>
        <v/>
      </c>
      <c r="K1696" s="67">
        <f>IF($B1696="",0,IF(LEFT($B1696,1)="━",0,$C1696*VLOOKUP($B1696,'4. CÀI ĐẶT'!$A$2:$H$32,7,FALSE)))</f>
        <v/>
      </c>
    </row>
    <row r="1697">
      <c r="A1697" s="8" t="n"/>
      <c r="B1697" s="9" t="n"/>
      <c r="C1697" s="65" t="n"/>
      <c r="D1697" s="9" t="n"/>
      <c r="E1697" s="66">
        <f>IF($B1697="","",IF(LEFT($B1697,1)="━","⚠️ Chọn hạng mục cụ thể",$C1697*VLOOKUP($B1697,'4. CÀI ĐẶT'!$A$2:$H$32,2,FALSE)))</f>
        <v/>
      </c>
      <c r="F1697" s="67">
        <f>IF($B1697="",0,IF(LEFT($B1697,1)="━",0,$C1697*VLOOKUP($B1697,'4. CÀI ĐẶT'!$A$2:$H$32,3,FALSE)))</f>
        <v/>
      </c>
      <c r="G1697" s="67">
        <f>IF($B1697="",0,IF(LEFT($B1697,1)="━",0,$C1697*VLOOKUP($B1697,'4. CÀI ĐẶT'!$A$2:$H$32,4,FALSE)))</f>
        <v/>
      </c>
      <c r="H1697" s="67">
        <f>IF($B1697="",0,IF(LEFT($B1697,1)="━",0,$C1697*VLOOKUP($B1697,'4. CÀI ĐẶT'!$A$2:$H$32,5,FALSE)))</f>
        <v/>
      </c>
      <c r="I1697">
        <f>IF($B1697="","",IF(LEFT($B1697,1)="━","",VLOOKUP($B1697,'4. CÀI ĐẶT'!$A$2:$H$32,6,FALSE)))</f>
        <v/>
      </c>
      <c r="J1697" s="13">
        <f>IF($A1697="","",EOMONTH($A1697,0))</f>
        <v/>
      </c>
      <c r="K1697" s="67">
        <f>IF($B1697="",0,IF(LEFT($B1697,1)="━",0,$C1697*VLOOKUP($B1697,'4. CÀI ĐẶT'!$A$2:$H$32,7,FALSE)))</f>
        <v/>
      </c>
    </row>
    <row r="1698">
      <c r="A1698" s="8" t="n"/>
      <c r="B1698" s="9" t="n"/>
      <c r="C1698" s="65" t="n"/>
      <c r="D1698" s="9" t="n"/>
      <c r="E1698" s="66">
        <f>IF($B1698="","",IF(LEFT($B1698,1)="━","⚠️ Chọn hạng mục cụ thể",$C1698*VLOOKUP($B1698,'4. CÀI ĐẶT'!$A$2:$H$32,2,FALSE)))</f>
        <v/>
      </c>
      <c r="F1698" s="67">
        <f>IF($B1698="",0,IF(LEFT($B1698,1)="━",0,$C1698*VLOOKUP($B1698,'4. CÀI ĐẶT'!$A$2:$H$32,3,FALSE)))</f>
        <v/>
      </c>
      <c r="G1698" s="67">
        <f>IF($B1698="",0,IF(LEFT($B1698,1)="━",0,$C1698*VLOOKUP($B1698,'4. CÀI ĐẶT'!$A$2:$H$32,4,FALSE)))</f>
        <v/>
      </c>
      <c r="H1698" s="67">
        <f>IF($B1698="",0,IF(LEFT($B1698,1)="━",0,$C1698*VLOOKUP($B1698,'4. CÀI ĐẶT'!$A$2:$H$32,5,FALSE)))</f>
        <v/>
      </c>
      <c r="I1698">
        <f>IF($B1698="","",IF(LEFT($B1698,1)="━","",VLOOKUP($B1698,'4. CÀI ĐẶT'!$A$2:$H$32,6,FALSE)))</f>
        <v/>
      </c>
      <c r="J1698" s="13">
        <f>IF($A1698="","",EOMONTH($A1698,0))</f>
        <v/>
      </c>
      <c r="K1698" s="67">
        <f>IF($B1698="",0,IF(LEFT($B1698,1)="━",0,$C1698*VLOOKUP($B1698,'4. CÀI ĐẶT'!$A$2:$H$32,7,FALSE)))</f>
        <v/>
      </c>
    </row>
    <row r="1699">
      <c r="A1699" s="8" t="n"/>
      <c r="B1699" s="9" t="n"/>
      <c r="C1699" s="65" t="n"/>
      <c r="D1699" s="9" t="n"/>
      <c r="E1699" s="66">
        <f>IF($B1699="","",IF(LEFT($B1699,1)="━","⚠️ Chọn hạng mục cụ thể",$C1699*VLOOKUP($B1699,'4. CÀI ĐẶT'!$A$2:$H$32,2,FALSE)))</f>
        <v/>
      </c>
      <c r="F1699" s="67">
        <f>IF($B1699="",0,IF(LEFT($B1699,1)="━",0,$C1699*VLOOKUP($B1699,'4. CÀI ĐẶT'!$A$2:$H$32,3,FALSE)))</f>
        <v/>
      </c>
      <c r="G1699" s="67">
        <f>IF($B1699="",0,IF(LEFT($B1699,1)="━",0,$C1699*VLOOKUP($B1699,'4. CÀI ĐẶT'!$A$2:$H$32,4,FALSE)))</f>
        <v/>
      </c>
      <c r="H1699" s="67">
        <f>IF($B1699="",0,IF(LEFT($B1699,1)="━",0,$C1699*VLOOKUP($B1699,'4. CÀI ĐẶT'!$A$2:$H$32,5,FALSE)))</f>
        <v/>
      </c>
      <c r="I1699">
        <f>IF($B1699="","",IF(LEFT($B1699,1)="━","",VLOOKUP($B1699,'4. CÀI ĐẶT'!$A$2:$H$32,6,FALSE)))</f>
        <v/>
      </c>
      <c r="J1699" s="13">
        <f>IF($A1699="","",EOMONTH($A1699,0))</f>
        <v/>
      </c>
      <c r="K1699" s="67">
        <f>IF($B1699="",0,IF(LEFT($B1699,1)="━",0,$C1699*VLOOKUP($B1699,'4. CÀI ĐẶT'!$A$2:$H$32,7,FALSE)))</f>
        <v/>
      </c>
    </row>
    <row r="1700">
      <c r="A1700" s="8" t="n"/>
      <c r="B1700" s="9" t="n"/>
      <c r="C1700" s="65" t="n"/>
      <c r="D1700" s="9" t="n"/>
      <c r="E1700" s="66">
        <f>IF($B1700="","",IF(LEFT($B1700,1)="━","⚠️ Chọn hạng mục cụ thể",$C1700*VLOOKUP($B1700,'4. CÀI ĐẶT'!$A$2:$H$32,2,FALSE)))</f>
        <v/>
      </c>
      <c r="F1700" s="67">
        <f>IF($B1700="",0,IF(LEFT($B1700,1)="━",0,$C1700*VLOOKUP($B1700,'4. CÀI ĐẶT'!$A$2:$H$32,3,FALSE)))</f>
        <v/>
      </c>
      <c r="G1700" s="67">
        <f>IF($B1700="",0,IF(LEFT($B1700,1)="━",0,$C1700*VLOOKUP($B1700,'4. CÀI ĐẶT'!$A$2:$H$32,4,FALSE)))</f>
        <v/>
      </c>
      <c r="H1700" s="67">
        <f>IF($B1700="",0,IF(LEFT($B1700,1)="━",0,$C1700*VLOOKUP($B1700,'4. CÀI ĐẶT'!$A$2:$H$32,5,FALSE)))</f>
        <v/>
      </c>
      <c r="I1700">
        <f>IF($B1700="","",IF(LEFT($B1700,1)="━","",VLOOKUP($B1700,'4. CÀI ĐẶT'!$A$2:$H$32,6,FALSE)))</f>
        <v/>
      </c>
      <c r="J1700" s="13">
        <f>IF($A1700="","",EOMONTH($A1700,0))</f>
        <v/>
      </c>
      <c r="K1700" s="67">
        <f>IF($B1700="",0,IF(LEFT($B1700,1)="━",0,$C1700*VLOOKUP($B1700,'4. CÀI ĐẶT'!$A$2:$H$32,7,FALSE)))</f>
        <v/>
      </c>
    </row>
    <row r="1701">
      <c r="A1701" s="8" t="n"/>
      <c r="B1701" s="9" t="n"/>
      <c r="C1701" s="65" t="n"/>
      <c r="D1701" s="9" t="n"/>
      <c r="E1701" s="66">
        <f>IF($B1701="","",IF(LEFT($B1701,1)="━","⚠️ Chọn hạng mục cụ thể",$C1701*VLOOKUP($B1701,'4. CÀI ĐẶT'!$A$2:$H$32,2,FALSE)))</f>
        <v/>
      </c>
      <c r="F1701" s="67">
        <f>IF($B1701="",0,IF(LEFT($B1701,1)="━",0,$C1701*VLOOKUP($B1701,'4. CÀI ĐẶT'!$A$2:$H$32,3,FALSE)))</f>
        <v/>
      </c>
      <c r="G1701" s="67">
        <f>IF($B1701="",0,IF(LEFT($B1701,1)="━",0,$C1701*VLOOKUP($B1701,'4. CÀI ĐẶT'!$A$2:$H$32,4,FALSE)))</f>
        <v/>
      </c>
      <c r="H1701" s="67">
        <f>IF($B1701="",0,IF(LEFT($B1701,1)="━",0,$C1701*VLOOKUP($B1701,'4. CÀI ĐẶT'!$A$2:$H$32,5,FALSE)))</f>
        <v/>
      </c>
      <c r="I1701">
        <f>IF($B1701="","",IF(LEFT($B1701,1)="━","",VLOOKUP($B1701,'4. CÀI ĐẶT'!$A$2:$H$32,6,FALSE)))</f>
        <v/>
      </c>
      <c r="J1701" s="13">
        <f>IF($A1701="","",EOMONTH($A1701,0))</f>
        <v/>
      </c>
      <c r="K1701" s="67">
        <f>IF($B1701="",0,IF(LEFT($B1701,1)="━",0,$C1701*VLOOKUP($B1701,'4. CÀI ĐẶT'!$A$2:$H$32,7,FALSE)))</f>
        <v/>
      </c>
    </row>
    <row r="1702">
      <c r="A1702" s="8" t="n"/>
      <c r="B1702" s="9" t="n"/>
      <c r="C1702" s="65" t="n"/>
      <c r="D1702" s="9" t="n"/>
      <c r="E1702" s="66">
        <f>IF($B1702="","",IF(LEFT($B1702,1)="━","⚠️ Chọn hạng mục cụ thể",$C1702*VLOOKUP($B1702,'4. CÀI ĐẶT'!$A$2:$H$32,2,FALSE)))</f>
        <v/>
      </c>
      <c r="F1702" s="67">
        <f>IF($B1702="",0,IF(LEFT($B1702,1)="━",0,$C1702*VLOOKUP($B1702,'4. CÀI ĐẶT'!$A$2:$H$32,3,FALSE)))</f>
        <v/>
      </c>
      <c r="G1702" s="67">
        <f>IF($B1702="",0,IF(LEFT($B1702,1)="━",0,$C1702*VLOOKUP($B1702,'4. CÀI ĐẶT'!$A$2:$H$32,4,FALSE)))</f>
        <v/>
      </c>
      <c r="H1702" s="67">
        <f>IF($B1702="",0,IF(LEFT($B1702,1)="━",0,$C1702*VLOOKUP($B1702,'4. CÀI ĐẶT'!$A$2:$H$32,5,FALSE)))</f>
        <v/>
      </c>
      <c r="I1702">
        <f>IF($B1702="","",IF(LEFT($B1702,1)="━","",VLOOKUP($B1702,'4. CÀI ĐẶT'!$A$2:$H$32,6,FALSE)))</f>
        <v/>
      </c>
      <c r="J1702" s="13">
        <f>IF($A1702="","",EOMONTH($A1702,0))</f>
        <v/>
      </c>
      <c r="K1702" s="67">
        <f>IF($B1702="",0,IF(LEFT($B1702,1)="━",0,$C1702*VLOOKUP($B1702,'4. CÀI ĐẶT'!$A$2:$H$32,7,FALSE)))</f>
        <v/>
      </c>
    </row>
    <row r="1703">
      <c r="A1703" s="8" t="n"/>
      <c r="B1703" s="9" t="n"/>
      <c r="C1703" s="65" t="n"/>
      <c r="D1703" s="9" t="n"/>
      <c r="E1703" s="66">
        <f>IF($B1703="","",IF(LEFT($B1703,1)="━","⚠️ Chọn hạng mục cụ thể",$C1703*VLOOKUP($B1703,'4. CÀI ĐẶT'!$A$2:$H$32,2,FALSE)))</f>
        <v/>
      </c>
      <c r="F1703" s="67">
        <f>IF($B1703="",0,IF(LEFT($B1703,1)="━",0,$C1703*VLOOKUP($B1703,'4. CÀI ĐẶT'!$A$2:$H$32,3,FALSE)))</f>
        <v/>
      </c>
      <c r="G1703" s="67">
        <f>IF($B1703="",0,IF(LEFT($B1703,1)="━",0,$C1703*VLOOKUP($B1703,'4. CÀI ĐẶT'!$A$2:$H$32,4,FALSE)))</f>
        <v/>
      </c>
      <c r="H1703" s="67">
        <f>IF($B1703="",0,IF(LEFT($B1703,1)="━",0,$C1703*VLOOKUP($B1703,'4. CÀI ĐẶT'!$A$2:$H$32,5,FALSE)))</f>
        <v/>
      </c>
      <c r="I1703">
        <f>IF($B1703="","",IF(LEFT($B1703,1)="━","",VLOOKUP($B1703,'4. CÀI ĐẶT'!$A$2:$H$32,6,FALSE)))</f>
        <v/>
      </c>
      <c r="J1703" s="13">
        <f>IF($A1703="","",EOMONTH($A1703,0))</f>
        <v/>
      </c>
      <c r="K1703" s="67">
        <f>IF($B1703="",0,IF(LEFT($B1703,1)="━",0,$C1703*VLOOKUP($B1703,'4. CÀI ĐẶT'!$A$2:$H$32,7,FALSE)))</f>
        <v/>
      </c>
    </row>
    <row r="1704">
      <c r="A1704" s="8" t="n"/>
      <c r="B1704" s="9" t="n"/>
      <c r="C1704" s="65" t="n"/>
      <c r="D1704" s="9" t="n"/>
      <c r="E1704" s="66">
        <f>IF($B1704="","",IF(LEFT($B1704,1)="━","⚠️ Chọn hạng mục cụ thể",$C1704*VLOOKUP($B1704,'4. CÀI ĐẶT'!$A$2:$H$32,2,FALSE)))</f>
        <v/>
      </c>
      <c r="F1704" s="67">
        <f>IF($B1704="",0,IF(LEFT($B1704,1)="━",0,$C1704*VLOOKUP($B1704,'4. CÀI ĐẶT'!$A$2:$H$32,3,FALSE)))</f>
        <v/>
      </c>
      <c r="G1704" s="67">
        <f>IF($B1704="",0,IF(LEFT($B1704,1)="━",0,$C1704*VLOOKUP($B1704,'4. CÀI ĐẶT'!$A$2:$H$32,4,FALSE)))</f>
        <v/>
      </c>
      <c r="H1704" s="67">
        <f>IF($B1704="",0,IF(LEFT($B1704,1)="━",0,$C1704*VLOOKUP($B1704,'4. CÀI ĐẶT'!$A$2:$H$32,5,FALSE)))</f>
        <v/>
      </c>
      <c r="I1704">
        <f>IF($B1704="","",IF(LEFT($B1704,1)="━","",VLOOKUP($B1704,'4. CÀI ĐẶT'!$A$2:$H$32,6,FALSE)))</f>
        <v/>
      </c>
      <c r="J1704" s="13">
        <f>IF($A1704="","",EOMONTH($A1704,0))</f>
        <v/>
      </c>
      <c r="K1704" s="67">
        <f>IF($B1704="",0,IF(LEFT($B1704,1)="━",0,$C1704*VLOOKUP($B1704,'4. CÀI ĐẶT'!$A$2:$H$32,7,FALSE)))</f>
        <v/>
      </c>
    </row>
    <row r="1705">
      <c r="A1705" s="8" t="n"/>
      <c r="B1705" s="9" t="n"/>
      <c r="C1705" s="65" t="n"/>
      <c r="D1705" s="9" t="n"/>
      <c r="E1705" s="66">
        <f>IF($B1705="","",IF(LEFT($B1705,1)="━","⚠️ Chọn hạng mục cụ thể",$C1705*VLOOKUP($B1705,'4. CÀI ĐẶT'!$A$2:$H$32,2,FALSE)))</f>
        <v/>
      </c>
      <c r="F1705" s="67">
        <f>IF($B1705="",0,IF(LEFT($B1705,1)="━",0,$C1705*VLOOKUP($B1705,'4. CÀI ĐẶT'!$A$2:$H$32,3,FALSE)))</f>
        <v/>
      </c>
      <c r="G1705" s="67">
        <f>IF($B1705="",0,IF(LEFT($B1705,1)="━",0,$C1705*VLOOKUP($B1705,'4. CÀI ĐẶT'!$A$2:$H$32,4,FALSE)))</f>
        <v/>
      </c>
      <c r="H1705" s="67">
        <f>IF($B1705="",0,IF(LEFT($B1705,1)="━",0,$C1705*VLOOKUP($B1705,'4. CÀI ĐẶT'!$A$2:$H$32,5,FALSE)))</f>
        <v/>
      </c>
      <c r="I1705">
        <f>IF($B1705="","",IF(LEFT($B1705,1)="━","",VLOOKUP($B1705,'4. CÀI ĐẶT'!$A$2:$H$32,6,FALSE)))</f>
        <v/>
      </c>
      <c r="J1705" s="13">
        <f>IF($A1705="","",EOMONTH($A1705,0))</f>
        <v/>
      </c>
      <c r="K1705" s="67">
        <f>IF($B1705="",0,IF(LEFT($B1705,1)="━",0,$C1705*VLOOKUP($B1705,'4. CÀI ĐẶT'!$A$2:$H$32,7,FALSE)))</f>
        <v/>
      </c>
    </row>
    <row r="1706">
      <c r="A1706" s="8" t="n"/>
      <c r="B1706" s="9" t="n"/>
      <c r="C1706" s="65" t="n"/>
      <c r="D1706" s="9" t="n"/>
      <c r="E1706" s="66">
        <f>IF($B1706="","",IF(LEFT($B1706,1)="━","⚠️ Chọn hạng mục cụ thể",$C1706*VLOOKUP($B1706,'4. CÀI ĐẶT'!$A$2:$H$32,2,FALSE)))</f>
        <v/>
      </c>
      <c r="F1706" s="67">
        <f>IF($B1706="",0,IF(LEFT($B1706,1)="━",0,$C1706*VLOOKUP($B1706,'4. CÀI ĐẶT'!$A$2:$H$32,3,FALSE)))</f>
        <v/>
      </c>
      <c r="G1706" s="67">
        <f>IF($B1706="",0,IF(LEFT($B1706,1)="━",0,$C1706*VLOOKUP($B1706,'4. CÀI ĐẶT'!$A$2:$H$32,4,FALSE)))</f>
        <v/>
      </c>
      <c r="H1706" s="67">
        <f>IF($B1706="",0,IF(LEFT($B1706,1)="━",0,$C1706*VLOOKUP($B1706,'4. CÀI ĐẶT'!$A$2:$H$32,5,FALSE)))</f>
        <v/>
      </c>
      <c r="I1706">
        <f>IF($B1706="","",IF(LEFT($B1706,1)="━","",VLOOKUP($B1706,'4. CÀI ĐẶT'!$A$2:$H$32,6,FALSE)))</f>
        <v/>
      </c>
      <c r="J1706" s="13">
        <f>IF($A1706="","",EOMONTH($A1706,0))</f>
        <v/>
      </c>
      <c r="K1706" s="67">
        <f>IF($B1706="",0,IF(LEFT($B1706,1)="━",0,$C1706*VLOOKUP($B1706,'4. CÀI ĐẶT'!$A$2:$H$32,7,FALSE)))</f>
        <v/>
      </c>
    </row>
    <row r="1707">
      <c r="A1707" s="8" t="n"/>
      <c r="B1707" s="9" t="n"/>
      <c r="C1707" s="65" t="n"/>
      <c r="D1707" s="9" t="n"/>
      <c r="E1707" s="66">
        <f>IF($B1707="","",IF(LEFT($B1707,1)="━","⚠️ Chọn hạng mục cụ thể",$C1707*VLOOKUP($B1707,'4. CÀI ĐẶT'!$A$2:$H$32,2,FALSE)))</f>
        <v/>
      </c>
      <c r="F1707" s="67">
        <f>IF($B1707="",0,IF(LEFT($B1707,1)="━",0,$C1707*VLOOKUP($B1707,'4. CÀI ĐẶT'!$A$2:$H$32,3,FALSE)))</f>
        <v/>
      </c>
      <c r="G1707" s="67">
        <f>IF($B1707="",0,IF(LEFT($B1707,1)="━",0,$C1707*VLOOKUP($B1707,'4. CÀI ĐẶT'!$A$2:$H$32,4,FALSE)))</f>
        <v/>
      </c>
      <c r="H1707" s="67">
        <f>IF($B1707="",0,IF(LEFT($B1707,1)="━",0,$C1707*VLOOKUP($B1707,'4. CÀI ĐẶT'!$A$2:$H$32,5,FALSE)))</f>
        <v/>
      </c>
      <c r="I1707">
        <f>IF($B1707="","",IF(LEFT($B1707,1)="━","",VLOOKUP($B1707,'4. CÀI ĐẶT'!$A$2:$H$32,6,FALSE)))</f>
        <v/>
      </c>
      <c r="J1707" s="13">
        <f>IF($A1707="","",EOMONTH($A1707,0))</f>
        <v/>
      </c>
      <c r="K1707" s="67">
        <f>IF($B1707="",0,IF(LEFT($B1707,1)="━",0,$C1707*VLOOKUP($B1707,'4. CÀI ĐẶT'!$A$2:$H$32,7,FALSE)))</f>
        <v/>
      </c>
    </row>
    <row r="1708">
      <c r="A1708" s="8" t="n"/>
      <c r="B1708" s="9" t="n"/>
      <c r="C1708" s="65" t="n"/>
      <c r="D1708" s="9" t="n"/>
      <c r="E1708" s="66">
        <f>IF($B1708="","",IF(LEFT($B1708,1)="━","⚠️ Chọn hạng mục cụ thể",$C1708*VLOOKUP($B1708,'4. CÀI ĐẶT'!$A$2:$H$32,2,FALSE)))</f>
        <v/>
      </c>
      <c r="F1708" s="67">
        <f>IF($B1708="",0,IF(LEFT($B1708,1)="━",0,$C1708*VLOOKUP($B1708,'4. CÀI ĐẶT'!$A$2:$H$32,3,FALSE)))</f>
        <v/>
      </c>
      <c r="G1708" s="67">
        <f>IF($B1708="",0,IF(LEFT($B1708,1)="━",0,$C1708*VLOOKUP($B1708,'4. CÀI ĐẶT'!$A$2:$H$32,4,FALSE)))</f>
        <v/>
      </c>
      <c r="H1708" s="67">
        <f>IF($B1708="",0,IF(LEFT($B1708,1)="━",0,$C1708*VLOOKUP($B1708,'4. CÀI ĐẶT'!$A$2:$H$32,5,FALSE)))</f>
        <v/>
      </c>
      <c r="I1708">
        <f>IF($B1708="","",IF(LEFT($B1708,1)="━","",VLOOKUP($B1708,'4. CÀI ĐẶT'!$A$2:$H$32,6,FALSE)))</f>
        <v/>
      </c>
      <c r="J1708" s="13">
        <f>IF($A1708="","",EOMONTH($A1708,0))</f>
        <v/>
      </c>
      <c r="K1708" s="67">
        <f>IF($B1708="",0,IF(LEFT($B1708,1)="━",0,$C1708*VLOOKUP($B1708,'4. CÀI ĐẶT'!$A$2:$H$32,7,FALSE)))</f>
        <v/>
      </c>
    </row>
    <row r="1709">
      <c r="A1709" s="8" t="n"/>
      <c r="B1709" s="9" t="n"/>
      <c r="C1709" s="65" t="n"/>
      <c r="D1709" s="9" t="n"/>
      <c r="E1709" s="66">
        <f>IF($B1709="","",IF(LEFT($B1709,1)="━","⚠️ Chọn hạng mục cụ thể",$C1709*VLOOKUP($B1709,'4. CÀI ĐẶT'!$A$2:$H$32,2,FALSE)))</f>
        <v/>
      </c>
      <c r="F1709" s="67">
        <f>IF($B1709="",0,IF(LEFT($B1709,1)="━",0,$C1709*VLOOKUP($B1709,'4. CÀI ĐẶT'!$A$2:$H$32,3,FALSE)))</f>
        <v/>
      </c>
      <c r="G1709" s="67">
        <f>IF($B1709="",0,IF(LEFT($B1709,1)="━",0,$C1709*VLOOKUP($B1709,'4. CÀI ĐẶT'!$A$2:$H$32,4,FALSE)))</f>
        <v/>
      </c>
      <c r="H1709" s="67">
        <f>IF($B1709="",0,IF(LEFT($B1709,1)="━",0,$C1709*VLOOKUP($B1709,'4. CÀI ĐẶT'!$A$2:$H$32,5,FALSE)))</f>
        <v/>
      </c>
      <c r="I1709">
        <f>IF($B1709="","",IF(LEFT($B1709,1)="━","",VLOOKUP($B1709,'4. CÀI ĐẶT'!$A$2:$H$32,6,FALSE)))</f>
        <v/>
      </c>
      <c r="J1709" s="13">
        <f>IF($A1709="","",EOMONTH($A1709,0))</f>
        <v/>
      </c>
      <c r="K1709" s="67">
        <f>IF($B1709="",0,IF(LEFT($B1709,1)="━",0,$C1709*VLOOKUP($B1709,'4. CÀI ĐẶT'!$A$2:$H$32,7,FALSE)))</f>
        <v/>
      </c>
    </row>
    <row r="1710">
      <c r="A1710" s="8" t="n"/>
      <c r="B1710" s="9" t="n"/>
      <c r="C1710" s="65" t="n"/>
      <c r="D1710" s="9" t="n"/>
      <c r="E1710" s="66">
        <f>IF($B1710="","",IF(LEFT($B1710,1)="━","⚠️ Chọn hạng mục cụ thể",$C1710*VLOOKUP($B1710,'4. CÀI ĐẶT'!$A$2:$H$32,2,FALSE)))</f>
        <v/>
      </c>
      <c r="F1710" s="67">
        <f>IF($B1710="",0,IF(LEFT($B1710,1)="━",0,$C1710*VLOOKUP($B1710,'4. CÀI ĐẶT'!$A$2:$H$32,3,FALSE)))</f>
        <v/>
      </c>
      <c r="G1710" s="67">
        <f>IF($B1710="",0,IF(LEFT($B1710,1)="━",0,$C1710*VLOOKUP($B1710,'4. CÀI ĐẶT'!$A$2:$H$32,4,FALSE)))</f>
        <v/>
      </c>
      <c r="H1710" s="67">
        <f>IF($B1710="",0,IF(LEFT($B1710,1)="━",0,$C1710*VLOOKUP($B1710,'4. CÀI ĐẶT'!$A$2:$H$32,5,FALSE)))</f>
        <v/>
      </c>
      <c r="I1710">
        <f>IF($B1710="","",IF(LEFT($B1710,1)="━","",VLOOKUP($B1710,'4. CÀI ĐẶT'!$A$2:$H$32,6,FALSE)))</f>
        <v/>
      </c>
      <c r="J1710" s="13">
        <f>IF($A1710="","",EOMONTH($A1710,0))</f>
        <v/>
      </c>
      <c r="K1710" s="67">
        <f>IF($B1710="",0,IF(LEFT($B1710,1)="━",0,$C1710*VLOOKUP($B1710,'4. CÀI ĐẶT'!$A$2:$H$32,7,FALSE)))</f>
        <v/>
      </c>
    </row>
    <row r="1711">
      <c r="A1711" s="8" t="n"/>
      <c r="B1711" s="9" t="n"/>
      <c r="C1711" s="65" t="n"/>
      <c r="D1711" s="9" t="n"/>
      <c r="E1711" s="66">
        <f>IF($B1711="","",IF(LEFT($B1711,1)="━","⚠️ Chọn hạng mục cụ thể",$C1711*VLOOKUP($B1711,'4. CÀI ĐẶT'!$A$2:$H$32,2,FALSE)))</f>
        <v/>
      </c>
      <c r="F1711" s="67">
        <f>IF($B1711="",0,IF(LEFT($B1711,1)="━",0,$C1711*VLOOKUP($B1711,'4. CÀI ĐẶT'!$A$2:$H$32,3,FALSE)))</f>
        <v/>
      </c>
      <c r="G1711" s="67">
        <f>IF($B1711="",0,IF(LEFT($B1711,1)="━",0,$C1711*VLOOKUP($B1711,'4. CÀI ĐẶT'!$A$2:$H$32,4,FALSE)))</f>
        <v/>
      </c>
      <c r="H1711" s="67">
        <f>IF($B1711="",0,IF(LEFT($B1711,1)="━",0,$C1711*VLOOKUP($B1711,'4. CÀI ĐẶT'!$A$2:$H$32,5,FALSE)))</f>
        <v/>
      </c>
      <c r="I1711">
        <f>IF($B1711="","",IF(LEFT($B1711,1)="━","",VLOOKUP($B1711,'4. CÀI ĐẶT'!$A$2:$H$32,6,FALSE)))</f>
        <v/>
      </c>
      <c r="J1711" s="13">
        <f>IF($A1711="","",EOMONTH($A1711,0))</f>
        <v/>
      </c>
      <c r="K1711" s="67">
        <f>IF($B1711="",0,IF(LEFT($B1711,1)="━",0,$C1711*VLOOKUP($B1711,'4. CÀI ĐẶT'!$A$2:$H$32,7,FALSE)))</f>
        <v/>
      </c>
    </row>
    <row r="1712">
      <c r="A1712" s="8" t="n"/>
      <c r="B1712" s="9" t="n"/>
      <c r="C1712" s="65" t="n"/>
      <c r="D1712" s="9" t="n"/>
      <c r="E1712" s="66">
        <f>IF($B1712="","",IF(LEFT($B1712,1)="━","⚠️ Chọn hạng mục cụ thể",$C1712*VLOOKUP($B1712,'4. CÀI ĐẶT'!$A$2:$H$32,2,FALSE)))</f>
        <v/>
      </c>
      <c r="F1712" s="67">
        <f>IF($B1712="",0,IF(LEFT($B1712,1)="━",0,$C1712*VLOOKUP($B1712,'4. CÀI ĐẶT'!$A$2:$H$32,3,FALSE)))</f>
        <v/>
      </c>
      <c r="G1712" s="67">
        <f>IF($B1712="",0,IF(LEFT($B1712,1)="━",0,$C1712*VLOOKUP($B1712,'4. CÀI ĐẶT'!$A$2:$H$32,4,FALSE)))</f>
        <v/>
      </c>
      <c r="H1712" s="67">
        <f>IF($B1712="",0,IF(LEFT($B1712,1)="━",0,$C1712*VLOOKUP($B1712,'4. CÀI ĐẶT'!$A$2:$H$32,5,FALSE)))</f>
        <v/>
      </c>
      <c r="I1712">
        <f>IF($B1712="","",IF(LEFT($B1712,1)="━","",VLOOKUP($B1712,'4. CÀI ĐẶT'!$A$2:$H$32,6,FALSE)))</f>
        <v/>
      </c>
      <c r="J1712" s="13">
        <f>IF($A1712="","",EOMONTH($A1712,0))</f>
        <v/>
      </c>
      <c r="K1712" s="67">
        <f>IF($B1712="",0,IF(LEFT($B1712,1)="━",0,$C1712*VLOOKUP($B1712,'4. CÀI ĐẶT'!$A$2:$H$32,7,FALSE)))</f>
        <v/>
      </c>
    </row>
    <row r="1713">
      <c r="A1713" s="8" t="n"/>
      <c r="B1713" s="9" t="n"/>
      <c r="C1713" s="65" t="n"/>
      <c r="D1713" s="9" t="n"/>
      <c r="E1713" s="66">
        <f>IF($B1713="","",IF(LEFT($B1713,1)="━","⚠️ Chọn hạng mục cụ thể",$C1713*VLOOKUP($B1713,'4. CÀI ĐẶT'!$A$2:$H$32,2,FALSE)))</f>
        <v/>
      </c>
      <c r="F1713" s="67">
        <f>IF($B1713="",0,IF(LEFT($B1713,1)="━",0,$C1713*VLOOKUP($B1713,'4. CÀI ĐẶT'!$A$2:$H$32,3,FALSE)))</f>
        <v/>
      </c>
      <c r="G1713" s="67">
        <f>IF($B1713="",0,IF(LEFT($B1713,1)="━",0,$C1713*VLOOKUP($B1713,'4. CÀI ĐẶT'!$A$2:$H$32,4,FALSE)))</f>
        <v/>
      </c>
      <c r="H1713" s="67">
        <f>IF($B1713="",0,IF(LEFT($B1713,1)="━",0,$C1713*VLOOKUP($B1713,'4. CÀI ĐẶT'!$A$2:$H$32,5,FALSE)))</f>
        <v/>
      </c>
      <c r="I1713">
        <f>IF($B1713="","",IF(LEFT($B1713,1)="━","",VLOOKUP($B1713,'4. CÀI ĐẶT'!$A$2:$H$32,6,FALSE)))</f>
        <v/>
      </c>
      <c r="J1713" s="13">
        <f>IF($A1713="","",EOMONTH($A1713,0))</f>
        <v/>
      </c>
      <c r="K1713" s="67">
        <f>IF($B1713="",0,IF(LEFT($B1713,1)="━",0,$C1713*VLOOKUP($B1713,'4. CÀI ĐẶT'!$A$2:$H$32,7,FALSE)))</f>
        <v/>
      </c>
    </row>
    <row r="1714">
      <c r="A1714" s="8" t="n"/>
      <c r="B1714" s="9" t="n"/>
      <c r="C1714" s="65" t="n"/>
      <c r="D1714" s="9" t="n"/>
      <c r="E1714" s="66">
        <f>IF($B1714="","",IF(LEFT($B1714,1)="━","⚠️ Chọn hạng mục cụ thể",$C1714*VLOOKUP($B1714,'4. CÀI ĐẶT'!$A$2:$H$32,2,FALSE)))</f>
        <v/>
      </c>
      <c r="F1714" s="67">
        <f>IF($B1714="",0,IF(LEFT($B1714,1)="━",0,$C1714*VLOOKUP($B1714,'4. CÀI ĐẶT'!$A$2:$H$32,3,FALSE)))</f>
        <v/>
      </c>
      <c r="G1714" s="67">
        <f>IF($B1714="",0,IF(LEFT($B1714,1)="━",0,$C1714*VLOOKUP($B1714,'4. CÀI ĐẶT'!$A$2:$H$32,4,FALSE)))</f>
        <v/>
      </c>
      <c r="H1714" s="67">
        <f>IF($B1714="",0,IF(LEFT($B1714,1)="━",0,$C1714*VLOOKUP($B1714,'4. CÀI ĐẶT'!$A$2:$H$32,5,FALSE)))</f>
        <v/>
      </c>
      <c r="I1714">
        <f>IF($B1714="","",IF(LEFT($B1714,1)="━","",VLOOKUP($B1714,'4. CÀI ĐẶT'!$A$2:$H$32,6,FALSE)))</f>
        <v/>
      </c>
      <c r="J1714" s="13">
        <f>IF($A1714="","",EOMONTH($A1714,0))</f>
        <v/>
      </c>
      <c r="K1714" s="67">
        <f>IF($B1714="",0,IF(LEFT($B1714,1)="━",0,$C1714*VLOOKUP($B1714,'4. CÀI ĐẶT'!$A$2:$H$32,7,FALSE)))</f>
        <v/>
      </c>
    </row>
    <row r="1715">
      <c r="A1715" s="8" t="n"/>
      <c r="B1715" s="9" t="n"/>
      <c r="C1715" s="65" t="n"/>
      <c r="D1715" s="9" t="n"/>
      <c r="E1715" s="66">
        <f>IF($B1715="","",IF(LEFT($B1715,1)="━","⚠️ Chọn hạng mục cụ thể",$C1715*VLOOKUP($B1715,'4. CÀI ĐẶT'!$A$2:$H$32,2,FALSE)))</f>
        <v/>
      </c>
      <c r="F1715" s="67">
        <f>IF($B1715="",0,IF(LEFT($B1715,1)="━",0,$C1715*VLOOKUP($B1715,'4. CÀI ĐẶT'!$A$2:$H$32,3,FALSE)))</f>
        <v/>
      </c>
      <c r="G1715" s="67">
        <f>IF($B1715="",0,IF(LEFT($B1715,1)="━",0,$C1715*VLOOKUP($B1715,'4. CÀI ĐẶT'!$A$2:$H$32,4,FALSE)))</f>
        <v/>
      </c>
      <c r="H1715" s="67">
        <f>IF($B1715="",0,IF(LEFT($B1715,1)="━",0,$C1715*VLOOKUP($B1715,'4. CÀI ĐẶT'!$A$2:$H$32,5,FALSE)))</f>
        <v/>
      </c>
      <c r="I1715">
        <f>IF($B1715="","",IF(LEFT($B1715,1)="━","",VLOOKUP($B1715,'4. CÀI ĐẶT'!$A$2:$H$32,6,FALSE)))</f>
        <v/>
      </c>
      <c r="J1715" s="13">
        <f>IF($A1715="","",EOMONTH($A1715,0))</f>
        <v/>
      </c>
      <c r="K1715" s="67">
        <f>IF($B1715="",0,IF(LEFT($B1715,1)="━",0,$C1715*VLOOKUP($B1715,'4. CÀI ĐẶT'!$A$2:$H$32,7,FALSE)))</f>
        <v/>
      </c>
    </row>
    <row r="1716">
      <c r="A1716" s="8" t="n"/>
      <c r="B1716" s="9" t="n"/>
      <c r="C1716" s="65" t="n"/>
      <c r="D1716" s="9" t="n"/>
      <c r="E1716" s="66">
        <f>IF($B1716="","",IF(LEFT($B1716,1)="━","⚠️ Chọn hạng mục cụ thể",$C1716*VLOOKUP($B1716,'4. CÀI ĐẶT'!$A$2:$H$32,2,FALSE)))</f>
        <v/>
      </c>
      <c r="F1716" s="67">
        <f>IF($B1716="",0,IF(LEFT($B1716,1)="━",0,$C1716*VLOOKUP($B1716,'4. CÀI ĐẶT'!$A$2:$H$32,3,FALSE)))</f>
        <v/>
      </c>
      <c r="G1716" s="67">
        <f>IF($B1716="",0,IF(LEFT($B1716,1)="━",0,$C1716*VLOOKUP($B1716,'4. CÀI ĐẶT'!$A$2:$H$32,4,FALSE)))</f>
        <v/>
      </c>
      <c r="H1716" s="67">
        <f>IF($B1716="",0,IF(LEFT($B1716,1)="━",0,$C1716*VLOOKUP($B1716,'4. CÀI ĐẶT'!$A$2:$H$32,5,FALSE)))</f>
        <v/>
      </c>
      <c r="I1716">
        <f>IF($B1716="","",IF(LEFT($B1716,1)="━","",VLOOKUP($B1716,'4. CÀI ĐẶT'!$A$2:$H$32,6,FALSE)))</f>
        <v/>
      </c>
      <c r="J1716" s="13">
        <f>IF($A1716="","",EOMONTH($A1716,0))</f>
        <v/>
      </c>
      <c r="K1716" s="67">
        <f>IF($B1716="",0,IF(LEFT($B1716,1)="━",0,$C1716*VLOOKUP($B1716,'4. CÀI ĐẶT'!$A$2:$H$32,7,FALSE)))</f>
        <v/>
      </c>
    </row>
    <row r="1717">
      <c r="A1717" s="8" t="n"/>
      <c r="B1717" s="9" t="n"/>
      <c r="C1717" s="65" t="n"/>
      <c r="D1717" s="9" t="n"/>
      <c r="E1717" s="66">
        <f>IF($B1717="","",IF(LEFT($B1717,1)="━","⚠️ Chọn hạng mục cụ thể",$C1717*VLOOKUP($B1717,'4. CÀI ĐẶT'!$A$2:$H$32,2,FALSE)))</f>
        <v/>
      </c>
      <c r="F1717" s="67">
        <f>IF($B1717="",0,IF(LEFT($B1717,1)="━",0,$C1717*VLOOKUP($B1717,'4. CÀI ĐẶT'!$A$2:$H$32,3,FALSE)))</f>
        <v/>
      </c>
      <c r="G1717" s="67">
        <f>IF($B1717="",0,IF(LEFT($B1717,1)="━",0,$C1717*VLOOKUP($B1717,'4. CÀI ĐẶT'!$A$2:$H$32,4,FALSE)))</f>
        <v/>
      </c>
      <c r="H1717" s="67">
        <f>IF($B1717="",0,IF(LEFT($B1717,1)="━",0,$C1717*VLOOKUP($B1717,'4. CÀI ĐẶT'!$A$2:$H$32,5,FALSE)))</f>
        <v/>
      </c>
      <c r="I1717">
        <f>IF($B1717="","",IF(LEFT($B1717,1)="━","",VLOOKUP($B1717,'4. CÀI ĐẶT'!$A$2:$H$32,6,FALSE)))</f>
        <v/>
      </c>
      <c r="J1717" s="13">
        <f>IF($A1717="","",EOMONTH($A1717,0))</f>
        <v/>
      </c>
      <c r="K1717" s="67">
        <f>IF($B1717="",0,IF(LEFT($B1717,1)="━",0,$C1717*VLOOKUP($B1717,'4. CÀI ĐẶT'!$A$2:$H$32,7,FALSE)))</f>
        <v/>
      </c>
    </row>
    <row r="1718">
      <c r="A1718" s="8" t="n"/>
      <c r="B1718" s="9" t="n"/>
      <c r="C1718" s="65" t="n"/>
      <c r="D1718" s="9" t="n"/>
      <c r="E1718" s="66">
        <f>IF($B1718="","",IF(LEFT($B1718,1)="━","⚠️ Chọn hạng mục cụ thể",$C1718*VLOOKUP($B1718,'4. CÀI ĐẶT'!$A$2:$H$32,2,FALSE)))</f>
        <v/>
      </c>
      <c r="F1718" s="67">
        <f>IF($B1718="",0,IF(LEFT($B1718,1)="━",0,$C1718*VLOOKUP($B1718,'4. CÀI ĐẶT'!$A$2:$H$32,3,FALSE)))</f>
        <v/>
      </c>
      <c r="G1718" s="67">
        <f>IF($B1718="",0,IF(LEFT($B1718,1)="━",0,$C1718*VLOOKUP($B1718,'4. CÀI ĐẶT'!$A$2:$H$32,4,FALSE)))</f>
        <v/>
      </c>
      <c r="H1718" s="67">
        <f>IF($B1718="",0,IF(LEFT($B1718,1)="━",0,$C1718*VLOOKUP($B1718,'4. CÀI ĐẶT'!$A$2:$H$32,5,FALSE)))</f>
        <v/>
      </c>
      <c r="I1718">
        <f>IF($B1718="","",IF(LEFT($B1718,1)="━","",VLOOKUP($B1718,'4. CÀI ĐẶT'!$A$2:$H$32,6,FALSE)))</f>
        <v/>
      </c>
      <c r="J1718" s="13">
        <f>IF($A1718="","",EOMONTH($A1718,0))</f>
        <v/>
      </c>
      <c r="K1718" s="67">
        <f>IF($B1718="",0,IF(LEFT($B1718,1)="━",0,$C1718*VLOOKUP($B1718,'4. CÀI ĐẶT'!$A$2:$H$32,7,FALSE)))</f>
        <v/>
      </c>
    </row>
    <row r="1719">
      <c r="A1719" s="8" t="n"/>
      <c r="B1719" s="9" t="n"/>
      <c r="C1719" s="65" t="n"/>
      <c r="D1719" s="9" t="n"/>
      <c r="E1719" s="66">
        <f>IF($B1719="","",IF(LEFT($B1719,1)="━","⚠️ Chọn hạng mục cụ thể",$C1719*VLOOKUP($B1719,'4. CÀI ĐẶT'!$A$2:$H$32,2,FALSE)))</f>
        <v/>
      </c>
      <c r="F1719" s="67">
        <f>IF($B1719="",0,IF(LEFT($B1719,1)="━",0,$C1719*VLOOKUP($B1719,'4. CÀI ĐẶT'!$A$2:$H$32,3,FALSE)))</f>
        <v/>
      </c>
      <c r="G1719" s="67">
        <f>IF($B1719="",0,IF(LEFT($B1719,1)="━",0,$C1719*VLOOKUP($B1719,'4. CÀI ĐẶT'!$A$2:$H$32,4,FALSE)))</f>
        <v/>
      </c>
      <c r="H1719" s="67">
        <f>IF($B1719="",0,IF(LEFT($B1719,1)="━",0,$C1719*VLOOKUP($B1719,'4. CÀI ĐẶT'!$A$2:$H$32,5,FALSE)))</f>
        <v/>
      </c>
      <c r="I1719">
        <f>IF($B1719="","",IF(LEFT($B1719,1)="━","",VLOOKUP($B1719,'4. CÀI ĐẶT'!$A$2:$H$32,6,FALSE)))</f>
        <v/>
      </c>
      <c r="J1719" s="13">
        <f>IF($A1719="","",EOMONTH($A1719,0))</f>
        <v/>
      </c>
      <c r="K1719" s="67">
        <f>IF($B1719="",0,IF(LEFT($B1719,1)="━",0,$C1719*VLOOKUP($B1719,'4. CÀI ĐẶT'!$A$2:$H$32,7,FALSE)))</f>
        <v/>
      </c>
    </row>
    <row r="1720">
      <c r="A1720" s="8" t="n"/>
      <c r="B1720" s="9" t="n"/>
      <c r="C1720" s="65" t="n"/>
      <c r="D1720" s="9" t="n"/>
      <c r="E1720" s="66">
        <f>IF($B1720="","",IF(LEFT($B1720,1)="━","⚠️ Chọn hạng mục cụ thể",$C1720*VLOOKUP($B1720,'4. CÀI ĐẶT'!$A$2:$H$32,2,FALSE)))</f>
        <v/>
      </c>
      <c r="F1720" s="67">
        <f>IF($B1720="",0,IF(LEFT($B1720,1)="━",0,$C1720*VLOOKUP($B1720,'4. CÀI ĐẶT'!$A$2:$H$32,3,FALSE)))</f>
        <v/>
      </c>
      <c r="G1720" s="67">
        <f>IF($B1720="",0,IF(LEFT($B1720,1)="━",0,$C1720*VLOOKUP($B1720,'4. CÀI ĐẶT'!$A$2:$H$32,4,FALSE)))</f>
        <v/>
      </c>
      <c r="H1720" s="67">
        <f>IF($B1720="",0,IF(LEFT($B1720,1)="━",0,$C1720*VLOOKUP($B1720,'4. CÀI ĐẶT'!$A$2:$H$32,5,FALSE)))</f>
        <v/>
      </c>
      <c r="I1720">
        <f>IF($B1720="","",IF(LEFT($B1720,1)="━","",VLOOKUP($B1720,'4. CÀI ĐẶT'!$A$2:$H$32,6,FALSE)))</f>
        <v/>
      </c>
      <c r="J1720" s="13">
        <f>IF($A1720="","",EOMONTH($A1720,0))</f>
        <v/>
      </c>
      <c r="K1720" s="67">
        <f>IF($B1720="",0,IF(LEFT($B1720,1)="━",0,$C1720*VLOOKUP($B1720,'4. CÀI ĐẶT'!$A$2:$H$32,7,FALSE)))</f>
        <v/>
      </c>
    </row>
    <row r="1721">
      <c r="A1721" s="8" t="n"/>
      <c r="B1721" s="9" t="n"/>
      <c r="C1721" s="65" t="n"/>
      <c r="D1721" s="9" t="n"/>
      <c r="E1721" s="66">
        <f>IF($B1721="","",IF(LEFT($B1721,1)="━","⚠️ Chọn hạng mục cụ thể",$C1721*VLOOKUP($B1721,'4. CÀI ĐẶT'!$A$2:$H$32,2,FALSE)))</f>
        <v/>
      </c>
      <c r="F1721" s="67">
        <f>IF($B1721="",0,IF(LEFT($B1721,1)="━",0,$C1721*VLOOKUP($B1721,'4. CÀI ĐẶT'!$A$2:$H$32,3,FALSE)))</f>
        <v/>
      </c>
      <c r="G1721" s="67">
        <f>IF($B1721="",0,IF(LEFT($B1721,1)="━",0,$C1721*VLOOKUP($B1721,'4. CÀI ĐẶT'!$A$2:$H$32,4,FALSE)))</f>
        <v/>
      </c>
      <c r="H1721" s="67">
        <f>IF($B1721="",0,IF(LEFT($B1721,1)="━",0,$C1721*VLOOKUP($B1721,'4. CÀI ĐẶT'!$A$2:$H$32,5,FALSE)))</f>
        <v/>
      </c>
      <c r="I1721">
        <f>IF($B1721="","",IF(LEFT($B1721,1)="━","",VLOOKUP($B1721,'4. CÀI ĐẶT'!$A$2:$H$32,6,FALSE)))</f>
        <v/>
      </c>
      <c r="J1721" s="13">
        <f>IF($A1721="","",EOMONTH($A1721,0))</f>
        <v/>
      </c>
      <c r="K1721" s="67">
        <f>IF($B1721="",0,IF(LEFT($B1721,1)="━",0,$C1721*VLOOKUP($B1721,'4. CÀI ĐẶT'!$A$2:$H$32,7,FALSE)))</f>
        <v/>
      </c>
    </row>
    <row r="1722">
      <c r="A1722" s="8" t="n"/>
      <c r="B1722" s="9" t="n"/>
      <c r="C1722" s="65" t="n"/>
      <c r="D1722" s="9" t="n"/>
      <c r="E1722" s="66">
        <f>IF($B1722="","",IF(LEFT($B1722,1)="━","⚠️ Chọn hạng mục cụ thể",$C1722*VLOOKUP($B1722,'4. CÀI ĐẶT'!$A$2:$H$32,2,FALSE)))</f>
        <v/>
      </c>
      <c r="F1722" s="67">
        <f>IF($B1722="",0,IF(LEFT($B1722,1)="━",0,$C1722*VLOOKUP($B1722,'4. CÀI ĐẶT'!$A$2:$H$32,3,FALSE)))</f>
        <v/>
      </c>
      <c r="G1722" s="67">
        <f>IF($B1722="",0,IF(LEFT($B1722,1)="━",0,$C1722*VLOOKUP($B1722,'4. CÀI ĐẶT'!$A$2:$H$32,4,FALSE)))</f>
        <v/>
      </c>
      <c r="H1722" s="67">
        <f>IF($B1722="",0,IF(LEFT($B1722,1)="━",0,$C1722*VLOOKUP($B1722,'4. CÀI ĐẶT'!$A$2:$H$32,5,FALSE)))</f>
        <v/>
      </c>
      <c r="I1722">
        <f>IF($B1722="","",IF(LEFT($B1722,1)="━","",VLOOKUP($B1722,'4. CÀI ĐẶT'!$A$2:$H$32,6,FALSE)))</f>
        <v/>
      </c>
      <c r="J1722" s="13">
        <f>IF($A1722="","",EOMONTH($A1722,0))</f>
        <v/>
      </c>
      <c r="K1722" s="67">
        <f>IF($B1722="",0,IF(LEFT($B1722,1)="━",0,$C1722*VLOOKUP($B1722,'4. CÀI ĐẶT'!$A$2:$H$32,7,FALSE)))</f>
        <v/>
      </c>
    </row>
    <row r="1723">
      <c r="A1723" s="8" t="n"/>
      <c r="B1723" s="9" t="n"/>
      <c r="C1723" s="65" t="n"/>
      <c r="D1723" s="9" t="n"/>
      <c r="E1723" s="66">
        <f>IF($B1723="","",IF(LEFT($B1723,1)="━","⚠️ Chọn hạng mục cụ thể",$C1723*VLOOKUP($B1723,'4. CÀI ĐẶT'!$A$2:$H$32,2,FALSE)))</f>
        <v/>
      </c>
      <c r="F1723" s="67">
        <f>IF($B1723="",0,IF(LEFT($B1723,1)="━",0,$C1723*VLOOKUP($B1723,'4. CÀI ĐẶT'!$A$2:$H$32,3,FALSE)))</f>
        <v/>
      </c>
      <c r="G1723" s="67">
        <f>IF($B1723="",0,IF(LEFT($B1723,1)="━",0,$C1723*VLOOKUP($B1723,'4. CÀI ĐẶT'!$A$2:$H$32,4,FALSE)))</f>
        <v/>
      </c>
      <c r="H1723" s="67">
        <f>IF($B1723="",0,IF(LEFT($B1723,1)="━",0,$C1723*VLOOKUP($B1723,'4. CÀI ĐẶT'!$A$2:$H$32,5,FALSE)))</f>
        <v/>
      </c>
      <c r="I1723">
        <f>IF($B1723="","",IF(LEFT($B1723,1)="━","",VLOOKUP($B1723,'4. CÀI ĐẶT'!$A$2:$H$32,6,FALSE)))</f>
        <v/>
      </c>
      <c r="J1723" s="13">
        <f>IF($A1723="","",EOMONTH($A1723,0))</f>
        <v/>
      </c>
      <c r="K1723" s="67">
        <f>IF($B1723="",0,IF(LEFT($B1723,1)="━",0,$C1723*VLOOKUP($B1723,'4. CÀI ĐẶT'!$A$2:$H$32,7,FALSE)))</f>
        <v/>
      </c>
    </row>
    <row r="1724">
      <c r="A1724" s="8" t="n"/>
      <c r="B1724" s="9" t="n"/>
      <c r="C1724" s="65" t="n"/>
      <c r="D1724" s="9" t="n"/>
      <c r="E1724" s="66">
        <f>IF($B1724="","",IF(LEFT($B1724,1)="━","⚠️ Chọn hạng mục cụ thể",$C1724*VLOOKUP($B1724,'4. CÀI ĐẶT'!$A$2:$H$32,2,FALSE)))</f>
        <v/>
      </c>
      <c r="F1724" s="67">
        <f>IF($B1724="",0,IF(LEFT($B1724,1)="━",0,$C1724*VLOOKUP($B1724,'4. CÀI ĐẶT'!$A$2:$H$32,3,FALSE)))</f>
        <v/>
      </c>
      <c r="G1724" s="67">
        <f>IF($B1724="",0,IF(LEFT($B1724,1)="━",0,$C1724*VLOOKUP($B1724,'4. CÀI ĐẶT'!$A$2:$H$32,4,FALSE)))</f>
        <v/>
      </c>
      <c r="H1724" s="67">
        <f>IF($B1724="",0,IF(LEFT($B1724,1)="━",0,$C1724*VLOOKUP($B1724,'4. CÀI ĐẶT'!$A$2:$H$32,5,FALSE)))</f>
        <v/>
      </c>
      <c r="I1724">
        <f>IF($B1724="","",IF(LEFT($B1724,1)="━","",VLOOKUP($B1724,'4. CÀI ĐẶT'!$A$2:$H$32,6,FALSE)))</f>
        <v/>
      </c>
      <c r="J1724" s="13">
        <f>IF($A1724="","",EOMONTH($A1724,0))</f>
        <v/>
      </c>
      <c r="K1724" s="67">
        <f>IF($B1724="",0,IF(LEFT($B1724,1)="━",0,$C1724*VLOOKUP($B1724,'4. CÀI ĐẶT'!$A$2:$H$32,7,FALSE)))</f>
        <v/>
      </c>
    </row>
    <row r="1725">
      <c r="A1725" s="8" t="n"/>
      <c r="B1725" s="9" t="n"/>
      <c r="C1725" s="65" t="n"/>
      <c r="D1725" s="9" t="n"/>
      <c r="E1725" s="66">
        <f>IF($B1725="","",IF(LEFT($B1725,1)="━","⚠️ Chọn hạng mục cụ thể",$C1725*VLOOKUP($B1725,'4. CÀI ĐẶT'!$A$2:$H$32,2,FALSE)))</f>
        <v/>
      </c>
      <c r="F1725" s="67">
        <f>IF($B1725="",0,IF(LEFT($B1725,1)="━",0,$C1725*VLOOKUP($B1725,'4. CÀI ĐẶT'!$A$2:$H$32,3,FALSE)))</f>
        <v/>
      </c>
      <c r="G1725" s="67">
        <f>IF($B1725="",0,IF(LEFT($B1725,1)="━",0,$C1725*VLOOKUP($B1725,'4. CÀI ĐẶT'!$A$2:$H$32,4,FALSE)))</f>
        <v/>
      </c>
      <c r="H1725" s="67">
        <f>IF($B1725="",0,IF(LEFT($B1725,1)="━",0,$C1725*VLOOKUP($B1725,'4. CÀI ĐẶT'!$A$2:$H$32,5,FALSE)))</f>
        <v/>
      </c>
      <c r="I1725">
        <f>IF($B1725="","",IF(LEFT($B1725,1)="━","",VLOOKUP($B1725,'4. CÀI ĐẶT'!$A$2:$H$32,6,FALSE)))</f>
        <v/>
      </c>
      <c r="J1725" s="13">
        <f>IF($A1725="","",EOMONTH($A1725,0))</f>
        <v/>
      </c>
      <c r="K1725" s="67">
        <f>IF($B1725="",0,IF(LEFT($B1725,1)="━",0,$C1725*VLOOKUP($B1725,'4. CÀI ĐẶT'!$A$2:$H$32,7,FALSE)))</f>
        <v/>
      </c>
    </row>
    <row r="1726">
      <c r="A1726" s="8" t="n"/>
      <c r="B1726" s="9" t="n"/>
      <c r="C1726" s="65" t="n"/>
      <c r="D1726" s="9" t="n"/>
      <c r="E1726" s="66">
        <f>IF($B1726="","",IF(LEFT($B1726,1)="━","⚠️ Chọn hạng mục cụ thể",$C1726*VLOOKUP($B1726,'4. CÀI ĐẶT'!$A$2:$H$32,2,FALSE)))</f>
        <v/>
      </c>
      <c r="F1726" s="67">
        <f>IF($B1726="",0,IF(LEFT($B1726,1)="━",0,$C1726*VLOOKUP($B1726,'4. CÀI ĐẶT'!$A$2:$H$32,3,FALSE)))</f>
        <v/>
      </c>
      <c r="G1726" s="67">
        <f>IF($B1726="",0,IF(LEFT($B1726,1)="━",0,$C1726*VLOOKUP($B1726,'4. CÀI ĐẶT'!$A$2:$H$32,4,FALSE)))</f>
        <v/>
      </c>
      <c r="H1726" s="67">
        <f>IF($B1726="",0,IF(LEFT($B1726,1)="━",0,$C1726*VLOOKUP($B1726,'4. CÀI ĐẶT'!$A$2:$H$32,5,FALSE)))</f>
        <v/>
      </c>
      <c r="I1726">
        <f>IF($B1726="","",IF(LEFT($B1726,1)="━","",VLOOKUP($B1726,'4. CÀI ĐẶT'!$A$2:$H$32,6,FALSE)))</f>
        <v/>
      </c>
      <c r="J1726" s="13">
        <f>IF($A1726="","",EOMONTH($A1726,0))</f>
        <v/>
      </c>
      <c r="K1726" s="67">
        <f>IF($B1726="",0,IF(LEFT($B1726,1)="━",0,$C1726*VLOOKUP($B1726,'4. CÀI ĐẶT'!$A$2:$H$32,7,FALSE)))</f>
        <v/>
      </c>
    </row>
    <row r="1727">
      <c r="A1727" s="8" t="n"/>
      <c r="B1727" s="9" t="n"/>
      <c r="C1727" s="65" t="n"/>
      <c r="D1727" s="9" t="n"/>
      <c r="E1727" s="66">
        <f>IF($B1727="","",IF(LEFT($B1727,1)="━","⚠️ Chọn hạng mục cụ thể",$C1727*VLOOKUP($B1727,'4. CÀI ĐẶT'!$A$2:$H$32,2,FALSE)))</f>
        <v/>
      </c>
      <c r="F1727" s="67">
        <f>IF($B1727="",0,IF(LEFT($B1727,1)="━",0,$C1727*VLOOKUP($B1727,'4. CÀI ĐẶT'!$A$2:$H$32,3,FALSE)))</f>
        <v/>
      </c>
      <c r="G1727" s="67">
        <f>IF($B1727="",0,IF(LEFT($B1727,1)="━",0,$C1727*VLOOKUP($B1727,'4. CÀI ĐẶT'!$A$2:$H$32,4,FALSE)))</f>
        <v/>
      </c>
      <c r="H1727" s="67">
        <f>IF($B1727="",0,IF(LEFT($B1727,1)="━",0,$C1727*VLOOKUP($B1727,'4. CÀI ĐẶT'!$A$2:$H$32,5,FALSE)))</f>
        <v/>
      </c>
      <c r="I1727">
        <f>IF($B1727="","",IF(LEFT($B1727,1)="━","",VLOOKUP($B1727,'4. CÀI ĐẶT'!$A$2:$H$32,6,FALSE)))</f>
        <v/>
      </c>
      <c r="J1727" s="13">
        <f>IF($A1727="","",EOMONTH($A1727,0))</f>
        <v/>
      </c>
      <c r="K1727" s="67">
        <f>IF($B1727="",0,IF(LEFT($B1727,1)="━",0,$C1727*VLOOKUP($B1727,'4. CÀI ĐẶT'!$A$2:$H$32,7,FALSE)))</f>
        <v/>
      </c>
    </row>
    <row r="1728">
      <c r="A1728" s="8" t="n"/>
      <c r="B1728" s="9" t="n"/>
      <c r="C1728" s="65" t="n"/>
      <c r="D1728" s="9" t="n"/>
      <c r="E1728" s="66">
        <f>IF($B1728="","",IF(LEFT($B1728,1)="━","⚠️ Chọn hạng mục cụ thể",$C1728*VLOOKUP($B1728,'4. CÀI ĐẶT'!$A$2:$H$32,2,FALSE)))</f>
        <v/>
      </c>
      <c r="F1728" s="67">
        <f>IF($B1728="",0,IF(LEFT($B1728,1)="━",0,$C1728*VLOOKUP($B1728,'4. CÀI ĐẶT'!$A$2:$H$32,3,FALSE)))</f>
        <v/>
      </c>
      <c r="G1728" s="67">
        <f>IF($B1728="",0,IF(LEFT($B1728,1)="━",0,$C1728*VLOOKUP($B1728,'4. CÀI ĐẶT'!$A$2:$H$32,4,FALSE)))</f>
        <v/>
      </c>
      <c r="H1728" s="67">
        <f>IF($B1728="",0,IF(LEFT($B1728,1)="━",0,$C1728*VLOOKUP($B1728,'4. CÀI ĐẶT'!$A$2:$H$32,5,FALSE)))</f>
        <v/>
      </c>
      <c r="I1728">
        <f>IF($B1728="","",IF(LEFT($B1728,1)="━","",VLOOKUP($B1728,'4. CÀI ĐẶT'!$A$2:$H$32,6,FALSE)))</f>
        <v/>
      </c>
      <c r="J1728" s="13">
        <f>IF($A1728="","",EOMONTH($A1728,0))</f>
        <v/>
      </c>
      <c r="K1728" s="67">
        <f>IF($B1728="",0,IF(LEFT($B1728,1)="━",0,$C1728*VLOOKUP($B1728,'4. CÀI ĐẶT'!$A$2:$H$32,7,FALSE)))</f>
        <v/>
      </c>
    </row>
    <row r="1729">
      <c r="A1729" s="8" t="n"/>
      <c r="B1729" s="9" t="n"/>
      <c r="C1729" s="65" t="n"/>
      <c r="D1729" s="9" t="n"/>
      <c r="E1729" s="66">
        <f>IF($B1729="","",IF(LEFT($B1729,1)="━","⚠️ Chọn hạng mục cụ thể",$C1729*VLOOKUP($B1729,'4. CÀI ĐẶT'!$A$2:$H$32,2,FALSE)))</f>
        <v/>
      </c>
      <c r="F1729" s="67">
        <f>IF($B1729="",0,IF(LEFT($B1729,1)="━",0,$C1729*VLOOKUP($B1729,'4. CÀI ĐẶT'!$A$2:$H$32,3,FALSE)))</f>
        <v/>
      </c>
      <c r="G1729" s="67">
        <f>IF($B1729="",0,IF(LEFT($B1729,1)="━",0,$C1729*VLOOKUP($B1729,'4. CÀI ĐẶT'!$A$2:$H$32,4,FALSE)))</f>
        <v/>
      </c>
      <c r="H1729" s="67">
        <f>IF($B1729="",0,IF(LEFT($B1729,1)="━",0,$C1729*VLOOKUP($B1729,'4. CÀI ĐẶT'!$A$2:$H$32,5,FALSE)))</f>
        <v/>
      </c>
      <c r="I1729">
        <f>IF($B1729="","",IF(LEFT($B1729,1)="━","",VLOOKUP($B1729,'4. CÀI ĐẶT'!$A$2:$H$32,6,FALSE)))</f>
        <v/>
      </c>
      <c r="J1729" s="13">
        <f>IF($A1729="","",EOMONTH($A1729,0))</f>
        <v/>
      </c>
      <c r="K1729" s="67">
        <f>IF($B1729="",0,IF(LEFT($B1729,1)="━",0,$C1729*VLOOKUP($B1729,'4. CÀI ĐẶT'!$A$2:$H$32,7,FALSE)))</f>
        <v/>
      </c>
    </row>
    <row r="1730">
      <c r="A1730" s="8" t="n"/>
      <c r="B1730" s="9" t="n"/>
      <c r="C1730" s="65" t="n"/>
      <c r="D1730" s="9" t="n"/>
      <c r="E1730" s="66">
        <f>IF($B1730="","",IF(LEFT($B1730,1)="━","⚠️ Chọn hạng mục cụ thể",$C1730*VLOOKUP($B1730,'4. CÀI ĐẶT'!$A$2:$H$32,2,FALSE)))</f>
        <v/>
      </c>
      <c r="F1730" s="67">
        <f>IF($B1730="",0,IF(LEFT($B1730,1)="━",0,$C1730*VLOOKUP($B1730,'4. CÀI ĐẶT'!$A$2:$H$32,3,FALSE)))</f>
        <v/>
      </c>
      <c r="G1730" s="67">
        <f>IF($B1730="",0,IF(LEFT($B1730,1)="━",0,$C1730*VLOOKUP($B1730,'4. CÀI ĐẶT'!$A$2:$H$32,4,FALSE)))</f>
        <v/>
      </c>
      <c r="H1730" s="67">
        <f>IF($B1730="",0,IF(LEFT($B1730,1)="━",0,$C1730*VLOOKUP($B1730,'4. CÀI ĐẶT'!$A$2:$H$32,5,FALSE)))</f>
        <v/>
      </c>
      <c r="I1730">
        <f>IF($B1730="","",IF(LEFT($B1730,1)="━","",VLOOKUP($B1730,'4. CÀI ĐẶT'!$A$2:$H$32,6,FALSE)))</f>
        <v/>
      </c>
      <c r="J1730" s="13">
        <f>IF($A1730="","",EOMONTH($A1730,0))</f>
        <v/>
      </c>
      <c r="K1730" s="67">
        <f>IF($B1730="",0,IF(LEFT($B1730,1)="━",0,$C1730*VLOOKUP($B1730,'4. CÀI ĐẶT'!$A$2:$H$32,7,FALSE)))</f>
        <v/>
      </c>
    </row>
    <row r="1731">
      <c r="A1731" s="8" t="n"/>
      <c r="B1731" s="9" t="n"/>
      <c r="C1731" s="65" t="n"/>
      <c r="D1731" s="9" t="n"/>
      <c r="E1731" s="66">
        <f>IF($B1731="","",IF(LEFT($B1731,1)="━","⚠️ Chọn hạng mục cụ thể",$C1731*VLOOKUP($B1731,'4. CÀI ĐẶT'!$A$2:$H$32,2,FALSE)))</f>
        <v/>
      </c>
      <c r="F1731" s="67">
        <f>IF($B1731="",0,IF(LEFT($B1731,1)="━",0,$C1731*VLOOKUP($B1731,'4. CÀI ĐẶT'!$A$2:$H$32,3,FALSE)))</f>
        <v/>
      </c>
      <c r="G1731" s="67">
        <f>IF($B1731="",0,IF(LEFT($B1731,1)="━",0,$C1731*VLOOKUP($B1731,'4. CÀI ĐẶT'!$A$2:$H$32,4,FALSE)))</f>
        <v/>
      </c>
      <c r="H1731" s="67">
        <f>IF($B1731="",0,IF(LEFT($B1731,1)="━",0,$C1731*VLOOKUP($B1731,'4. CÀI ĐẶT'!$A$2:$H$32,5,FALSE)))</f>
        <v/>
      </c>
      <c r="I1731">
        <f>IF($B1731="","",IF(LEFT($B1731,1)="━","",VLOOKUP($B1731,'4. CÀI ĐẶT'!$A$2:$H$32,6,FALSE)))</f>
        <v/>
      </c>
      <c r="J1731" s="13">
        <f>IF($A1731="","",EOMONTH($A1731,0))</f>
        <v/>
      </c>
      <c r="K1731" s="67">
        <f>IF($B1731="",0,IF(LEFT($B1731,1)="━",0,$C1731*VLOOKUP($B1731,'4. CÀI ĐẶT'!$A$2:$H$32,7,FALSE)))</f>
        <v/>
      </c>
    </row>
    <row r="1732">
      <c r="A1732" s="8" t="n"/>
      <c r="B1732" s="9" t="n"/>
      <c r="C1732" s="65" t="n"/>
      <c r="D1732" s="9" t="n"/>
      <c r="E1732" s="66">
        <f>IF($B1732="","",IF(LEFT($B1732,1)="━","⚠️ Chọn hạng mục cụ thể",$C1732*VLOOKUP($B1732,'4. CÀI ĐẶT'!$A$2:$H$32,2,FALSE)))</f>
        <v/>
      </c>
      <c r="F1732" s="67">
        <f>IF($B1732="",0,IF(LEFT($B1732,1)="━",0,$C1732*VLOOKUP($B1732,'4. CÀI ĐẶT'!$A$2:$H$32,3,FALSE)))</f>
        <v/>
      </c>
      <c r="G1732" s="67">
        <f>IF($B1732="",0,IF(LEFT($B1732,1)="━",0,$C1732*VLOOKUP($B1732,'4. CÀI ĐẶT'!$A$2:$H$32,4,FALSE)))</f>
        <v/>
      </c>
      <c r="H1732" s="67">
        <f>IF($B1732="",0,IF(LEFT($B1732,1)="━",0,$C1732*VLOOKUP($B1732,'4. CÀI ĐẶT'!$A$2:$H$32,5,FALSE)))</f>
        <v/>
      </c>
      <c r="I1732">
        <f>IF($B1732="","",IF(LEFT($B1732,1)="━","",VLOOKUP($B1732,'4. CÀI ĐẶT'!$A$2:$H$32,6,FALSE)))</f>
        <v/>
      </c>
      <c r="J1732" s="13">
        <f>IF($A1732="","",EOMONTH($A1732,0))</f>
        <v/>
      </c>
      <c r="K1732" s="67">
        <f>IF($B1732="",0,IF(LEFT($B1732,1)="━",0,$C1732*VLOOKUP($B1732,'4. CÀI ĐẶT'!$A$2:$H$32,7,FALSE)))</f>
        <v/>
      </c>
    </row>
    <row r="1733">
      <c r="A1733" s="8" t="n"/>
      <c r="B1733" s="9" t="n"/>
      <c r="C1733" s="65" t="n"/>
      <c r="D1733" s="9" t="n"/>
      <c r="E1733" s="66">
        <f>IF($B1733="","",IF(LEFT($B1733,1)="━","⚠️ Chọn hạng mục cụ thể",$C1733*VLOOKUP($B1733,'4. CÀI ĐẶT'!$A$2:$H$32,2,FALSE)))</f>
        <v/>
      </c>
      <c r="F1733" s="67">
        <f>IF($B1733="",0,IF(LEFT($B1733,1)="━",0,$C1733*VLOOKUP($B1733,'4. CÀI ĐẶT'!$A$2:$H$32,3,FALSE)))</f>
        <v/>
      </c>
      <c r="G1733" s="67">
        <f>IF($B1733="",0,IF(LEFT($B1733,1)="━",0,$C1733*VLOOKUP($B1733,'4. CÀI ĐẶT'!$A$2:$H$32,4,FALSE)))</f>
        <v/>
      </c>
      <c r="H1733" s="67">
        <f>IF($B1733="",0,IF(LEFT($B1733,1)="━",0,$C1733*VLOOKUP($B1733,'4. CÀI ĐẶT'!$A$2:$H$32,5,FALSE)))</f>
        <v/>
      </c>
      <c r="I1733">
        <f>IF($B1733="","",IF(LEFT($B1733,1)="━","",VLOOKUP($B1733,'4. CÀI ĐẶT'!$A$2:$H$32,6,FALSE)))</f>
        <v/>
      </c>
      <c r="J1733" s="13">
        <f>IF($A1733="","",EOMONTH($A1733,0))</f>
        <v/>
      </c>
      <c r="K1733" s="67">
        <f>IF($B1733="",0,IF(LEFT($B1733,1)="━",0,$C1733*VLOOKUP($B1733,'4. CÀI ĐẶT'!$A$2:$H$32,7,FALSE)))</f>
        <v/>
      </c>
    </row>
    <row r="1734">
      <c r="A1734" s="8" t="n"/>
      <c r="B1734" s="9" t="n"/>
      <c r="C1734" s="65" t="n"/>
      <c r="D1734" s="9" t="n"/>
      <c r="E1734" s="66">
        <f>IF($B1734="","",IF(LEFT($B1734,1)="━","⚠️ Chọn hạng mục cụ thể",$C1734*VLOOKUP($B1734,'4. CÀI ĐẶT'!$A$2:$H$32,2,FALSE)))</f>
        <v/>
      </c>
      <c r="F1734" s="67">
        <f>IF($B1734="",0,IF(LEFT($B1734,1)="━",0,$C1734*VLOOKUP($B1734,'4. CÀI ĐẶT'!$A$2:$H$32,3,FALSE)))</f>
        <v/>
      </c>
      <c r="G1734" s="67">
        <f>IF($B1734="",0,IF(LEFT($B1734,1)="━",0,$C1734*VLOOKUP($B1734,'4. CÀI ĐẶT'!$A$2:$H$32,4,FALSE)))</f>
        <v/>
      </c>
      <c r="H1734" s="67">
        <f>IF($B1734="",0,IF(LEFT($B1734,1)="━",0,$C1734*VLOOKUP($B1734,'4. CÀI ĐẶT'!$A$2:$H$32,5,FALSE)))</f>
        <v/>
      </c>
      <c r="I1734">
        <f>IF($B1734="","",IF(LEFT($B1734,1)="━","",VLOOKUP($B1734,'4. CÀI ĐẶT'!$A$2:$H$32,6,FALSE)))</f>
        <v/>
      </c>
      <c r="J1734" s="13">
        <f>IF($A1734="","",EOMONTH($A1734,0))</f>
        <v/>
      </c>
      <c r="K1734" s="67">
        <f>IF($B1734="",0,IF(LEFT($B1734,1)="━",0,$C1734*VLOOKUP($B1734,'4. CÀI ĐẶT'!$A$2:$H$32,7,FALSE)))</f>
        <v/>
      </c>
    </row>
    <row r="1735">
      <c r="A1735" s="8" t="n"/>
      <c r="B1735" s="9" t="n"/>
      <c r="C1735" s="65" t="n"/>
      <c r="D1735" s="9" t="n"/>
      <c r="E1735" s="66">
        <f>IF($B1735="","",IF(LEFT($B1735,1)="━","⚠️ Chọn hạng mục cụ thể",$C1735*VLOOKUP($B1735,'4. CÀI ĐẶT'!$A$2:$H$32,2,FALSE)))</f>
        <v/>
      </c>
      <c r="F1735" s="67">
        <f>IF($B1735="",0,IF(LEFT($B1735,1)="━",0,$C1735*VLOOKUP($B1735,'4. CÀI ĐẶT'!$A$2:$H$32,3,FALSE)))</f>
        <v/>
      </c>
      <c r="G1735" s="67">
        <f>IF($B1735="",0,IF(LEFT($B1735,1)="━",0,$C1735*VLOOKUP($B1735,'4. CÀI ĐẶT'!$A$2:$H$32,4,FALSE)))</f>
        <v/>
      </c>
      <c r="H1735" s="67">
        <f>IF($B1735="",0,IF(LEFT($B1735,1)="━",0,$C1735*VLOOKUP($B1735,'4. CÀI ĐẶT'!$A$2:$H$32,5,FALSE)))</f>
        <v/>
      </c>
      <c r="I1735">
        <f>IF($B1735="","",IF(LEFT($B1735,1)="━","",VLOOKUP($B1735,'4. CÀI ĐẶT'!$A$2:$H$32,6,FALSE)))</f>
        <v/>
      </c>
      <c r="J1735" s="13">
        <f>IF($A1735="","",EOMONTH($A1735,0))</f>
        <v/>
      </c>
      <c r="K1735" s="67">
        <f>IF($B1735="",0,IF(LEFT($B1735,1)="━",0,$C1735*VLOOKUP($B1735,'4. CÀI ĐẶT'!$A$2:$H$32,7,FALSE)))</f>
        <v/>
      </c>
    </row>
    <row r="1736">
      <c r="A1736" s="8" t="n"/>
      <c r="B1736" s="9" t="n"/>
      <c r="C1736" s="65" t="n"/>
      <c r="D1736" s="9" t="n"/>
      <c r="E1736" s="66">
        <f>IF($B1736="","",IF(LEFT($B1736,1)="━","⚠️ Chọn hạng mục cụ thể",$C1736*VLOOKUP($B1736,'4. CÀI ĐẶT'!$A$2:$H$32,2,FALSE)))</f>
        <v/>
      </c>
      <c r="F1736" s="67">
        <f>IF($B1736="",0,IF(LEFT($B1736,1)="━",0,$C1736*VLOOKUP($B1736,'4. CÀI ĐẶT'!$A$2:$H$32,3,FALSE)))</f>
        <v/>
      </c>
      <c r="G1736" s="67">
        <f>IF($B1736="",0,IF(LEFT($B1736,1)="━",0,$C1736*VLOOKUP($B1736,'4. CÀI ĐẶT'!$A$2:$H$32,4,FALSE)))</f>
        <v/>
      </c>
      <c r="H1736" s="67">
        <f>IF($B1736="",0,IF(LEFT($B1736,1)="━",0,$C1736*VLOOKUP($B1736,'4. CÀI ĐẶT'!$A$2:$H$32,5,FALSE)))</f>
        <v/>
      </c>
      <c r="I1736">
        <f>IF($B1736="","",IF(LEFT($B1736,1)="━","",VLOOKUP($B1736,'4. CÀI ĐẶT'!$A$2:$H$32,6,FALSE)))</f>
        <v/>
      </c>
      <c r="J1736" s="13">
        <f>IF($A1736="","",EOMONTH($A1736,0))</f>
        <v/>
      </c>
      <c r="K1736" s="67">
        <f>IF($B1736="",0,IF(LEFT($B1736,1)="━",0,$C1736*VLOOKUP($B1736,'4. CÀI ĐẶT'!$A$2:$H$32,7,FALSE)))</f>
        <v/>
      </c>
    </row>
    <row r="1737">
      <c r="A1737" s="8" t="n"/>
      <c r="B1737" s="9" t="n"/>
      <c r="C1737" s="65" t="n"/>
      <c r="D1737" s="9" t="n"/>
      <c r="E1737" s="66">
        <f>IF($B1737="","",IF(LEFT($B1737,1)="━","⚠️ Chọn hạng mục cụ thể",$C1737*VLOOKUP($B1737,'4. CÀI ĐẶT'!$A$2:$H$32,2,FALSE)))</f>
        <v/>
      </c>
      <c r="F1737" s="67">
        <f>IF($B1737="",0,IF(LEFT($B1737,1)="━",0,$C1737*VLOOKUP($B1737,'4. CÀI ĐẶT'!$A$2:$H$32,3,FALSE)))</f>
        <v/>
      </c>
      <c r="G1737" s="67">
        <f>IF($B1737="",0,IF(LEFT($B1737,1)="━",0,$C1737*VLOOKUP($B1737,'4. CÀI ĐẶT'!$A$2:$H$32,4,FALSE)))</f>
        <v/>
      </c>
      <c r="H1737" s="67">
        <f>IF($B1737="",0,IF(LEFT($B1737,1)="━",0,$C1737*VLOOKUP($B1737,'4. CÀI ĐẶT'!$A$2:$H$32,5,FALSE)))</f>
        <v/>
      </c>
      <c r="I1737">
        <f>IF($B1737="","",IF(LEFT($B1737,1)="━","",VLOOKUP($B1737,'4. CÀI ĐẶT'!$A$2:$H$32,6,FALSE)))</f>
        <v/>
      </c>
      <c r="J1737" s="13">
        <f>IF($A1737="","",EOMONTH($A1737,0))</f>
        <v/>
      </c>
      <c r="K1737" s="67">
        <f>IF($B1737="",0,IF(LEFT($B1737,1)="━",0,$C1737*VLOOKUP($B1737,'4. CÀI ĐẶT'!$A$2:$H$32,7,FALSE)))</f>
        <v/>
      </c>
    </row>
    <row r="1738">
      <c r="A1738" s="8" t="n"/>
      <c r="B1738" s="9" t="n"/>
      <c r="C1738" s="65" t="n"/>
      <c r="D1738" s="9" t="n"/>
      <c r="E1738" s="66">
        <f>IF($B1738="","",IF(LEFT($B1738,1)="━","⚠️ Chọn hạng mục cụ thể",$C1738*VLOOKUP($B1738,'4. CÀI ĐẶT'!$A$2:$H$32,2,FALSE)))</f>
        <v/>
      </c>
      <c r="F1738" s="67">
        <f>IF($B1738="",0,IF(LEFT($B1738,1)="━",0,$C1738*VLOOKUP($B1738,'4. CÀI ĐẶT'!$A$2:$H$32,3,FALSE)))</f>
        <v/>
      </c>
      <c r="G1738" s="67">
        <f>IF($B1738="",0,IF(LEFT($B1738,1)="━",0,$C1738*VLOOKUP($B1738,'4. CÀI ĐẶT'!$A$2:$H$32,4,FALSE)))</f>
        <v/>
      </c>
      <c r="H1738" s="67">
        <f>IF($B1738="",0,IF(LEFT($B1738,1)="━",0,$C1738*VLOOKUP($B1738,'4. CÀI ĐẶT'!$A$2:$H$32,5,FALSE)))</f>
        <v/>
      </c>
      <c r="I1738">
        <f>IF($B1738="","",IF(LEFT($B1738,1)="━","",VLOOKUP($B1738,'4. CÀI ĐẶT'!$A$2:$H$32,6,FALSE)))</f>
        <v/>
      </c>
      <c r="J1738" s="13">
        <f>IF($A1738="","",EOMONTH($A1738,0))</f>
        <v/>
      </c>
      <c r="K1738" s="67">
        <f>IF($B1738="",0,IF(LEFT($B1738,1)="━",0,$C1738*VLOOKUP($B1738,'4. CÀI ĐẶT'!$A$2:$H$32,7,FALSE)))</f>
        <v/>
      </c>
    </row>
    <row r="1739">
      <c r="A1739" s="8" t="n"/>
      <c r="B1739" s="9" t="n"/>
      <c r="C1739" s="65" t="n"/>
      <c r="D1739" s="9" t="n"/>
      <c r="E1739" s="66">
        <f>IF($B1739="","",IF(LEFT($B1739,1)="━","⚠️ Chọn hạng mục cụ thể",$C1739*VLOOKUP($B1739,'4. CÀI ĐẶT'!$A$2:$H$32,2,FALSE)))</f>
        <v/>
      </c>
      <c r="F1739" s="67">
        <f>IF($B1739="",0,IF(LEFT($B1739,1)="━",0,$C1739*VLOOKUP($B1739,'4. CÀI ĐẶT'!$A$2:$H$32,3,FALSE)))</f>
        <v/>
      </c>
      <c r="G1739" s="67">
        <f>IF($B1739="",0,IF(LEFT($B1739,1)="━",0,$C1739*VLOOKUP($B1739,'4. CÀI ĐẶT'!$A$2:$H$32,4,FALSE)))</f>
        <v/>
      </c>
      <c r="H1739" s="67">
        <f>IF($B1739="",0,IF(LEFT($B1739,1)="━",0,$C1739*VLOOKUP($B1739,'4. CÀI ĐẶT'!$A$2:$H$32,5,FALSE)))</f>
        <v/>
      </c>
      <c r="I1739">
        <f>IF($B1739="","",IF(LEFT($B1739,1)="━","",VLOOKUP($B1739,'4. CÀI ĐẶT'!$A$2:$H$32,6,FALSE)))</f>
        <v/>
      </c>
      <c r="J1739" s="13">
        <f>IF($A1739="","",EOMONTH($A1739,0))</f>
        <v/>
      </c>
      <c r="K1739" s="67">
        <f>IF($B1739="",0,IF(LEFT($B1739,1)="━",0,$C1739*VLOOKUP($B1739,'4. CÀI ĐẶT'!$A$2:$H$32,7,FALSE)))</f>
        <v/>
      </c>
    </row>
    <row r="1740">
      <c r="A1740" s="8" t="n"/>
      <c r="B1740" s="9" t="n"/>
      <c r="C1740" s="65" t="n"/>
      <c r="D1740" s="9" t="n"/>
      <c r="E1740" s="66">
        <f>IF($B1740="","",IF(LEFT($B1740,1)="━","⚠️ Chọn hạng mục cụ thể",$C1740*VLOOKUP($B1740,'4. CÀI ĐẶT'!$A$2:$H$32,2,FALSE)))</f>
        <v/>
      </c>
      <c r="F1740" s="67">
        <f>IF($B1740="",0,IF(LEFT($B1740,1)="━",0,$C1740*VLOOKUP($B1740,'4. CÀI ĐẶT'!$A$2:$H$32,3,FALSE)))</f>
        <v/>
      </c>
      <c r="G1740" s="67">
        <f>IF($B1740="",0,IF(LEFT($B1740,1)="━",0,$C1740*VLOOKUP($B1740,'4. CÀI ĐẶT'!$A$2:$H$32,4,FALSE)))</f>
        <v/>
      </c>
      <c r="H1740" s="67">
        <f>IF($B1740="",0,IF(LEFT($B1740,1)="━",0,$C1740*VLOOKUP($B1740,'4. CÀI ĐẶT'!$A$2:$H$32,5,FALSE)))</f>
        <v/>
      </c>
      <c r="I1740">
        <f>IF($B1740="","",IF(LEFT($B1740,1)="━","",VLOOKUP($B1740,'4. CÀI ĐẶT'!$A$2:$H$32,6,FALSE)))</f>
        <v/>
      </c>
      <c r="J1740" s="13">
        <f>IF($A1740="","",EOMONTH($A1740,0))</f>
        <v/>
      </c>
      <c r="K1740" s="67">
        <f>IF($B1740="",0,IF(LEFT($B1740,1)="━",0,$C1740*VLOOKUP($B1740,'4. CÀI ĐẶT'!$A$2:$H$32,7,FALSE)))</f>
        <v/>
      </c>
    </row>
    <row r="1741">
      <c r="A1741" s="8" t="n"/>
      <c r="B1741" s="9" t="n"/>
      <c r="C1741" s="65" t="n"/>
      <c r="D1741" s="9" t="n"/>
      <c r="E1741" s="66">
        <f>IF($B1741="","",IF(LEFT($B1741,1)="━","⚠️ Chọn hạng mục cụ thể",$C1741*VLOOKUP($B1741,'4. CÀI ĐẶT'!$A$2:$H$32,2,FALSE)))</f>
        <v/>
      </c>
      <c r="F1741" s="67">
        <f>IF($B1741="",0,IF(LEFT($B1741,1)="━",0,$C1741*VLOOKUP($B1741,'4. CÀI ĐẶT'!$A$2:$H$32,3,FALSE)))</f>
        <v/>
      </c>
      <c r="G1741" s="67">
        <f>IF($B1741="",0,IF(LEFT($B1741,1)="━",0,$C1741*VLOOKUP($B1741,'4. CÀI ĐẶT'!$A$2:$H$32,4,FALSE)))</f>
        <v/>
      </c>
      <c r="H1741" s="67">
        <f>IF($B1741="",0,IF(LEFT($B1741,1)="━",0,$C1741*VLOOKUP($B1741,'4. CÀI ĐẶT'!$A$2:$H$32,5,FALSE)))</f>
        <v/>
      </c>
      <c r="I1741">
        <f>IF($B1741="","",IF(LEFT($B1741,1)="━","",VLOOKUP($B1741,'4. CÀI ĐẶT'!$A$2:$H$32,6,FALSE)))</f>
        <v/>
      </c>
      <c r="J1741" s="13">
        <f>IF($A1741="","",EOMONTH($A1741,0))</f>
        <v/>
      </c>
      <c r="K1741" s="67">
        <f>IF($B1741="",0,IF(LEFT($B1741,1)="━",0,$C1741*VLOOKUP($B1741,'4. CÀI ĐẶT'!$A$2:$H$32,7,FALSE)))</f>
        <v/>
      </c>
    </row>
    <row r="1742">
      <c r="A1742" s="8" t="n"/>
      <c r="B1742" s="9" t="n"/>
      <c r="C1742" s="65" t="n"/>
      <c r="D1742" s="9" t="n"/>
      <c r="E1742" s="66">
        <f>IF($B1742="","",IF(LEFT($B1742,1)="━","⚠️ Chọn hạng mục cụ thể",$C1742*VLOOKUP($B1742,'4. CÀI ĐẶT'!$A$2:$H$32,2,FALSE)))</f>
        <v/>
      </c>
      <c r="F1742" s="67">
        <f>IF($B1742="",0,IF(LEFT($B1742,1)="━",0,$C1742*VLOOKUP($B1742,'4. CÀI ĐẶT'!$A$2:$H$32,3,FALSE)))</f>
        <v/>
      </c>
      <c r="G1742" s="67">
        <f>IF($B1742="",0,IF(LEFT($B1742,1)="━",0,$C1742*VLOOKUP($B1742,'4. CÀI ĐẶT'!$A$2:$H$32,4,FALSE)))</f>
        <v/>
      </c>
      <c r="H1742" s="67">
        <f>IF($B1742="",0,IF(LEFT($B1742,1)="━",0,$C1742*VLOOKUP($B1742,'4. CÀI ĐẶT'!$A$2:$H$32,5,FALSE)))</f>
        <v/>
      </c>
      <c r="I1742">
        <f>IF($B1742="","",IF(LEFT($B1742,1)="━","",VLOOKUP($B1742,'4. CÀI ĐẶT'!$A$2:$H$32,6,FALSE)))</f>
        <v/>
      </c>
      <c r="J1742" s="13">
        <f>IF($A1742="","",EOMONTH($A1742,0))</f>
        <v/>
      </c>
      <c r="K1742" s="67">
        <f>IF($B1742="",0,IF(LEFT($B1742,1)="━",0,$C1742*VLOOKUP($B1742,'4. CÀI ĐẶT'!$A$2:$H$32,7,FALSE)))</f>
        <v/>
      </c>
    </row>
    <row r="1743">
      <c r="A1743" s="8" t="n"/>
      <c r="B1743" s="9" t="n"/>
      <c r="C1743" s="65" t="n"/>
      <c r="D1743" s="9" t="n"/>
      <c r="E1743" s="66">
        <f>IF($B1743="","",IF(LEFT($B1743,1)="━","⚠️ Chọn hạng mục cụ thể",$C1743*VLOOKUP($B1743,'4. CÀI ĐẶT'!$A$2:$H$32,2,FALSE)))</f>
        <v/>
      </c>
      <c r="F1743" s="67">
        <f>IF($B1743="",0,IF(LEFT($B1743,1)="━",0,$C1743*VLOOKUP($B1743,'4. CÀI ĐẶT'!$A$2:$H$32,3,FALSE)))</f>
        <v/>
      </c>
      <c r="G1743" s="67">
        <f>IF($B1743="",0,IF(LEFT($B1743,1)="━",0,$C1743*VLOOKUP($B1743,'4. CÀI ĐẶT'!$A$2:$H$32,4,FALSE)))</f>
        <v/>
      </c>
      <c r="H1743" s="67">
        <f>IF($B1743="",0,IF(LEFT($B1743,1)="━",0,$C1743*VLOOKUP($B1743,'4. CÀI ĐẶT'!$A$2:$H$32,5,FALSE)))</f>
        <v/>
      </c>
      <c r="I1743">
        <f>IF($B1743="","",IF(LEFT($B1743,1)="━","",VLOOKUP($B1743,'4. CÀI ĐẶT'!$A$2:$H$32,6,FALSE)))</f>
        <v/>
      </c>
      <c r="J1743" s="13">
        <f>IF($A1743="","",EOMONTH($A1743,0))</f>
        <v/>
      </c>
      <c r="K1743" s="67">
        <f>IF($B1743="",0,IF(LEFT($B1743,1)="━",0,$C1743*VLOOKUP($B1743,'4. CÀI ĐẶT'!$A$2:$H$32,7,FALSE)))</f>
        <v/>
      </c>
    </row>
    <row r="1744">
      <c r="A1744" s="8" t="n"/>
      <c r="B1744" s="9" t="n"/>
      <c r="C1744" s="65" t="n"/>
      <c r="D1744" s="9" t="n"/>
      <c r="E1744" s="66">
        <f>IF($B1744="","",IF(LEFT($B1744,1)="━","⚠️ Chọn hạng mục cụ thể",$C1744*VLOOKUP($B1744,'4. CÀI ĐẶT'!$A$2:$H$32,2,FALSE)))</f>
        <v/>
      </c>
      <c r="F1744" s="67">
        <f>IF($B1744="",0,IF(LEFT($B1744,1)="━",0,$C1744*VLOOKUP($B1744,'4. CÀI ĐẶT'!$A$2:$H$32,3,FALSE)))</f>
        <v/>
      </c>
      <c r="G1744" s="67">
        <f>IF($B1744="",0,IF(LEFT($B1744,1)="━",0,$C1744*VLOOKUP($B1744,'4. CÀI ĐẶT'!$A$2:$H$32,4,FALSE)))</f>
        <v/>
      </c>
      <c r="H1744" s="67">
        <f>IF($B1744="",0,IF(LEFT($B1744,1)="━",0,$C1744*VLOOKUP($B1744,'4. CÀI ĐẶT'!$A$2:$H$32,5,FALSE)))</f>
        <v/>
      </c>
      <c r="I1744">
        <f>IF($B1744="","",IF(LEFT($B1744,1)="━","",VLOOKUP($B1744,'4. CÀI ĐẶT'!$A$2:$H$32,6,FALSE)))</f>
        <v/>
      </c>
      <c r="J1744" s="13">
        <f>IF($A1744="","",EOMONTH($A1744,0))</f>
        <v/>
      </c>
      <c r="K1744" s="67">
        <f>IF($B1744="",0,IF(LEFT($B1744,1)="━",0,$C1744*VLOOKUP($B1744,'4. CÀI ĐẶT'!$A$2:$H$32,7,FALSE)))</f>
        <v/>
      </c>
    </row>
    <row r="1745">
      <c r="A1745" s="8" t="n"/>
      <c r="B1745" s="9" t="n"/>
      <c r="C1745" s="65" t="n"/>
      <c r="D1745" s="9" t="n"/>
      <c r="E1745" s="66">
        <f>IF($B1745="","",IF(LEFT($B1745,1)="━","⚠️ Chọn hạng mục cụ thể",$C1745*VLOOKUP($B1745,'4. CÀI ĐẶT'!$A$2:$H$32,2,FALSE)))</f>
        <v/>
      </c>
      <c r="F1745" s="67">
        <f>IF($B1745="",0,IF(LEFT($B1745,1)="━",0,$C1745*VLOOKUP($B1745,'4. CÀI ĐẶT'!$A$2:$H$32,3,FALSE)))</f>
        <v/>
      </c>
      <c r="G1745" s="67">
        <f>IF($B1745="",0,IF(LEFT($B1745,1)="━",0,$C1745*VLOOKUP($B1745,'4. CÀI ĐẶT'!$A$2:$H$32,4,FALSE)))</f>
        <v/>
      </c>
      <c r="H1745" s="67">
        <f>IF($B1745="",0,IF(LEFT($B1745,1)="━",0,$C1745*VLOOKUP($B1745,'4. CÀI ĐẶT'!$A$2:$H$32,5,FALSE)))</f>
        <v/>
      </c>
      <c r="I1745">
        <f>IF($B1745="","",IF(LEFT($B1745,1)="━","",VLOOKUP($B1745,'4. CÀI ĐẶT'!$A$2:$H$32,6,FALSE)))</f>
        <v/>
      </c>
      <c r="J1745" s="13">
        <f>IF($A1745="","",EOMONTH($A1745,0))</f>
        <v/>
      </c>
      <c r="K1745" s="67">
        <f>IF($B1745="",0,IF(LEFT($B1745,1)="━",0,$C1745*VLOOKUP($B1745,'4. CÀI ĐẶT'!$A$2:$H$32,7,FALSE)))</f>
        <v/>
      </c>
    </row>
    <row r="1746">
      <c r="A1746" s="8" t="n"/>
      <c r="B1746" s="9" t="n"/>
      <c r="C1746" s="65" t="n"/>
      <c r="D1746" s="9" t="n"/>
      <c r="E1746" s="66">
        <f>IF($B1746="","",IF(LEFT($B1746,1)="━","⚠️ Chọn hạng mục cụ thể",$C1746*VLOOKUP($B1746,'4. CÀI ĐẶT'!$A$2:$H$32,2,FALSE)))</f>
        <v/>
      </c>
      <c r="F1746" s="67">
        <f>IF($B1746="",0,IF(LEFT($B1746,1)="━",0,$C1746*VLOOKUP($B1746,'4. CÀI ĐẶT'!$A$2:$H$32,3,FALSE)))</f>
        <v/>
      </c>
      <c r="G1746" s="67">
        <f>IF($B1746="",0,IF(LEFT($B1746,1)="━",0,$C1746*VLOOKUP($B1746,'4. CÀI ĐẶT'!$A$2:$H$32,4,FALSE)))</f>
        <v/>
      </c>
      <c r="H1746" s="67">
        <f>IF($B1746="",0,IF(LEFT($B1746,1)="━",0,$C1746*VLOOKUP($B1746,'4. CÀI ĐẶT'!$A$2:$H$32,5,FALSE)))</f>
        <v/>
      </c>
      <c r="I1746">
        <f>IF($B1746="","",IF(LEFT($B1746,1)="━","",VLOOKUP($B1746,'4. CÀI ĐẶT'!$A$2:$H$32,6,FALSE)))</f>
        <v/>
      </c>
      <c r="J1746" s="13">
        <f>IF($A1746="","",EOMONTH($A1746,0))</f>
        <v/>
      </c>
      <c r="K1746" s="67">
        <f>IF($B1746="",0,IF(LEFT($B1746,1)="━",0,$C1746*VLOOKUP($B1746,'4. CÀI ĐẶT'!$A$2:$H$32,7,FALSE)))</f>
        <v/>
      </c>
    </row>
    <row r="1747">
      <c r="A1747" s="8" t="n"/>
      <c r="B1747" s="9" t="n"/>
      <c r="C1747" s="65" t="n"/>
      <c r="D1747" s="9" t="n"/>
      <c r="E1747" s="66">
        <f>IF($B1747="","",IF(LEFT($B1747,1)="━","⚠️ Chọn hạng mục cụ thể",$C1747*VLOOKUP($B1747,'4. CÀI ĐẶT'!$A$2:$H$32,2,FALSE)))</f>
        <v/>
      </c>
      <c r="F1747" s="67">
        <f>IF($B1747="",0,IF(LEFT($B1747,1)="━",0,$C1747*VLOOKUP($B1747,'4. CÀI ĐẶT'!$A$2:$H$32,3,FALSE)))</f>
        <v/>
      </c>
      <c r="G1747" s="67">
        <f>IF($B1747="",0,IF(LEFT($B1747,1)="━",0,$C1747*VLOOKUP($B1747,'4. CÀI ĐẶT'!$A$2:$H$32,4,FALSE)))</f>
        <v/>
      </c>
      <c r="H1747" s="67">
        <f>IF($B1747="",0,IF(LEFT($B1747,1)="━",0,$C1747*VLOOKUP($B1747,'4. CÀI ĐẶT'!$A$2:$H$32,5,FALSE)))</f>
        <v/>
      </c>
      <c r="I1747">
        <f>IF($B1747="","",IF(LEFT($B1747,1)="━","",VLOOKUP($B1747,'4. CÀI ĐẶT'!$A$2:$H$32,6,FALSE)))</f>
        <v/>
      </c>
      <c r="J1747" s="13">
        <f>IF($A1747="","",EOMONTH($A1747,0))</f>
        <v/>
      </c>
      <c r="K1747" s="67">
        <f>IF($B1747="",0,IF(LEFT($B1747,1)="━",0,$C1747*VLOOKUP($B1747,'4. CÀI ĐẶT'!$A$2:$H$32,7,FALSE)))</f>
        <v/>
      </c>
    </row>
    <row r="1748">
      <c r="A1748" s="8" t="n"/>
      <c r="B1748" s="9" t="n"/>
      <c r="C1748" s="65" t="n"/>
      <c r="D1748" s="9" t="n"/>
      <c r="E1748" s="66">
        <f>IF($B1748="","",IF(LEFT($B1748,1)="━","⚠️ Chọn hạng mục cụ thể",$C1748*VLOOKUP($B1748,'4. CÀI ĐẶT'!$A$2:$H$32,2,FALSE)))</f>
        <v/>
      </c>
      <c r="F1748" s="67">
        <f>IF($B1748="",0,IF(LEFT($B1748,1)="━",0,$C1748*VLOOKUP($B1748,'4. CÀI ĐẶT'!$A$2:$H$32,3,FALSE)))</f>
        <v/>
      </c>
      <c r="G1748" s="67">
        <f>IF($B1748="",0,IF(LEFT($B1748,1)="━",0,$C1748*VLOOKUP($B1748,'4. CÀI ĐẶT'!$A$2:$H$32,4,FALSE)))</f>
        <v/>
      </c>
      <c r="H1748" s="67">
        <f>IF($B1748="",0,IF(LEFT($B1748,1)="━",0,$C1748*VLOOKUP($B1748,'4. CÀI ĐẶT'!$A$2:$H$32,5,FALSE)))</f>
        <v/>
      </c>
      <c r="I1748">
        <f>IF($B1748="","",IF(LEFT($B1748,1)="━","",VLOOKUP($B1748,'4. CÀI ĐẶT'!$A$2:$H$32,6,FALSE)))</f>
        <v/>
      </c>
      <c r="J1748" s="13">
        <f>IF($A1748="","",EOMONTH($A1748,0))</f>
        <v/>
      </c>
      <c r="K1748" s="67">
        <f>IF($B1748="",0,IF(LEFT($B1748,1)="━",0,$C1748*VLOOKUP($B1748,'4. CÀI ĐẶT'!$A$2:$H$32,7,FALSE)))</f>
        <v/>
      </c>
    </row>
    <row r="1749">
      <c r="A1749" s="8" t="n"/>
      <c r="B1749" s="9" t="n"/>
      <c r="C1749" s="65" t="n"/>
      <c r="D1749" s="9" t="n"/>
      <c r="E1749" s="66">
        <f>IF($B1749="","",IF(LEFT($B1749,1)="━","⚠️ Chọn hạng mục cụ thể",$C1749*VLOOKUP($B1749,'4. CÀI ĐẶT'!$A$2:$H$32,2,FALSE)))</f>
        <v/>
      </c>
      <c r="F1749" s="67">
        <f>IF($B1749="",0,IF(LEFT($B1749,1)="━",0,$C1749*VLOOKUP($B1749,'4. CÀI ĐẶT'!$A$2:$H$32,3,FALSE)))</f>
        <v/>
      </c>
      <c r="G1749" s="67">
        <f>IF($B1749="",0,IF(LEFT($B1749,1)="━",0,$C1749*VLOOKUP($B1749,'4. CÀI ĐẶT'!$A$2:$H$32,4,FALSE)))</f>
        <v/>
      </c>
      <c r="H1749" s="67">
        <f>IF($B1749="",0,IF(LEFT($B1749,1)="━",0,$C1749*VLOOKUP($B1749,'4. CÀI ĐẶT'!$A$2:$H$32,5,FALSE)))</f>
        <v/>
      </c>
      <c r="I1749">
        <f>IF($B1749="","",IF(LEFT($B1749,1)="━","",VLOOKUP($B1749,'4. CÀI ĐẶT'!$A$2:$H$32,6,FALSE)))</f>
        <v/>
      </c>
      <c r="J1749" s="13">
        <f>IF($A1749="","",EOMONTH($A1749,0))</f>
        <v/>
      </c>
      <c r="K1749" s="67">
        <f>IF($B1749="",0,IF(LEFT($B1749,1)="━",0,$C1749*VLOOKUP($B1749,'4. CÀI ĐẶT'!$A$2:$H$32,7,FALSE)))</f>
        <v/>
      </c>
    </row>
    <row r="1750">
      <c r="A1750" s="8" t="n"/>
      <c r="B1750" s="9" t="n"/>
      <c r="C1750" s="65" t="n"/>
      <c r="D1750" s="9" t="n"/>
      <c r="E1750" s="66">
        <f>IF($B1750="","",IF(LEFT($B1750,1)="━","⚠️ Chọn hạng mục cụ thể",$C1750*VLOOKUP($B1750,'4. CÀI ĐẶT'!$A$2:$H$32,2,FALSE)))</f>
        <v/>
      </c>
      <c r="F1750" s="67">
        <f>IF($B1750="",0,IF(LEFT($B1750,1)="━",0,$C1750*VLOOKUP($B1750,'4. CÀI ĐẶT'!$A$2:$H$32,3,FALSE)))</f>
        <v/>
      </c>
      <c r="G1750" s="67">
        <f>IF($B1750="",0,IF(LEFT($B1750,1)="━",0,$C1750*VLOOKUP($B1750,'4. CÀI ĐẶT'!$A$2:$H$32,4,FALSE)))</f>
        <v/>
      </c>
      <c r="H1750" s="67">
        <f>IF($B1750="",0,IF(LEFT($B1750,1)="━",0,$C1750*VLOOKUP($B1750,'4. CÀI ĐẶT'!$A$2:$H$32,5,FALSE)))</f>
        <v/>
      </c>
      <c r="I1750">
        <f>IF($B1750="","",IF(LEFT($B1750,1)="━","",VLOOKUP($B1750,'4. CÀI ĐẶT'!$A$2:$H$32,6,FALSE)))</f>
        <v/>
      </c>
      <c r="J1750" s="13">
        <f>IF($A1750="","",EOMONTH($A1750,0))</f>
        <v/>
      </c>
      <c r="K1750" s="67">
        <f>IF($B1750="",0,IF(LEFT($B1750,1)="━",0,$C1750*VLOOKUP($B1750,'4. CÀI ĐẶT'!$A$2:$H$32,7,FALSE)))</f>
        <v/>
      </c>
    </row>
    <row r="1751">
      <c r="A1751" s="8" t="n"/>
      <c r="B1751" s="9" t="n"/>
      <c r="C1751" s="65" t="n"/>
      <c r="D1751" s="9" t="n"/>
      <c r="E1751" s="66">
        <f>IF($B1751="","",IF(LEFT($B1751,1)="━","⚠️ Chọn hạng mục cụ thể",$C1751*VLOOKUP($B1751,'4. CÀI ĐẶT'!$A$2:$H$32,2,FALSE)))</f>
        <v/>
      </c>
      <c r="F1751" s="67">
        <f>IF($B1751="",0,IF(LEFT($B1751,1)="━",0,$C1751*VLOOKUP($B1751,'4. CÀI ĐẶT'!$A$2:$H$32,3,FALSE)))</f>
        <v/>
      </c>
      <c r="G1751" s="67">
        <f>IF($B1751="",0,IF(LEFT($B1751,1)="━",0,$C1751*VLOOKUP($B1751,'4. CÀI ĐẶT'!$A$2:$H$32,4,FALSE)))</f>
        <v/>
      </c>
      <c r="H1751" s="67">
        <f>IF($B1751="",0,IF(LEFT($B1751,1)="━",0,$C1751*VLOOKUP($B1751,'4. CÀI ĐẶT'!$A$2:$H$32,5,FALSE)))</f>
        <v/>
      </c>
      <c r="I1751">
        <f>IF($B1751="","",IF(LEFT($B1751,1)="━","",VLOOKUP($B1751,'4. CÀI ĐẶT'!$A$2:$H$32,6,FALSE)))</f>
        <v/>
      </c>
      <c r="J1751" s="13">
        <f>IF($A1751="","",EOMONTH($A1751,0))</f>
        <v/>
      </c>
      <c r="K1751" s="67">
        <f>IF($B1751="",0,IF(LEFT($B1751,1)="━",0,$C1751*VLOOKUP($B1751,'4. CÀI ĐẶT'!$A$2:$H$32,7,FALSE)))</f>
        <v/>
      </c>
    </row>
    <row r="1752">
      <c r="A1752" s="8" t="n"/>
      <c r="B1752" s="9" t="n"/>
      <c r="C1752" s="65" t="n"/>
      <c r="D1752" s="9" t="n"/>
      <c r="E1752" s="66">
        <f>IF($B1752="","",IF(LEFT($B1752,1)="━","⚠️ Chọn hạng mục cụ thể",$C1752*VLOOKUP($B1752,'4. CÀI ĐẶT'!$A$2:$H$32,2,FALSE)))</f>
        <v/>
      </c>
      <c r="F1752" s="67">
        <f>IF($B1752="",0,IF(LEFT($B1752,1)="━",0,$C1752*VLOOKUP($B1752,'4. CÀI ĐẶT'!$A$2:$H$32,3,FALSE)))</f>
        <v/>
      </c>
      <c r="G1752" s="67">
        <f>IF($B1752="",0,IF(LEFT($B1752,1)="━",0,$C1752*VLOOKUP($B1752,'4. CÀI ĐẶT'!$A$2:$H$32,4,FALSE)))</f>
        <v/>
      </c>
      <c r="H1752" s="67">
        <f>IF($B1752="",0,IF(LEFT($B1752,1)="━",0,$C1752*VLOOKUP($B1752,'4. CÀI ĐẶT'!$A$2:$H$32,5,FALSE)))</f>
        <v/>
      </c>
      <c r="I1752">
        <f>IF($B1752="","",IF(LEFT($B1752,1)="━","",VLOOKUP($B1752,'4. CÀI ĐẶT'!$A$2:$H$32,6,FALSE)))</f>
        <v/>
      </c>
      <c r="J1752" s="13">
        <f>IF($A1752="","",EOMONTH($A1752,0))</f>
        <v/>
      </c>
      <c r="K1752" s="67">
        <f>IF($B1752="",0,IF(LEFT($B1752,1)="━",0,$C1752*VLOOKUP($B1752,'4. CÀI ĐẶT'!$A$2:$H$32,7,FALSE)))</f>
        <v/>
      </c>
    </row>
    <row r="1753">
      <c r="A1753" s="8" t="n"/>
      <c r="B1753" s="9" t="n"/>
      <c r="C1753" s="65" t="n"/>
      <c r="D1753" s="9" t="n"/>
      <c r="E1753" s="66">
        <f>IF($B1753="","",IF(LEFT($B1753,1)="━","⚠️ Chọn hạng mục cụ thể",$C1753*VLOOKUP($B1753,'4. CÀI ĐẶT'!$A$2:$H$32,2,FALSE)))</f>
        <v/>
      </c>
      <c r="F1753" s="67">
        <f>IF($B1753="",0,IF(LEFT($B1753,1)="━",0,$C1753*VLOOKUP($B1753,'4. CÀI ĐẶT'!$A$2:$H$32,3,FALSE)))</f>
        <v/>
      </c>
      <c r="G1753" s="67">
        <f>IF($B1753="",0,IF(LEFT($B1753,1)="━",0,$C1753*VLOOKUP($B1753,'4. CÀI ĐẶT'!$A$2:$H$32,4,FALSE)))</f>
        <v/>
      </c>
      <c r="H1753" s="67">
        <f>IF($B1753="",0,IF(LEFT($B1753,1)="━",0,$C1753*VLOOKUP($B1753,'4. CÀI ĐẶT'!$A$2:$H$32,5,FALSE)))</f>
        <v/>
      </c>
      <c r="I1753">
        <f>IF($B1753="","",IF(LEFT($B1753,1)="━","",VLOOKUP($B1753,'4. CÀI ĐẶT'!$A$2:$H$32,6,FALSE)))</f>
        <v/>
      </c>
      <c r="J1753" s="13">
        <f>IF($A1753="","",EOMONTH($A1753,0))</f>
        <v/>
      </c>
      <c r="K1753" s="67">
        <f>IF($B1753="",0,IF(LEFT($B1753,1)="━",0,$C1753*VLOOKUP($B1753,'4. CÀI ĐẶT'!$A$2:$H$32,7,FALSE)))</f>
        <v/>
      </c>
    </row>
    <row r="1754">
      <c r="A1754" s="8" t="n"/>
      <c r="B1754" s="9" t="n"/>
      <c r="C1754" s="65" t="n"/>
      <c r="D1754" s="9" t="n"/>
      <c r="E1754" s="66">
        <f>IF($B1754="","",IF(LEFT($B1754,1)="━","⚠️ Chọn hạng mục cụ thể",$C1754*VLOOKUP($B1754,'4. CÀI ĐẶT'!$A$2:$H$32,2,FALSE)))</f>
        <v/>
      </c>
      <c r="F1754" s="67">
        <f>IF($B1754="",0,IF(LEFT($B1754,1)="━",0,$C1754*VLOOKUP($B1754,'4. CÀI ĐẶT'!$A$2:$H$32,3,FALSE)))</f>
        <v/>
      </c>
      <c r="G1754" s="67">
        <f>IF($B1754="",0,IF(LEFT($B1754,1)="━",0,$C1754*VLOOKUP($B1754,'4. CÀI ĐẶT'!$A$2:$H$32,4,FALSE)))</f>
        <v/>
      </c>
      <c r="H1754" s="67">
        <f>IF($B1754="",0,IF(LEFT($B1754,1)="━",0,$C1754*VLOOKUP($B1754,'4. CÀI ĐẶT'!$A$2:$H$32,5,FALSE)))</f>
        <v/>
      </c>
      <c r="I1754">
        <f>IF($B1754="","",IF(LEFT($B1754,1)="━","",VLOOKUP($B1754,'4. CÀI ĐẶT'!$A$2:$H$32,6,FALSE)))</f>
        <v/>
      </c>
      <c r="J1754" s="13">
        <f>IF($A1754="","",EOMONTH($A1754,0))</f>
        <v/>
      </c>
      <c r="K1754" s="67">
        <f>IF($B1754="",0,IF(LEFT($B1754,1)="━",0,$C1754*VLOOKUP($B1754,'4. CÀI ĐẶT'!$A$2:$H$32,7,FALSE)))</f>
        <v/>
      </c>
    </row>
    <row r="1755">
      <c r="A1755" s="8" t="n"/>
      <c r="B1755" s="9" t="n"/>
      <c r="C1755" s="65" t="n"/>
      <c r="D1755" s="9" t="n"/>
      <c r="E1755" s="66">
        <f>IF($B1755="","",IF(LEFT($B1755,1)="━","⚠️ Chọn hạng mục cụ thể",$C1755*VLOOKUP($B1755,'4. CÀI ĐẶT'!$A$2:$H$32,2,FALSE)))</f>
        <v/>
      </c>
      <c r="F1755" s="67">
        <f>IF($B1755="",0,IF(LEFT($B1755,1)="━",0,$C1755*VLOOKUP($B1755,'4. CÀI ĐẶT'!$A$2:$H$32,3,FALSE)))</f>
        <v/>
      </c>
      <c r="G1755" s="67">
        <f>IF($B1755="",0,IF(LEFT($B1755,1)="━",0,$C1755*VLOOKUP($B1755,'4. CÀI ĐẶT'!$A$2:$H$32,4,FALSE)))</f>
        <v/>
      </c>
      <c r="H1755" s="67">
        <f>IF($B1755="",0,IF(LEFT($B1755,1)="━",0,$C1755*VLOOKUP($B1755,'4. CÀI ĐẶT'!$A$2:$H$32,5,FALSE)))</f>
        <v/>
      </c>
      <c r="I1755">
        <f>IF($B1755="","",IF(LEFT($B1755,1)="━","",VLOOKUP($B1755,'4. CÀI ĐẶT'!$A$2:$H$32,6,FALSE)))</f>
        <v/>
      </c>
      <c r="J1755" s="13">
        <f>IF($A1755="","",EOMONTH($A1755,0))</f>
        <v/>
      </c>
      <c r="K1755" s="67">
        <f>IF($B1755="",0,IF(LEFT($B1755,1)="━",0,$C1755*VLOOKUP($B1755,'4. CÀI ĐẶT'!$A$2:$H$32,7,FALSE)))</f>
        <v/>
      </c>
    </row>
    <row r="1756">
      <c r="A1756" s="8" t="n"/>
      <c r="B1756" s="9" t="n"/>
      <c r="C1756" s="65" t="n"/>
      <c r="D1756" s="9" t="n"/>
      <c r="E1756" s="66">
        <f>IF($B1756="","",IF(LEFT($B1756,1)="━","⚠️ Chọn hạng mục cụ thể",$C1756*VLOOKUP($B1756,'4. CÀI ĐẶT'!$A$2:$H$32,2,FALSE)))</f>
        <v/>
      </c>
      <c r="F1756" s="67">
        <f>IF($B1756="",0,IF(LEFT($B1756,1)="━",0,$C1756*VLOOKUP($B1756,'4. CÀI ĐẶT'!$A$2:$H$32,3,FALSE)))</f>
        <v/>
      </c>
      <c r="G1756" s="67">
        <f>IF($B1756="",0,IF(LEFT($B1756,1)="━",0,$C1756*VLOOKUP($B1756,'4. CÀI ĐẶT'!$A$2:$H$32,4,FALSE)))</f>
        <v/>
      </c>
      <c r="H1756" s="67">
        <f>IF($B1756="",0,IF(LEFT($B1756,1)="━",0,$C1756*VLOOKUP($B1756,'4. CÀI ĐẶT'!$A$2:$H$32,5,FALSE)))</f>
        <v/>
      </c>
      <c r="I1756">
        <f>IF($B1756="","",IF(LEFT($B1756,1)="━","",VLOOKUP($B1756,'4. CÀI ĐẶT'!$A$2:$H$32,6,FALSE)))</f>
        <v/>
      </c>
      <c r="J1756" s="13">
        <f>IF($A1756="","",EOMONTH($A1756,0))</f>
        <v/>
      </c>
      <c r="K1756" s="67">
        <f>IF($B1756="",0,IF(LEFT($B1756,1)="━",0,$C1756*VLOOKUP($B1756,'4. CÀI ĐẶT'!$A$2:$H$32,7,FALSE)))</f>
        <v/>
      </c>
    </row>
    <row r="1757">
      <c r="A1757" s="8" t="n"/>
      <c r="B1757" s="9" t="n"/>
      <c r="C1757" s="65" t="n"/>
      <c r="D1757" s="9" t="n"/>
      <c r="E1757" s="66">
        <f>IF($B1757="","",IF(LEFT($B1757,1)="━","⚠️ Chọn hạng mục cụ thể",$C1757*VLOOKUP($B1757,'4. CÀI ĐẶT'!$A$2:$H$32,2,FALSE)))</f>
        <v/>
      </c>
      <c r="F1757" s="67">
        <f>IF($B1757="",0,IF(LEFT($B1757,1)="━",0,$C1757*VLOOKUP($B1757,'4. CÀI ĐẶT'!$A$2:$H$32,3,FALSE)))</f>
        <v/>
      </c>
      <c r="G1757" s="67">
        <f>IF($B1757="",0,IF(LEFT($B1757,1)="━",0,$C1757*VLOOKUP($B1757,'4. CÀI ĐẶT'!$A$2:$H$32,4,FALSE)))</f>
        <v/>
      </c>
      <c r="H1757" s="67">
        <f>IF($B1757="",0,IF(LEFT($B1757,1)="━",0,$C1757*VLOOKUP($B1757,'4. CÀI ĐẶT'!$A$2:$H$32,5,FALSE)))</f>
        <v/>
      </c>
      <c r="I1757">
        <f>IF($B1757="","",IF(LEFT($B1757,1)="━","",VLOOKUP($B1757,'4. CÀI ĐẶT'!$A$2:$H$32,6,FALSE)))</f>
        <v/>
      </c>
      <c r="J1757" s="13">
        <f>IF($A1757="","",EOMONTH($A1757,0))</f>
        <v/>
      </c>
      <c r="K1757" s="67">
        <f>IF($B1757="",0,IF(LEFT($B1757,1)="━",0,$C1757*VLOOKUP($B1757,'4. CÀI ĐẶT'!$A$2:$H$32,7,FALSE)))</f>
        <v/>
      </c>
    </row>
    <row r="1758">
      <c r="A1758" s="8" t="n"/>
      <c r="B1758" s="9" t="n"/>
      <c r="C1758" s="65" t="n"/>
      <c r="D1758" s="9" t="n"/>
      <c r="E1758" s="66">
        <f>IF($B1758="","",IF(LEFT($B1758,1)="━","⚠️ Chọn hạng mục cụ thể",$C1758*VLOOKUP($B1758,'4. CÀI ĐẶT'!$A$2:$H$32,2,FALSE)))</f>
        <v/>
      </c>
      <c r="F1758" s="67">
        <f>IF($B1758="",0,IF(LEFT($B1758,1)="━",0,$C1758*VLOOKUP($B1758,'4. CÀI ĐẶT'!$A$2:$H$32,3,FALSE)))</f>
        <v/>
      </c>
      <c r="G1758" s="67">
        <f>IF($B1758="",0,IF(LEFT($B1758,1)="━",0,$C1758*VLOOKUP($B1758,'4. CÀI ĐẶT'!$A$2:$H$32,4,FALSE)))</f>
        <v/>
      </c>
      <c r="H1758" s="67">
        <f>IF($B1758="",0,IF(LEFT($B1758,1)="━",0,$C1758*VLOOKUP($B1758,'4. CÀI ĐẶT'!$A$2:$H$32,5,FALSE)))</f>
        <v/>
      </c>
      <c r="I1758">
        <f>IF($B1758="","",IF(LEFT($B1758,1)="━","",VLOOKUP($B1758,'4. CÀI ĐẶT'!$A$2:$H$32,6,FALSE)))</f>
        <v/>
      </c>
      <c r="J1758" s="13">
        <f>IF($A1758="","",EOMONTH($A1758,0))</f>
        <v/>
      </c>
      <c r="K1758" s="67">
        <f>IF($B1758="",0,IF(LEFT($B1758,1)="━",0,$C1758*VLOOKUP($B1758,'4. CÀI ĐẶT'!$A$2:$H$32,7,FALSE)))</f>
        <v/>
      </c>
    </row>
    <row r="1759">
      <c r="A1759" s="8" t="n"/>
      <c r="B1759" s="9" t="n"/>
      <c r="C1759" s="65" t="n"/>
      <c r="D1759" s="9" t="n"/>
      <c r="E1759" s="66">
        <f>IF($B1759="","",IF(LEFT($B1759,1)="━","⚠️ Chọn hạng mục cụ thể",$C1759*VLOOKUP($B1759,'4. CÀI ĐẶT'!$A$2:$H$32,2,FALSE)))</f>
        <v/>
      </c>
      <c r="F1759" s="67">
        <f>IF($B1759="",0,IF(LEFT($B1759,1)="━",0,$C1759*VLOOKUP($B1759,'4. CÀI ĐẶT'!$A$2:$H$32,3,FALSE)))</f>
        <v/>
      </c>
      <c r="G1759" s="67">
        <f>IF($B1759="",0,IF(LEFT($B1759,1)="━",0,$C1759*VLOOKUP($B1759,'4. CÀI ĐẶT'!$A$2:$H$32,4,FALSE)))</f>
        <v/>
      </c>
      <c r="H1759" s="67">
        <f>IF($B1759="",0,IF(LEFT($B1759,1)="━",0,$C1759*VLOOKUP($B1759,'4. CÀI ĐẶT'!$A$2:$H$32,5,FALSE)))</f>
        <v/>
      </c>
      <c r="I1759">
        <f>IF($B1759="","",IF(LEFT($B1759,1)="━","",VLOOKUP($B1759,'4. CÀI ĐẶT'!$A$2:$H$32,6,FALSE)))</f>
        <v/>
      </c>
      <c r="J1759" s="13">
        <f>IF($A1759="","",EOMONTH($A1759,0))</f>
        <v/>
      </c>
      <c r="K1759" s="67">
        <f>IF($B1759="",0,IF(LEFT($B1759,1)="━",0,$C1759*VLOOKUP($B1759,'4. CÀI ĐẶT'!$A$2:$H$32,7,FALSE)))</f>
        <v/>
      </c>
    </row>
    <row r="1760">
      <c r="A1760" s="8" t="n"/>
      <c r="B1760" s="9" t="n"/>
      <c r="C1760" s="65" t="n"/>
      <c r="D1760" s="9" t="n"/>
      <c r="E1760" s="66">
        <f>IF($B1760="","",IF(LEFT($B1760,1)="━","⚠️ Chọn hạng mục cụ thể",$C1760*VLOOKUP($B1760,'4. CÀI ĐẶT'!$A$2:$H$32,2,FALSE)))</f>
        <v/>
      </c>
      <c r="F1760" s="67">
        <f>IF($B1760="",0,IF(LEFT($B1760,1)="━",0,$C1760*VLOOKUP($B1760,'4. CÀI ĐẶT'!$A$2:$H$32,3,FALSE)))</f>
        <v/>
      </c>
      <c r="G1760" s="67">
        <f>IF($B1760="",0,IF(LEFT($B1760,1)="━",0,$C1760*VLOOKUP($B1760,'4. CÀI ĐẶT'!$A$2:$H$32,4,FALSE)))</f>
        <v/>
      </c>
      <c r="H1760" s="67">
        <f>IF($B1760="",0,IF(LEFT($B1760,1)="━",0,$C1760*VLOOKUP($B1760,'4. CÀI ĐẶT'!$A$2:$H$32,5,FALSE)))</f>
        <v/>
      </c>
      <c r="I1760">
        <f>IF($B1760="","",IF(LEFT($B1760,1)="━","",VLOOKUP($B1760,'4. CÀI ĐẶT'!$A$2:$H$32,6,FALSE)))</f>
        <v/>
      </c>
      <c r="J1760" s="13">
        <f>IF($A1760="","",EOMONTH($A1760,0))</f>
        <v/>
      </c>
      <c r="K1760" s="67">
        <f>IF($B1760="",0,IF(LEFT($B1760,1)="━",0,$C1760*VLOOKUP($B1760,'4. CÀI ĐẶT'!$A$2:$H$32,7,FALSE)))</f>
        <v/>
      </c>
    </row>
    <row r="1761">
      <c r="A1761" s="8" t="n"/>
      <c r="B1761" s="9" t="n"/>
      <c r="C1761" s="65" t="n"/>
      <c r="D1761" s="9" t="n"/>
      <c r="E1761" s="66">
        <f>IF($B1761="","",IF(LEFT($B1761,1)="━","⚠️ Chọn hạng mục cụ thể",$C1761*VLOOKUP($B1761,'4. CÀI ĐẶT'!$A$2:$H$32,2,FALSE)))</f>
        <v/>
      </c>
      <c r="F1761" s="67">
        <f>IF($B1761="",0,IF(LEFT($B1761,1)="━",0,$C1761*VLOOKUP($B1761,'4. CÀI ĐẶT'!$A$2:$H$32,3,FALSE)))</f>
        <v/>
      </c>
      <c r="G1761" s="67">
        <f>IF($B1761="",0,IF(LEFT($B1761,1)="━",0,$C1761*VLOOKUP($B1761,'4. CÀI ĐẶT'!$A$2:$H$32,4,FALSE)))</f>
        <v/>
      </c>
      <c r="H1761" s="67">
        <f>IF($B1761="",0,IF(LEFT($B1761,1)="━",0,$C1761*VLOOKUP($B1761,'4. CÀI ĐẶT'!$A$2:$H$32,5,FALSE)))</f>
        <v/>
      </c>
      <c r="I1761">
        <f>IF($B1761="","",IF(LEFT($B1761,1)="━","",VLOOKUP($B1761,'4. CÀI ĐẶT'!$A$2:$H$32,6,FALSE)))</f>
        <v/>
      </c>
      <c r="J1761" s="13">
        <f>IF($A1761="","",EOMONTH($A1761,0))</f>
        <v/>
      </c>
      <c r="K1761" s="67">
        <f>IF($B1761="",0,IF(LEFT($B1761,1)="━",0,$C1761*VLOOKUP($B1761,'4. CÀI ĐẶT'!$A$2:$H$32,7,FALSE)))</f>
        <v/>
      </c>
    </row>
    <row r="1762">
      <c r="A1762" s="8" t="n"/>
      <c r="B1762" s="9" t="n"/>
      <c r="C1762" s="65" t="n"/>
      <c r="D1762" s="9" t="n"/>
      <c r="E1762" s="66">
        <f>IF($B1762="","",IF(LEFT($B1762,1)="━","⚠️ Chọn hạng mục cụ thể",$C1762*VLOOKUP($B1762,'4. CÀI ĐẶT'!$A$2:$H$32,2,FALSE)))</f>
        <v/>
      </c>
      <c r="F1762" s="67">
        <f>IF($B1762="",0,IF(LEFT($B1762,1)="━",0,$C1762*VLOOKUP($B1762,'4. CÀI ĐẶT'!$A$2:$H$32,3,FALSE)))</f>
        <v/>
      </c>
      <c r="G1762" s="67">
        <f>IF($B1762="",0,IF(LEFT($B1762,1)="━",0,$C1762*VLOOKUP($B1762,'4. CÀI ĐẶT'!$A$2:$H$32,4,FALSE)))</f>
        <v/>
      </c>
      <c r="H1762" s="67">
        <f>IF($B1762="",0,IF(LEFT($B1762,1)="━",0,$C1762*VLOOKUP($B1762,'4. CÀI ĐẶT'!$A$2:$H$32,5,FALSE)))</f>
        <v/>
      </c>
      <c r="I1762">
        <f>IF($B1762="","",IF(LEFT($B1762,1)="━","",VLOOKUP($B1762,'4. CÀI ĐẶT'!$A$2:$H$32,6,FALSE)))</f>
        <v/>
      </c>
      <c r="J1762" s="13">
        <f>IF($A1762="","",EOMONTH($A1762,0))</f>
        <v/>
      </c>
      <c r="K1762" s="67">
        <f>IF($B1762="",0,IF(LEFT($B1762,1)="━",0,$C1762*VLOOKUP($B1762,'4. CÀI ĐẶT'!$A$2:$H$32,7,FALSE)))</f>
        <v/>
      </c>
    </row>
    <row r="1763">
      <c r="A1763" s="8" t="n"/>
      <c r="B1763" s="9" t="n"/>
      <c r="C1763" s="65" t="n"/>
      <c r="D1763" s="9" t="n"/>
      <c r="E1763" s="66">
        <f>IF($B1763="","",IF(LEFT($B1763,1)="━","⚠️ Chọn hạng mục cụ thể",$C1763*VLOOKUP($B1763,'4. CÀI ĐẶT'!$A$2:$H$32,2,FALSE)))</f>
        <v/>
      </c>
      <c r="F1763" s="67">
        <f>IF($B1763="",0,IF(LEFT($B1763,1)="━",0,$C1763*VLOOKUP($B1763,'4. CÀI ĐẶT'!$A$2:$H$32,3,FALSE)))</f>
        <v/>
      </c>
      <c r="G1763" s="67">
        <f>IF($B1763="",0,IF(LEFT($B1763,1)="━",0,$C1763*VLOOKUP($B1763,'4. CÀI ĐẶT'!$A$2:$H$32,4,FALSE)))</f>
        <v/>
      </c>
      <c r="H1763" s="67">
        <f>IF($B1763="",0,IF(LEFT($B1763,1)="━",0,$C1763*VLOOKUP($B1763,'4. CÀI ĐẶT'!$A$2:$H$32,5,FALSE)))</f>
        <v/>
      </c>
      <c r="I1763">
        <f>IF($B1763="","",IF(LEFT($B1763,1)="━","",VLOOKUP($B1763,'4. CÀI ĐẶT'!$A$2:$H$32,6,FALSE)))</f>
        <v/>
      </c>
      <c r="J1763" s="13">
        <f>IF($A1763="","",EOMONTH($A1763,0))</f>
        <v/>
      </c>
      <c r="K1763" s="67">
        <f>IF($B1763="",0,IF(LEFT($B1763,1)="━",0,$C1763*VLOOKUP($B1763,'4. CÀI ĐẶT'!$A$2:$H$32,7,FALSE)))</f>
        <v/>
      </c>
    </row>
    <row r="1764">
      <c r="A1764" s="8" t="n"/>
      <c r="B1764" s="9" t="n"/>
      <c r="C1764" s="65" t="n"/>
      <c r="D1764" s="9" t="n"/>
      <c r="E1764" s="66">
        <f>IF($B1764="","",IF(LEFT($B1764,1)="━","⚠️ Chọn hạng mục cụ thể",$C1764*VLOOKUP($B1764,'4. CÀI ĐẶT'!$A$2:$H$32,2,FALSE)))</f>
        <v/>
      </c>
      <c r="F1764" s="67">
        <f>IF($B1764="",0,IF(LEFT($B1764,1)="━",0,$C1764*VLOOKUP($B1764,'4. CÀI ĐẶT'!$A$2:$H$32,3,FALSE)))</f>
        <v/>
      </c>
      <c r="G1764" s="67">
        <f>IF($B1764="",0,IF(LEFT($B1764,1)="━",0,$C1764*VLOOKUP($B1764,'4. CÀI ĐẶT'!$A$2:$H$32,4,FALSE)))</f>
        <v/>
      </c>
      <c r="H1764" s="67">
        <f>IF($B1764="",0,IF(LEFT($B1764,1)="━",0,$C1764*VLOOKUP($B1764,'4. CÀI ĐẶT'!$A$2:$H$32,5,FALSE)))</f>
        <v/>
      </c>
      <c r="I1764">
        <f>IF($B1764="","",IF(LEFT($B1764,1)="━","",VLOOKUP($B1764,'4. CÀI ĐẶT'!$A$2:$H$32,6,FALSE)))</f>
        <v/>
      </c>
      <c r="J1764" s="13">
        <f>IF($A1764="","",EOMONTH($A1764,0))</f>
        <v/>
      </c>
      <c r="K1764" s="67">
        <f>IF($B1764="",0,IF(LEFT($B1764,1)="━",0,$C1764*VLOOKUP($B1764,'4. CÀI ĐẶT'!$A$2:$H$32,7,FALSE)))</f>
        <v/>
      </c>
    </row>
    <row r="1765">
      <c r="A1765" s="8" t="n"/>
      <c r="B1765" s="9" t="n"/>
      <c r="C1765" s="65" t="n"/>
      <c r="D1765" s="9" t="n"/>
      <c r="E1765" s="66">
        <f>IF($B1765="","",IF(LEFT($B1765,1)="━","⚠️ Chọn hạng mục cụ thể",$C1765*VLOOKUP($B1765,'4. CÀI ĐẶT'!$A$2:$H$32,2,FALSE)))</f>
        <v/>
      </c>
      <c r="F1765" s="67">
        <f>IF($B1765="",0,IF(LEFT($B1765,1)="━",0,$C1765*VLOOKUP($B1765,'4. CÀI ĐẶT'!$A$2:$H$32,3,FALSE)))</f>
        <v/>
      </c>
      <c r="G1765" s="67">
        <f>IF($B1765="",0,IF(LEFT($B1765,1)="━",0,$C1765*VLOOKUP($B1765,'4. CÀI ĐẶT'!$A$2:$H$32,4,FALSE)))</f>
        <v/>
      </c>
      <c r="H1765" s="67">
        <f>IF($B1765="",0,IF(LEFT($B1765,1)="━",0,$C1765*VLOOKUP($B1765,'4. CÀI ĐẶT'!$A$2:$H$32,5,FALSE)))</f>
        <v/>
      </c>
      <c r="I1765">
        <f>IF($B1765="","",IF(LEFT($B1765,1)="━","",VLOOKUP($B1765,'4. CÀI ĐẶT'!$A$2:$H$32,6,FALSE)))</f>
        <v/>
      </c>
      <c r="J1765" s="13">
        <f>IF($A1765="","",EOMONTH($A1765,0))</f>
        <v/>
      </c>
      <c r="K1765" s="67">
        <f>IF($B1765="",0,IF(LEFT($B1765,1)="━",0,$C1765*VLOOKUP($B1765,'4. CÀI ĐẶT'!$A$2:$H$32,7,FALSE)))</f>
        <v/>
      </c>
    </row>
    <row r="1766">
      <c r="A1766" s="8" t="n"/>
      <c r="B1766" s="9" t="n"/>
      <c r="C1766" s="65" t="n"/>
      <c r="D1766" s="9" t="n"/>
      <c r="E1766" s="66">
        <f>IF($B1766="","",IF(LEFT($B1766,1)="━","⚠️ Chọn hạng mục cụ thể",$C1766*VLOOKUP($B1766,'4. CÀI ĐẶT'!$A$2:$H$32,2,FALSE)))</f>
        <v/>
      </c>
      <c r="F1766" s="67">
        <f>IF($B1766="",0,IF(LEFT($B1766,1)="━",0,$C1766*VLOOKUP($B1766,'4. CÀI ĐẶT'!$A$2:$H$32,3,FALSE)))</f>
        <v/>
      </c>
      <c r="G1766" s="67">
        <f>IF($B1766="",0,IF(LEFT($B1766,1)="━",0,$C1766*VLOOKUP($B1766,'4. CÀI ĐẶT'!$A$2:$H$32,4,FALSE)))</f>
        <v/>
      </c>
      <c r="H1766" s="67">
        <f>IF($B1766="",0,IF(LEFT($B1766,1)="━",0,$C1766*VLOOKUP($B1766,'4. CÀI ĐẶT'!$A$2:$H$32,5,FALSE)))</f>
        <v/>
      </c>
      <c r="I1766">
        <f>IF($B1766="","",IF(LEFT($B1766,1)="━","",VLOOKUP($B1766,'4. CÀI ĐẶT'!$A$2:$H$32,6,FALSE)))</f>
        <v/>
      </c>
      <c r="J1766" s="13">
        <f>IF($A1766="","",EOMONTH($A1766,0))</f>
        <v/>
      </c>
      <c r="K1766" s="67">
        <f>IF($B1766="",0,IF(LEFT($B1766,1)="━",0,$C1766*VLOOKUP($B1766,'4. CÀI ĐẶT'!$A$2:$H$32,7,FALSE)))</f>
        <v/>
      </c>
    </row>
    <row r="1767">
      <c r="A1767" s="8" t="n"/>
      <c r="B1767" s="9" t="n"/>
      <c r="C1767" s="65" t="n"/>
      <c r="D1767" s="9" t="n"/>
      <c r="E1767" s="66">
        <f>IF($B1767="","",IF(LEFT($B1767,1)="━","⚠️ Chọn hạng mục cụ thể",$C1767*VLOOKUP($B1767,'4. CÀI ĐẶT'!$A$2:$H$32,2,FALSE)))</f>
        <v/>
      </c>
      <c r="F1767" s="67">
        <f>IF($B1767="",0,IF(LEFT($B1767,1)="━",0,$C1767*VLOOKUP($B1767,'4. CÀI ĐẶT'!$A$2:$H$32,3,FALSE)))</f>
        <v/>
      </c>
      <c r="G1767" s="67">
        <f>IF($B1767="",0,IF(LEFT($B1767,1)="━",0,$C1767*VLOOKUP($B1767,'4. CÀI ĐẶT'!$A$2:$H$32,4,FALSE)))</f>
        <v/>
      </c>
      <c r="H1767" s="67">
        <f>IF($B1767="",0,IF(LEFT($B1767,1)="━",0,$C1767*VLOOKUP($B1767,'4. CÀI ĐẶT'!$A$2:$H$32,5,FALSE)))</f>
        <v/>
      </c>
      <c r="I1767">
        <f>IF($B1767="","",IF(LEFT($B1767,1)="━","",VLOOKUP($B1767,'4. CÀI ĐẶT'!$A$2:$H$32,6,FALSE)))</f>
        <v/>
      </c>
      <c r="J1767" s="13">
        <f>IF($A1767="","",EOMONTH($A1767,0))</f>
        <v/>
      </c>
      <c r="K1767" s="67">
        <f>IF($B1767="",0,IF(LEFT($B1767,1)="━",0,$C1767*VLOOKUP($B1767,'4. CÀI ĐẶT'!$A$2:$H$32,7,FALSE)))</f>
        <v/>
      </c>
    </row>
    <row r="1768">
      <c r="A1768" s="8" t="n"/>
      <c r="B1768" s="9" t="n"/>
      <c r="C1768" s="65" t="n"/>
      <c r="D1768" s="9" t="n"/>
      <c r="E1768" s="66">
        <f>IF($B1768="","",IF(LEFT($B1768,1)="━","⚠️ Chọn hạng mục cụ thể",$C1768*VLOOKUP($B1768,'4. CÀI ĐẶT'!$A$2:$H$32,2,FALSE)))</f>
        <v/>
      </c>
      <c r="F1768" s="67">
        <f>IF($B1768="",0,IF(LEFT($B1768,1)="━",0,$C1768*VLOOKUP($B1768,'4. CÀI ĐẶT'!$A$2:$H$32,3,FALSE)))</f>
        <v/>
      </c>
      <c r="G1768" s="67">
        <f>IF($B1768="",0,IF(LEFT($B1768,1)="━",0,$C1768*VLOOKUP($B1768,'4. CÀI ĐẶT'!$A$2:$H$32,4,FALSE)))</f>
        <v/>
      </c>
      <c r="H1768" s="67">
        <f>IF($B1768="",0,IF(LEFT($B1768,1)="━",0,$C1768*VLOOKUP($B1768,'4. CÀI ĐẶT'!$A$2:$H$32,5,FALSE)))</f>
        <v/>
      </c>
      <c r="I1768">
        <f>IF($B1768="","",IF(LEFT($B1768,1)="━","",VLOOKUP($B1768,'4. CÀI ĐẶT'!$A$2:$H$32,6,FALSE)))</f>
        <v/>
      </c>
      <c r="J1768" s="13">
        <f>IF($A1768="","",EOMONTH($A1768,0))</f>
        <v/>
      </c>
      <c r="K1768" s="67">
        <f>IF($B1768="",0,IF(LEFT($B1768,1)="━",0,$C1768*VLOOKUP($B1768,'4. CÀI ĐẶT'!$A$2:$H$32,7,FALSE)))</f>
        <v/>
      </c>
    </row>
    <row r="1769">
      <c r="A1769" s="8" t="n"/>
      <c r="B1769" s="9" t="n"/>
      <c r="C1769" s="65" t="n"/>
      <c r="D1769" s="9" t="n"/>
      <c r="E1769" s="66">
        <f>IF($B1769="","",IF(LEFT($B1769,1)="━","⚠️ Chọn hạng mục cụ thể",$C1769*VLOOKUP($B1769,'4. CÀI ĐẶT'!$A$2:$H$32,2,FALSE)))</f>
        <v/>
      </c>
      <c r="F1769" s="67">
        <f>IF($B1769="",0,IF(LEFT($B1769,1)="━",0,$C1769*VLOOKUP($B1769,'4. CÀI ĐẶT'!$A$2:$H$32,3,FALSE)))</f>
        <v/>
      </c>
      <c r="G1769" s="67">
        <f>IF($B1769="",0,IF(LEFT($B1769,1)="━",0,$C1769*VLOOKUP($B1769,'4. CÀI ĐẶT'!$A$2:$H$32,4,FALSE)))</f>
        <v/>
      </c>
      <c r="H1769" s="67">
        <f>IF($B1769="",0,IF(LEFT($B1769,1)="━",0,$C1769*VLOOKUP($B1769,'4. CÀI ĐẶT'!$A$2:$H$32,5,FALSE)))</f>
        <v/>
      </c>
      <c r="I1769">
        <f>IF($B1769="","",IF(LEFT($B1769,1)="━","",VLOOKUP($B1769,'4. CÀI ĐẶT'!$A$2:$H$32,6,FALSE)))</f>
        <v/>
      </c>
      <c r="J1769" s="13">
        <f>IF($A1769="","",EOMONTH($A1769,0))</f>
        <v/>
      </c>
      <c r="K1769" s="67">
        <f>IF($B1769="",0,IF(LEFT($B1769,1)="━",0,$C1769*VLOOKUP($B1769,'4. CÀI ĐẶT'!$A$2:$H$32,7,FALSE)))</f>
        <v/>
      </c>
    </row>
    <row r="1770">
      <c r="A1770" s="8" t="n"/>
      <c r="B1770" s="9" t="n"/>
      <c r="C1770" s="65" t="n"/>
      <c r="D1770" s="9" t="n"/>
      <c r="E1770" s="66">
        <f>IF($B1770="","",IF(LEFT($B1770,1)="━","⚠️ Chọn hạng mục cụ thể",$C1770*VLOOKUP($B1770,'4. CÀI ĐẶT'!$A$2:$H$32,2,FALSE)))</f>
        <v/>
      </c>
      <c r="F1770" s="67">
        <f>IF($B1770="",0,IF(LEFT($B1770,1)="━",0,$C1770*VLOOKUP($B1770,'4. CÀI ĐẶT'!$A$2:$H$32,3,FALSE)))</f>
        <v/>
      </c>
      <c r="G1770" s="67">
        <f>IF($B1770="",0,IF(LEFT($B1770,1)="━",0,$C1770*VLOOKUP($B1770,'4. CÀI ĐẶT'!$A$2:$H$32,4,FALSE)))</f>
        <v/>
      </c>
      <c r="H1770" s="67">
        <f>IF($B1770="",0,IF(LEFT($B1770,1)="━",0,$C1770*VLOOKUP($B1770,'4. CÀI ĐẶT'!$A$2:$H$32,5,FALSE)))</f>
        <v/>
      </c>
      <c r="I1770">
        <f>IF($B1770="","",IF(LEFT($B1770,1)="━","",VLOOKUP($B1770,'4. CÀI ĐẶT'!$A$2:$H$32,6,FALSE)))</f>
        <v/>
      </c>
      <c r="J1770" s="13">
        <f>IF($A1770="","",EOMONTH($A1770,0))</f>
        <v/>
      </c>
      <c r="K1770" s="67">
        <f>IF($B1770="",0,IF(LEFT($B1770,1)="━",0,$C1770*VLOOKUP($B1770,'4. CÀI ĐẶT'!$A$2:$H$32,7,FALSE)))</f>
        <v/>
      </c>
    </row>
    <row r="1771">
      <c r="A1771" s="8" t="n"/>
      <c r="B1771" s="9" t="n"/>
      <c r="C1771" s="65" t="n"/>
      <c r="D1771" s="9" t="n"/>
      <c r="E1771" s="66">
        <f>IF($B1771="","",IF(LEFT($B1771,1)="━","⚠️ Chọn hạng mục cụ thể",$C1771*VLOOKUP($B1771,'4. CÀI ĐẶT'!$A$2:$H$32,2,FALSE)))</f>
        <v/>
      </c>
      <c r="F1771" s="67">
        <f>IF($B1771="",0,IF(LEFT($B1771,1)="━",0,$C1771*VLOOKUP($B1771,'4. CÀI ĐẶT'!$A$2:$H$32,3,FALSE)))</f>
        <v/>
      </c>
      <c r="G1771" s="67">
        <f>IF($B1771="",0,IF(LEFT($B1771,1)="━",0,$C1771*VLOOKUP($B1771,'4. CÀI ĐẶT'!$A$2:$H$32,4,FALSE)))</f>
        <v/>
      </c>
      <c r="H1771" s="67">
        <f>IF($B1771="",0,IF(LEFT($B1771,1)="━",0,$C1771*VLOOKUP($B1771,'4. CÀI ĐẶT'!$A$2:$H$32,5,FALSE)))</f>
        <v/>
      </c>
      <c r="I1771">
        <f>IF($B1771="","",IF(LEFT($B1771,1)="━","",VLOOKUP($B1771,'4. CÀI ĐẶT'!$A$2:$H$32,6,FALSE)))</f>
        <v/>
      </c>
      <c r="J1771" s="13">
        <f>IF($A1771="","",EOMONTH($A1771,0))</f>
        <v/>
      </c>
      <c r="K1771" s="67">
        <f>IF($B1771="",0,IF(LEFT($B1771,1)="━",0,$C1771*VLOOKUP($B1771,'4. CÀI ĐẶT'!$A$2:$H$32,7,FALSE)))</f>
        <v/>
      </c>
    </row>
    <row r="1772">
      <c r="A1772" s="8" t="n"/>
      <c r="B1772" s="9" t="n"/>
      <c r="C1772" s="65" t="n"/>
      <c r="D1772" s="9" t="n"/>
      <c r="E1772" s="66">
        <f>IF($B1772="","",IF(LEFT($B1772,1)="━","⚠️ Chọn hạng mục cụ thể",$C1772*VLOOKUP($B1772,'4. CÀI ĐẶT'!$A$2:$H$32,2,FALSE)))</f>
        <v/>
      </c>
      <c r="F1772" s="67">
        <f>IF($B1772="",0,IF(LEFT($B1772,1)="━",0,$C1772*VLOOKUP($B1772,'4. CÀI ĐẶT'!$A$2:$H$32,3,FALSE)))</f>
        <v/>
      </c>
      <c r="G1772" s="67">
        <f>IF($B1772="",0,IF(LEFT($B1772,1)="━",0,$C1772*VLOOKUP($B1772,'4. CÀI ĐẶT'!$A$2:$H$32,4,FALSE)))</f>
        <v/>
      </c>
      <c r="H1772" s="67">
        <f>IF($B1772="",0,IF(LEFT($B1772,1)="━",0,$C1772*VLOOKUP($B1772,'4. CÀI ĐẶT'!$A$2:$H$32,5,FALSE)))</f>
        <v/>
      </c>
      <c r="I1772">
        <f>IF($B1772="","",IF(LEFT($B1772,1)="━","",VLOOKUP($B1772,'4. CÀI ĐẶT'!$A$2:$H$32,6,FALSE)))</f>
        <v/>
      </c>
      <c r="J1772" s="13">
        <f>IF($A1772="","",EOMONTH($A1772,0))</f>
        <v/>
      </c>
      <c r="K1772" s="67">
        <f>IF($B1772="",0,IF(LEFT($B1772,1)="━",0,$C1772*VLOOKUP($B1772,'4. CÀI ĐẶT'!$A$2:$H$32,7,FALSE)))</f>
        <v/>
      </c>
    </row>
    <row r="1773">
      <c r="A1773" s="8" t="n"/>
      <c r="B1773" s="9" t="n"/>
      <c r="C1773" s="65" t="n"/>
      <c r="D1773" s="9" t="n"/>
      <c r="E1773" s="66">
        <f>IF($B1773="","",IF(LEFT($B1773,1)="━","⚠️ Chọn hạng mục cụ thể",$C1773*VLOOKUP($B1773,'4. CÀI ĐẶT'!$A$2:$H$32,2,FALSE)))</f>
        <v/>
      </c>
      <c r="F1773" s="67">
        <f>IF($B1773="",0,IF(LEFT($B1773,1)="━",0,$C1773*VLOOKUP($B1773,'4. CÀI ĐẶT'!$A$2:$H$32,3,FALSE)))</f>
        <v/>
      </c>
      <c r="G1773" s="67">
        <f>IF($B1773="",0,IF(LEFT($B1773,1)="━",0,$C1773*VLOOKUP($B1773,'4. CÀI ĐẶT'!$A$2:$H$32,4,FALSE)))</f>
        <v/>
      </c>
      <c r="H1773" s="67">
        <f>IF($B1773="",0,IF(LEFT($B1773,1)="━",0,$C1773*VLOOKUP($B1773,'4. CÀI ĐẶT'!$A$2:$H$32,5,FALSE)))</f>
        <v/>
      </c>
      <c r="I1773">
        <f>IF($B1773="","",IF(LEFT($B1773,1)="━","",VLOOKUP($B1773,'4. CÀI ĐẶT'!$A$2:$H$32,6,FALSE)))</f>
        <v/>
      </c>
      <c r="J1773" s="13">
        <f>IF($A1773="","",EOMONTH($A1773,0))</f>
        <v/>
      </c>
      <c r="K1773" s="67">
        <f>IF($B1773="",0,IF(LEFT($B1773,1)="━",0,$C1773*VLOOKUP($B1773,'4. CÀI ĐẶT'!$A$2:$H$32,7,FALSE)))</f>
        <v/>
      </c>
    </row>
    <row r="1774">
      <c r="A1774" s="8" t="n"/>
      <c r="B1774" s="9" t="n"/>
      <c r="C1774" s="65" t="n"/>
      <c r="D1774" s="9" t="n"/>
      <c r="E1774" s="66">
        <f>IF($B1774="","",IF(LEFT($B1774,1)="━","⚠️ Chọn hạng mục cụ thể",$C1774*VLOOKUP($B1774,'4. CÀI ĐẶT'!$A$2:$H$32,2,FALSE)))</f>
        <v/>
      </c>
      <c r="F1774" s="67">
        <f>IF($B1774="",0,IF(LEFT($B1774,1)="━",0,$C1774*VLOOKUP($B1774,'4. CÀI ĐẶT'!$A$2:$H$32,3,FALSE)))</f>
        <v/>
      </c>
      <c r="G1774" s="67">
        <f>IF($B1774="",0,IF(LEFT($B1774,1)="━",0,$C1774*VLOOKUP($B1774,'4. CÀI ĐẶT'!$A$2:$H$32,4,FALSE)))</f>
        <v/>
      </c>
      <c r="H1774" s="67">
        <f>IF($B1774="",0,IF(LEFT($B1774,1)="━",0,$C1774*VLOOKUP($B1774,'4. CÀI ĐẶT'!$A$2:$H$32,5,FALSE)))</f>
        <v/>
      </c>
      <c r="I1774">
        <f>IF($B1774="","",IF(LEFT($B1774,1)="━","",VLOOKUP($B1774,'4. CÀI ĐẶT'!$A$2:$H$32,6,FALSE)))</f>
        <v/>
      </c>
      <c r="J1774" s="13">
        <f>IF($A1774="","",EOMONTH($A1774,0))</f>
        <v/>
      </c>
      <c r="K1774" s="67">
        <f>IF($B1774="",0,IF(LEFT($B1774,1)="━",0,$C1774*VLOOKUP($B1774,'4. CÀI ĐẶT'!$A$2:$H$32,7,FALSE)))</f>
        <v/>
      </c>
    </row>
    <row r="1775">
      <c r="A1775" s="8" t="n"/>
      <c r="B1775" s="9" t="n"/>
      <c r="C1775" s="65" t="n"/>
      <c r="D1775" s="9" t="n"/>
      <c r="E1775" s="66">
        <f>IF($B1775="","",IF(LEFT($B1775,1)="━","⚠️ Chọn hạng mục cụ thể",$C1775*VLOOKUP($B1775,'4. CÀI ĐẶT'!$A$2:$H$32,2,FALSE)))</f>
        <v/>
      </c>
      <c r="F1775" s="67">
        <f>IF($B1775="",0,IF(LEFT($B1775,1)="━",0,$C1775*VLOOKUP($B1775,'4. CÀI ĐẶT'!$A$2:$H$32,3,FALSE)))</f>
        <v/>
      </c>
      <c r="G1775" s="67">
        <f>IF($B1775="",0,IF(LEFT($B1775,1)="━",0,$C1775*VLOOKUP($B1775,'4. CÀI ĐẶT'!$A$2:$H$32,4,FALSE)))</f>
        <v/>
      </c>
      <c r="H1775" s="67">
        <f>IF($B1775="",0,IF(LEFT($B1775,1)="━",0,$C1775*VLOOKUP($B1775,'4. CÀI ĐẶT'!$A$2:$H$32,5,FALSE)))</f>
        <v/>
      </c>
      <c r="I1775">
        <f>IF($B1775="","",IF(LEFT($B1775,1)="━","",VLOOKUP($B1775,'4. CÀI ĐẶT'!$A$2:$H$32,6,FALSE)))</f>
        <v/>
      </c>
      <c r="J1775" s="13">
        <f>IF($A1775="","",EOMONTH($A1775,0))</f>
        <v/>
      </c>
      <c r="K1775" s="67">
        <f>IF($B1775="",0,IF(LEFT($B1775,1)="━",0,$C1775*VLOOKUP($B1775,'4. CÀI ĐẶT'!$A$2:$H$32,7,FALSE)))</f>
        <v/>
      </c>
    </row>
    <row r="1776">
      <c r="A1776" s="8" t="n"/>
      <c r="B1776" s="9" t="n"/>
      <c r="C1776" s="65" t="n"/>
      <c r="D1776" s="9" t="n"/>
      <c r="E1776" s="66">
        <f>IF($B1776="","",IF(LEFT($B1776,1)="━","⚠️ Chọn hạng mục cụ thể",$C1776*VLOOKUP($B1776,'4. CÀI ĐẶT'!$A$2:$H$32,2,FALSE)))</f>
        <v/>
      </c>
      <c r="F1776" s="67">
        <f>IF($B1776="",0,IF(LEFT($B1776,1)="━",0,$C1776*VLOOKUP($B1776,'4. CÀI ĐẶT'!$A$2:$H$32,3,FALSE)))</f>
        <v/>
      </c>
      <c r="G1776" s="67">
        <f>IF($B1776="",0,IF(LEFT($B1776,1)="━",0,$C1776*VLOOKUP($B1776,'4. CÀI ĐẶT'!$A$2:$H$32,4,FALSE)))</f>
        <v/>
      </c>
      <c r="H1776" s="67">
        <f>IF($B1776="",0,IF(LEFT($B1776,1)="━",0,$C1776*VLOOKUP($B1776,'4. CÀI ĐẶT'!$A$2:$H$32,5,FALSE)))</f>
        <v/>
      </c>
      <c r="I1776">
        <f>IF($B1776="","",IF(LEFT($B1776,1)="━","",VLOOKUP($B1776,'4. CÀI ĐẶT'!$A$2:$H$32,6,FALSE)))</f>
        <v/>
      </c>
      <c r="J1776" s="13">
        <f>IF($A1776="","",EOMONTH($A1776,0))</f>
        <v/>
      </c>
      <c r="K1776" s="67">
        <f>IF($B1776="",0,IF(LEFT($B1776,1)="━",0,$C1776*VLOOKUP($B1776,'4. CÀI ĐẶT'!$A$2:$H$32,7,FALSE)))</f>
        <v/>
      </c>
    </row>
    <row r="1777">
      <c r="A1777" s="8" t="n"/>
      <c r="B1777" s="9" t="n"/>
      <c r="C1777" s="65" t="n"/>
      <c r="D1777" s="9" t="n"/>
      <c r="E1777" s="66">
        <f>IF($B1777="","",IF(LEFT($B1777,1)="━","⚠️ Chọn hạng mục cụ thể",$C1777*VLOOKUP($B1777,'4. CÀI ĐẶT'!$A$2:$H$32,2,FALSE)))</f>
        <v/>
      </c>
      <c r="F1777" s="67">
        <f>IF($B1777="",0,IF(LEFT($B1777,1)="━",0,$C1777*VLOOKUP($B1777,'4. CÀI ĐẶT'!$A$2:$H$32,3,FALSE)))</f>
        <v/>
      </c>
      <c r="G1777" s="67">
        <f>IF($B1777="",0,IF(LEFT($B1777,1)="━",0,$C1777*VLOOKUP($B1777,'4. CÀI ĐẶT'!$A$2:$H$32,4,FALSE)))</f>
        <v/>
      </c>
      <c r="H1777" s="67">
        <f>IF($B1777="",0,IF(LEFT($B1777,1)="━",0,$C1777*VLOOKUP($B1777,'4. CÀI ĐẶT'!$A$2:$H$32,5,FALSE)))</f>
        <v/>
      </c>
      <c r="I1777">
        <f>IF($B1777="","",IF(LEFT($B1777,1)="━","",VLOOKUP($B1777,'4. CÀI ĐẶT'!$A$2:$H$32,6,FALSE)))</f>
        <v/>
      </c>
      <c r="J1777" s="13">
        <f>IF($A1777="","",EOMONTH($A1777,0))</f>
        <v/>
      </c>
      <c r="K1777" s="67">
        <f>IF($B1777="",0,IF(LEFT($B1777,1)="━",0,$C1777*VLOOKUP($B1777,'4. CÀI ĐẶT'!$A$2:$H$32,7,FALSE)))</f>
        <v/>
      </c>
    </row>
    <row r="1778">
      <c r="A1778" s="8" t="n"/>
      <c r="B1778" s="9" t="n"/>
      <c r="C1778" s="65" t="n"/>
      <c r="D1778" s="9" t="n"/>
      <c r="E1778" s="66">
        <f>IF($B1778="","",IF(LEFT($B1778,1)="━","⚠️ Chọn hạng mục cụ thể",$C1778*VLOOKUP($B1778,'4. CÀI ĐẶT'!$A$2:$H$32,2,FALSE)))</f>
        <v/>
      </c>
      <c r="F1778" s="67">
        <f>IF($B1778="",0,IF(LEFT($B1778,1)="━",0,$C1778*VLOOKUP($B1778,'4. CÀI ĐẶT'!$A$2:$H$32,3,FALSE)))</f>
        <v/>
      </c>
      <c r="G1778" s="67">
        <f>IF($B1778="",0,IF(LEFT($B1778,1)="━",0,$C1778*VLOOKUP($B1778,'4. CÀI ĐẶT'!$A$2:$H$32,4,FALSE)))</f>
        <v/>
      </c>
      <c r="H1778" s="67">
        <f>IF($B1778="",0,IF(LEFT($B1778,1)="━",0,$C1778*VLOOKUP($B1778,'4. CÀI ĐẶT'!$A$2:$H$32,5,FALSE)))</f>
        <v/>
      </c>
      <c r="I1778">
        <f>IF($B1778="","",IF(LEFT($B1778,1)="━","",VLOOKUP($B1778,'4. CÀI ĐẶT'!$A$2:$H$32,6,FALSE)))</f>
        <v/>
      </c>
      <c r="J1778" s="13">
        <f>IF($A1778="","",EOMONTH($A1778,0))</f>
        <v/>
      </c>
      <c r="K1778" s="67">
        <f>IF($B1778="",0,IF(LEFT($B1778,1)="━",0,$C1778*VLOOKUP($B1778,'4. CÀI ĐẶT'!$A$2:$H$32,7,FALSE)))</f>
        <v/>
      </c>
    </row>
    <row r="1779">
      <c r="A1779" s="8" t="n"/>
      <c r="B1779" s="9" t="n"/>
      <c r="C1779" s="65" t="n"/>
      <c r="D1779" s="9" t="n"/>
      <c r="E1779" s="66">
        <f>IF($B1779="","",IF(LEFT($B1779,1)="━","⚠️ Chọn hạng mục cụ thể",$C1779*VLOOKUP($B1779,'4. CÀI ĐẶT'!$A$2:$H$32,2,FALSE)))</f>
        <v/>
      </c>
      <c r="F1779" s="67">
        <f>IF($B1779="",0,IF(LEFT($B1779,1)="━",0,$C1779*VLOOKUP($B1779,'4. CÀI ĐẶT'!$A$2:$H$32,3,FALSE)))</f>
        <v/>
      </c>
      <c r="G1779" s="67">
        <f>IF($B1779="",0,IF(LEFT($B1779,1)="━",0,$C1779*VLOOKUP($B1779,'4. CÀI ĐẶT'!$A$2:$H$32,4,FALSE)))</f>
        <v/>
      </c>
      <c r="H1779" s="67">
        <f>IF($B1779="",0,IF(LEFT($B1779,1)="━",0,$C1779*VLOOKUP($B1779,'4. CÀI ĐẶT'!$A$2:$H$32,5,FALSE)))</f>
        <v/>
      </c>
      <c r="I1779">
        <f>IF($B1779="","",IF(LEFT($B1779,1)="━","",VLOOKUP($B1779,'4. CÀI ĐẶT'!$A$2:$H$32,6,FALSE)))</f>
        <v/>
      </c>
      <c r="J1779" s="13">
        <f>IF($A1779="","",EOMONTH($A1779,0))</f>
        <v/>
      </c>
      <c r="K1779" s="67">
        <f>IF($B1779="",0,IF(LEFT($B1779,1)="━",0,$C1779*VLOOKUP($B1779,'4. CÀI ĐẶT'!$A$2:$H$32,7,FALSE)))</f>
        <v/>
      </c>
    </row>
    <row r="1780">
      <c r="A1780" s="8" t="n"/>
      <c r="B1780" s="9" t="n"/>
      <c r="C1780" s="65" t="n"/>
      <c r="D1780" s="9" t="n"/>
      <c r="E1780" s="66">
        <f>IF($B1780="","",IF(LEFT($B1780,1)="━","⚠️ Chọn hạng mục cụ thể",$C1780*VLOOKUP($B1780,'4. CÀI ĐẶT'!$A$2:$H$32,2,FALSE)))</f>
        <v/>
      </c>
      <c r="F1780" s="67">
        <f>IF($B1780="",0,IF(LEFT($B1780,1)="━",0,$C1780*VLOOKUP($B1780,'4. CÀI ĐẶT'!$A$2:$H$32,3,FALSE)))</f>
        <v/>
      </c>
      <c r="G1780" s="67">
        <f>IF($B1780="",0,IF(LEFT($B1780,1)="━",0,$C1780*VLOOKUP($B1780,'4. CÀI ĐẶT'!$A$2:$H$32,4,FALSE)))</f>
        <v/>
      </c>
      <c r="H1780" s="67">
        <f>IF($B1780="",0,IF(LEFT($B1780,1)="━",0,$C1780*VLOOKUP($B1780,'4. CÀI ĐẶT'!$A$2:$H$32,5,FALSE)))</f>
        <v/>
      </c>
      <c r="I1780">
        <f>IF($B1780="","",IF(LEFT($B1780,1)="━","",VLOOKUP($B1780,'4. CÀI ĐẶT'!$A$2:$H$32,6,FALSE)))</f>
        <v/>
      </c>
      <c r="J1780" s="13">
        <f>IF($A1780="","",EOMONTH($A1780,0))</f>
        <v/>
      </c>
      <c r="K1780" s="67">
        <f>IF($B1780="",0,IF(LEFT($B1780,1)="━",0,$C1780*VLOOKUP($B1780,'4. CÀI ĐẶT'!$A$2:$H$32,7,FALSE)))</f>
        <v/>
      </c>
    </row>
    <row r="1781">
      <c r="A1781" s="8" t="n"/>
      <c r="B1781" s="9" t="n"/>
      <c r="C1781" s="65" t="n"/>
      <c r="D1781" s="9" t="n"/>
      <c r="E1781" s="66">
        <f>IF($B1781="","",IF(LEFT($B1781,1)="━","⚠️ Chọn hạng mục cụ thể",$C1781*VLOOKUP($B1781,'4. CÀI ĐẶT'!$A$2:$H$32,2,FALSE)))</f>
        <v/>
      </c>
      <c r="F1781" s="67">
        <f>IF($B1781="",0,IF(LEFT($B1781,1)="━",0,$C1781*VLOOKUP($B1781,'4. CÀI ĐẶT'!$A$2:$H$32,3,FALSE)))</f>
        <v/>
      </c>
      <c r="G1781" s="67">
        <f>IF($B1781="",0,IF(LEFT($B1781,1)="━",0,$C1781*VLOOKUP($B1781,'4. CÀI ĐẶT'!$A$2:$H$32,4,FALSE)))</f>
        <v/>
      </c>
      <c r="H1781" s="67">
        <f>IF($B1781="",0,IF(LEFT($B1781,1)="━",0,$C1781*VLOOKUP($B1781,'4. CÀI ĐẶT'!$A$2:$H$32,5,FALSE)))</f>
        <v/>
      </c>
      <c r="I1781">
        <f>IF($B1781="","",IF(LEFT($B1781,1)="━","",VLOOKUP($B1781,'4. CÀI ĐẶT'!$A$2:$H$32,6,FALSE)))</f>
        <v/>
      </c>
      <c r="J1781" s="13">
        <f>IF($A1781="","",EOMONTH($A1781,0))</f>
        <v/>
      </c>
      <c r="K1781" s="67">
        <f>IF($B1781="",0,IF(LEFT($B1781,1)="━",0,$C1781*VLOOKUP($B1781,'4. CÀI ĐẶT'!$A$2:$H$32,7,FALSE)))</f>
        <v/>
      </c>
    </row>
    <row r="1782">
      <c r="A1782" s="8" t="n"/>
      <c r="B1782" s="9" t="n"/>
      <c r="C1782" s="65" t="n"/>
      <c r="D1782" s="9" t="n"/>
      <c r="E1782" s="66">
        <f>IF($B1782="","",IF(LEFT($B1782,1)="━","⚠️ Chọn hạng mục cụ thể",$C1782*VLOOKUP($B1782,'4. CÀI ĐẶT'!$A$2:$H$32,2,FALSE)))</f>
        <v/>
      </c>
      <c r="F1782" s="67">
        <f>IF($B1782="",0,IF(LEFT($B1782,1)="━",0,$C1782*VLOOKUP($B1782,'4. CÀI ĐẶT'!$A$2:$H$32,3,FALSE)))</f>
        <v/>
      </c>
      <c r="G1782" s="67">
        <f>IF($B1782="",0,IF(LEFT($B1782,1)="━",0,$C1782*VLOOKUP($B1782,'4. CÀI ĐẶT'!$A$2:$H$32,4,FALSE)))</f>
        <v/>
      </c>
      <c r="H1782" s="67">
        <f>IF($B1782="",0,IF(LEFT($B1782,1)="━",0,$C1782*VLOOKUP($B1782,'4. CÀI ĐẶT'!$A$2:$H$32,5,FALSE)))</f>
        <v/>
      </c>
      <c r="I1782">
        <f>IF($B1782="","",IF(LEFT($B1782,1)="━","",VLOOKUP($B1782,'4. CÀI ĐẶT'!$A$2:$H$32,6,FALSE)))</f>
        <v/>
      </c>
      <c r="J1782" s="13">
        <f>IF($A1782="","",EOMONTH($A1782,0))</f>
        <v/>
      </c>
      <c r="K1782" s="67">
        <f>IF($B1782="",0,IF(LEFT($B1782,1)="━",0,$C1782*VLOOKUP($B1782,'4. CÀI ĐẶT'!$A$2:$H$32,7,FALSE)))</f>
        <v/>
      </c>
    </row>
    <row r="1783">
      <c r="A1783" s="8" t="n"/>
      <c r="B1783" s="9" t="n"/>
      <c r="C1783" s="65" t="n"/>
      <c r="D1783" s="9" t="n"/>
      <c r="E1783" s="66">
        <f>IF($B1783="","",IF(LEFT($B1783,1)="━","⚠️ Chọn hạng mục cụ thể",$C1783*VLOOKUP($B1783,'4. CÀI ĐẶT'!$A$2:$H$32,2,FALSE)))</f>
        <v/>
      </c>
      <c r="F1783" s="67">
        <f>IF($B1783="",0,IF(LEFT($B1783,1)="━",0,$C1783*VLOOKUP($B1783,'4. CÀI ĐẶT'!$A$2:$H$32,3,FALSE)))</f>
        <v/>
      </c>
      <c r="G1783" s="67">
        <f>IF($B1783="",0,IF(LEFT($B1783,1)="━",0,$C1783*VLOOKUP($B1783,'4. CÀI ĐẶT'!$A$2:$H$32,4,FALSE)))</f>
        <v/>
      </c>
      <c r="H1783" s="67">
        <f>IF($B1783="",0,IF(LEFT($B1783,1)="━",0,$C1783*VLOOKUP($B1783,'4. CÀI ĐẶT'!$A$2:$H$32,5,FALSE)))</f>
        <v/>
      </c>
      <c r="I1783">
        <f>IF($B1783="","",IF(LEFT($B1783,1)="━","",VLOOKUP($B1783,'4. CÀI ĐẶT'!$A$2:$H$32,6,FALSE)))</f>
        <v/>
      </c>
      <c r="J1783" s="13">
        <f>IF($A1783="","",EOMONTH($A1783,0))</f>
        <v/>
      </c>
      <c r="K1783" s="67">
        <f>IF($B1783="",0,IF(LEFT($B1783,1)="━",0,$C1783*VLOOKUP($B1783,'4. CÀI ĐẶT'!$A$2:$H$32,7,FALSE)))</f>
        <v/>
      </c>
    </row>
    <row r="1784">
      <c r="A1784" s="8" t="n"/>
      <c r="B1784" s="9" t="n"/>
      <c r="C1784" s="65" t="n"/>
      <c r="D1784" s="9" t="n"/>
      <c r="E1784" s="66">
        <f>IF($B1784="","",IF(LEFT($B1784,1)="━","⚠️ Chọn hạng mục cụ thể",$C1784*VLOOKUP($B1784,'4. CÀI ĐẶT'!$A$2:$H$32,2,FALSE)))</f>
        <v/>
      </c>
      <c r="F1784" s="67">
        <f>IF($B1784="",0,IF(LEFT($B1784,1)="━",0,$C1784*VLOOKUP($B1784,'4. CÀI ĐẶT'!$A$2:$H$32,3,FALSE)))</f>
        <v/>
      </c>
      <c r="G1784" s="67">
        <f>IF($B1784="",0,IF(LEFT($B1784,1)="━",0,$C1784*VLOOKUP($B1784,'4. CÀI ĐẶT'!$A$2:$H$32,4,FALSE)))</f>
        <v/>
      </c>
      <c r="H1784" s="67">
        <f>IF($B1784="",0,IF(LEFT($B1784,1)="━",0,$C1784*VLOOKUP($B1784,'4. CÀI ĐẶT'!$A$2:$H$32,5,FALSE)))</f>
        <v/>
      </c>
      <c r="I1784">
        <f>IF($B1784="","",IF(LEFT($B1784,1)="━","",VLOOKUP($B1784,'4. CÀI ĐẶT'!$A$2:$H$32,6,FALSE)))</f>
        <v/>
      </c>
      <c r="J1784" s="13">
        <f>IF($A1784="","",EOMONTH($A1784,0))</f>
        <v/>
      </c>
      <c r="K1784" s="67">
        <f>IF($B1784="",0,IF(LEFT($B1784,1)="━",0,$C1784*VLOOKUP($B1784,'4. CÀI ĐẶT'!$A$2:$H$32,7,FALSE)))</f>
        <v/>
      </c>
    </row>
    <row r="1785">
      <c r="A1785" s="8" t="n"/>
      <c r="B1785" s="9" t="n"/>
      <c r="C1785" s="65" t="n"/>
      <c r="D1785" s="9" t="n"/>
      <c r="E1785" s="66">
        <f>IF($B1785="","",IF(LEFT($B1785,1)="━","⚠️ Chọn hạng mục cụ thể",$C1785*VLOOKUP($B1785,'4. CÀI ĐẶT'!$A$2:$H$32,2,FALSE)))</f>
        <v/>
      </c>
      <c r="F1785" s="67">
        <f>IF($B1785="",0,IF(LEFT($B1785,1)="━",0,$C1785*VLOOKUP($B1785,'4. CÀI ĐẶT'!$A$2:$H$32,3,FALSE)))</f>
        <v/>
      </c>
      <c r="G1785" s="67">
        <f>IF($B1785="",0,IF(LEFT($B1785,1)="━",0,$C1785*VLOOKUP($B1785,'4. CÀI ĐẶT'!$A$2:$H$32,4,FALSE)))</f>
        <v/>
      </c>
      <c r="H1785" s="67">
        <f>IF($B1785="",0,IF(LEFT($B1785,1)="━",0,$C1785*VLOOKUP($B1785,'4. CÀI ĐẶT'!$A$2:$H$32,5,FALSE)))</f>
        <v/>
      </c>
      <c r="I1785">
        <f>IF($B1785="","",IF(LEFT($B1785,1)="━","",VLOOKUP($B1785,'4. CÀI ĐẶT'!$A$2:$H$32,6,FALSE)))</f>
        <v/>
      </c>
      <c r="J1785" s="13">
        <f>IF($A1785="","",EOMONTH($A1785,0))</f>
        <v/>
      </c>
      <c r="K1785" s="67">
        <f>IF($B1785="",0,IF(LEFT($B1785,1)="━",0,$C1785*VLOOKUP($B1785,'4. CÀI ĐẶT'!$A$2:$H$32,7,FALSE)))</f>
        <v/>
      </c>
    </row>
    <row r="1786">
      <c r="A1786" s="8" t="n"/>
      <c r="B1786" s="9" t="n"/>
      <c r="C1786" s="65" t="n"/>
      <c r="D1786" s="9" t="n"/>
      <c r="E1786" s="66">
        <f>IF($B1786="","",IF(LEFT($B1786,1)="━","⚠️ Chọn hạng mục cụ thể",$C1786*VLOOKUP($B1786,'4. CÀI ĐẶT'!$A$2:$H$32,2,FALSE)))</f>
        <v/>
      </c>
      <c r="F1786" s="67">
        <f>IF($B1786="",0,IF(LEFT($B1786,1)="━",0,$C1786*VLOOKUP($B1786,'4. CÀI ĐẶT'!$A$2:$H$32,3,FALSE)))</f>
        <v/>
      </c>
      <c r="G1786" s="67">
        <f>IF($B1786="",0,IF(LEFT($B1786,1)="━",0,$C1786*VLOOKUP($B1786,'4. CÀI ĐẶT'!$A$2:$H$32,4,FALSE)))</f>
        <v/>
      </c>
      <c r="H1786" s="67">
        <f>IF($B1786="",0,IF(LEFT($B1786,1)="━",0,$C1786*VLOOKUP($B1786,'4. CÀI ĐẶT'!$A$2:$H$32,5,FALSE)))</f>
        <v/>
      </c>
      <c r="I1786">
        <f>IF($B1786="","",IF(LEFT($B1786,1)="━","",VLOOKUP($B1786,'4. CÀI ĐẶT'!$A$2:$H$32,6,FALSE)))</f>
        <v/>
      </c>
      <c r="J1786" s="13">
        <f>IF($A1786="","",EOMONTH($A1786,0))</f>
        <v/>
      </c>
      <c r="K1786" s="67">
        <f>IF($B1786="",0,IF(LEFT($B1786,1)="━",0,$C1786*VLOOKUP($B1786,'4. CÀI ĐẶT'!$A$2:$H$32,7,FALSE)))</f>
        <v/>
      </c>
    </row>
    <row r="1787">
      <c r="A1787" s="8" t="n"/>
      <c r="B1787" s="9" t="n"/>
      <c r="C1787" s="65" t="n"/>
      <c r="D1787" s="9" t="n"/>
      <c r="E1787" s="66">
        <f>IF($B1787="","",IF(LEFT($B1787,1)="━","⚠️ Chọn hạng mục cụ thể",$C1787*VLOOKUP($B1787,'4. CÀI ĐẶT'!$A$2:$H$32,2,FALSE)))</f>
        <v/>
      </c>
      <c r="F1787" s="67">
        <f>IF($B1787="",0,IF(LEFT($B1787,1)="━",0,$C1787*VLOOKUP($B1787,'4. CÀI ĐẶT'!$A$2:$H$32,3,FALSE)))</f>
        <v/>
      </c>
      <c r="G1787" s="67">
        <f>IF($B1787="",0,IF(LEFT($B1787,1)="━",0,$C1787*VLOOKUP($B1787,'4. CÀI ĐẶT'!$A$2:$H$32,4,FALSE)))</f>
        <v/>
      </c>
      <c r="H1787" s="67">
        <f>IF($B1787="",0,IF(LEFT($B1787,1)="━",0,$C1787*VLOOKUP($B1787,'4. CÀI ĐẶT'!$A$2:$H$32,5,FALSE)))</f>
        <v/>
      </c>
      <c r="I1787">
        <f>IF($B1787="","",IF(LEFT($B1787,1)="━","",VLOOKUP($B1787,'4. CÀI ĐẶT'!$A$2:$H$32,6,FALSE)))</f>
        <v/>
      </c>
      <c r="J1787" s="13">
        <f>IF($A1787="","",EOMONTH($A1787,0))</f>
        <v/>
      </c>
      <c r="K1787" s="67">
        <f>IF($B1787="",0,IF(LEFT($B1787,1)="━",0,$C1787*VLOOKUP($B1787,'4. CÀI ĐẶT'!$A$2:$H$32,7,FALSE)))</f>
        <v/>
      </c>
    </row>
    <row r="1788">
      <c r="A1788" s="8" t="n"/>
      <c r="B1788" s="9" t="n"/>
      <c r="C1788" s="65" t="n"/>
      <c r="D1788" s="9" t="n"/>
      <c r="E1788" s="66">
        <f>IF($B1788="","",IF(LEFT($B1788,1)="━","⚠️ Chọn hạng mục cụ thể",$C1788*VLOOKUP($B1788,'4. CÀI ĐẶT'!$A$2:$H$32,2,FALSE)))</f>
        <v/>
      </c>
      <c r="F1788" s="67">
        <f>IF($B1788="",0,IF(LEFT($B1788,1)="━",0,$C1788*VLOOKUP($B1788,'4. CÀI ĐẶT'!$A$2:$H$32,3,FALSE)))</f>
        <v/>
      </c>
      <c r="G1788" s="67">
        <f>IF($B1788="",0,IF(LEFT($B1788,1)="━",0,$C1788*VLOOKUP($B1788,'4. CÀI ĐẶT'!$A$2:$H$32,4,FALSE)))</f>
        <v/>
      </c>
      <c r="H1788" s="67">
        <f>IF($B1788="",0,IF(LEFT($B1788,1)="━",0,$C1788*VLOOKUP($B1788,'4. CÀI ĐẶT'!$A$2:$H$32,5,FALSE)))</f>
        <v/>
      </c>
      <c r="I1788">
        <f>IF($B1788="","",IF(LEFT($B1788,1)="━","",VLOOKUP($B1788,'4. CÀI ĐẶT'!$A$2:$H$32,6,FALSE)))</f>
        <v/>
      </c>
      <c r="J1788" s="13">
        <f>IF($A1788="","",EOMONTH($A1788,0))</f>
        <v/>
      </c>
      <c r="K1788" s="67">
        <f>IF($B1788="",0,IF(LEFT($B1788,1)="━",0,$C1788*VLOOKUP($B1788,'4. CÀI ĐẶT'!$A$2:$H$32,7,FALSE)))</f>
        <v/>
      </c>
    </row>
    <row r="1789">
      <c r="A1789" s="8" t="n"/>
      <c r="B1789" s="9" t="n"/>
      <c r="C1789" s="65" t="n"/>
      <c r="D1789" s="9" t="n"/>
      <c r="E1789" s="66">
        <f>IF($B1789="","",IF(LEFT($B1789,1)="━","⚠️ Chọn hạng mục cụ thể",$C1789*VLOOKUP($B1789,'4. CÀI ĐẶT'!$A$2:$H$32,2,FALSE)))</f>
        <v/>
      </c>
      <c r="F1789" s="67">
        <f>IF($B1789="",0,IF(LEFT($B1789,1)="━",0,$C1789*VLOOKUP($B1789,'4. CÀI ĐẶT'!$A$2:$H$32,3,FALSE)))</f>
        <v/>
      </c>
      <c r="G1789" s="67">
        <f>IF($B1789="",0,IF(LEFT($B1789,1)="━",0,$C1789*VLOOKUP($B1789,'4. CÀI ĐẶT'!$A$2:$H$32,4,FALSE)))</f>
        <v/>
      </c>
      <c r="H1789" s="67">
        <f>IF($B1789="",0,IF(LEFT($B1789,1)="━",0,$C1789*VLOOKUP($B1789,'4. CÀI ĐẶT'!$A$2:$H$32,5,FALSE)))</f>
        <v/>
      </c>
      <c r="I1789">
        <f>IF($B1789="","",IF(LEFT($B1789,1)="━","",VLOOKUP($B1789,'4. CÀI ĐẶT'!$A$2:$H$32,6,FALSE)))</f>
        <v/>
      </c>
      <c r="J1789" s="13">
        <f>IF($A1789="","",EOMONTH($A1789,0))</f>
        <v/>
      </c>
      <c r="K1789" s="67">
        <f>IF($B1789="",0,IF(LEFT($B1789,1)="━",0,$C1789*VLOOKUP($B1789,'4. CÀI ĐẶT'!$A$2:$H$32,7,FALSE)))</f>
        <v/>
      </c>
    </row>
    <row r="1790">
      <c r="A1790" s="8" t="n"/>
      <c r="B1790" s="9" t="n"/>
      <c r="C1790" s="65" t="n"/>
      <c r="D1790" s="9" t="n"/>
      <c r="E1790" s="66">
        <f>IF($B1790="","",IF(LEFT($B1790,1)="━","⚠️ Chọn hạng mục cụ thể",$C1790*VLOOKUP($B1790,'4. CÀI ĐẶT'!$A$2:$H$32,2,FALSE)))</f>
        <v/>
      </c>
      <c r="F1790" s="67">
        <f>IF($B1790="",0,IF(LEFT($B1790,1)="━",0,$C1790*VLOOKUP($B1790,'4. CÀI ĐẶT'!$A$2:$H$32,3,FALSE)))</f>
        <v/>
      </c>
      <c r="G1790" s="67">
        <f>IF($B1790="",0,IF(LEFT($B1790,1)="━",0,$C1790*VLOOKUP($B1790,'4. CÀI ĐẶT'!$A$2:$H$32,4,FALSE)))</f>
        <v/>
      </c>
      <c r="H1790" s="67">
        <f>IF($B1790="",0,IF(LEFT($B1790,1)="━",0,$C1790*VLOOKUP($B1790,'4. CÀI ĐẶT'!$A$2:$H$32,5,FALSE)))</f>
        <v/>
      </c>
      <c r="I1790">
        <f>IF($B1790="","",IF(LEFT($B1790,1)="━","",VLOOKUP($B1790,'4. CÀI ĐẶT'!$A$2:$H$32,6,FALSE)))</f>
        <v/>
      </c>
      <c r="J1790" s="13">
        <f>IF($A1790="","",EOMONTH($A1790,0))</f>
        <v/>
      </c>
      <c r="K1790" s="67">
        <f>IF($B1790="",0,IF(LEFT($B1790,1)="━",0,$C1790*VLOOKUP($B1790,'4. CÀI ĐẶT'!$A$2:$H$32,7,FALSE)))</f>
        <v/>
      </c>
    </row>
    <row r="1791">
      <c r="A1791" s="8" t="n"/>
      <c r="B1791" s="9" t="n"/>
      <c r="C1791" s="65" t="n"/>
      <c r="D1791" s="9" t="n"/>
      <c r="E1791" s="66">
        <f>IF($B1791="","",IF(LEFT($B1791,1)="━","⚠️ Chọn hạng mục cụ thể",$C1791*VLOOKUP($B1791,'4. CÀI ĐẶT'!$A$2:$H$32,2,FALSE)))</f>
        <v/>
      </c>
      <c r="F1791" s="67">
        <f>IF($B1791="",0,IF(LEFT($B1791,1)="━",0,$C1791*VLOOKUP($B1791,'4. CÀI ĐẶT'!$A$2:$H$32,3,FALSE)))</f>
        <v/>
      </c>
      <c r="G1791" s="67">
        <f>IF($B1791="",0,IF(LEFT($B1791,1)="━",0,$C1791*VLOOKUP($B1791,'4. CÀI ĐẶT'!$A$2:$H$32,4,FALSE)))</f>
        <v/>
      </c>
      <c r="H1791" s="67">
        <f>IF($B1791="",0,IF(LEFT($B1791,1)="━",0,$C1791*VLOOKUP($B1791,'4. CÀI ĐẶT'!$A$2:$H$32,5,FALSE)))</f>
        <v/>
      </c>
      <c r="I1791">
        <f>IF($B1791="","",IF(LEFT($B1791,1)="━","",VLOOKUP($B1791,'4. CÀI ĐẶT'!$A$2:$H$32,6,FALSE)))</f>
        <v/>
      </c>
      <c r="J1791" s="13">
        <f>IF($A1791="","",EOMONTH($A1791,0))</f>
        <v/>
      </c>
      <c r="K1791" s="67">
        <f>IF($B1791="",0,IF(LEFT($B1791,1)="━",0,$C1791*VLOOKUP($B1791,'4. CÀI ĐẶT'!$A$2:$H$32,7,FALSE)))</f>
        <v/>
      </c>
    </row>
    <row r="1792">
      <c r="A1792" s="8" t="n"/>
      <c r="B1792" s="9" t="n"/>
      <c r="C1792" s="65" t="n"/>
      <c r="D1792" s="9" t="n"/>
      <c r="E1792" s="66">
        <f>IF($B1792="","",IF(LEFT($B1792,1)="━","⚠️ Chọn hạng mục cụ thể",$C1792*VLOOKUP($B1792,'4. CÀI ĐẶT'!$A$2:$H$32,2,FALSE)))</f>
        <v/>
      </c>
      <c r="F1792" s="67">
        <f>IF($B1792="",0,IF(LEFT($B1792,1)="━",0,$C1792*VLOOKUP($B1792,'4. CÀI ĐẶT'!$A$2:$H$32,3,FALSE)))</f>
        <v/>
      </c>
      <c r="G1792" s="67">
        <f>IF($B1792="",0,IF(LEFT($B1792,1)="━",0,$C1792*VLOOKUP($B1792,'4. CÀI ĐẶT'!$A$2:$H$32,4,FALSE)))</f>
        <v/>
      </c>
      <c r="H1792" s="67">
        <f>IF($B1792="",0,IF(LEFT($B1792,1)="━",0,$C1792*VLOOKUP($B1792,'4. CÀI ĐẶT'!$A$2:$H$32,5,FALSE)))</f>
        <v/>
      </c>
      <c r="I1792">
        <f>IF($B1792="","",IF(LEFT($B1792,1)="━","",VLOOKUP($B1792,'4. CÀI ĐẶT'!$A$2:$H$32,6,FALSE)))</f>
        <v/>
      </c>
      <c r="J1792" s="13">
        <f>IF($A1792="","",EOMONTH($A1792,0))</f>
        <v/>
      </c>
      <c r="K1792" s="67">
        <f>IF($B1792="",0,IF(LEFT($B1792,1)="━",0,$C1792*VLOOKUP($B1792,'4. CÀI ĐẶT'!$A$2:$H$32,7,FALSE)))</f>
        <v/>
      </c>
    </row>
    <row r="1793">
      <c r="A1793" s="8" t="n"/>
      <c r="B1793" s="9" t="n"/>
      <c r="C1793" s="65" t="n"/>
      <c r="D1793" s="9" t="n"/>
      <c r="E1793" s="66">
        <f>IF($B1793="","",IF(LEFT($B1793,1)="━","⚠️ Chọn hạng mục cụ thể",$C1793*VLOOKUP($B1793,'4. CÀI ĐẶT'!$A$2:$H$32,2,FALSE)))</f>
        <v/>
      </c>
      <c r="F1793" s="67">
        <f>IF($B1793="",0,IF(LEFT($B1793,1)="━",0,$C1793*VLOOKUP($B1793,'4. CÀI ĐẶT'!$A$2:$H$32,3,FALSE)))</f>
        <v/>
      </c>
      <c r="G1793" s="67">
        <f>IF($B1793="",0,IF(LEFT($B1793,1)="━",0,$C1793*VLOOKUP($B1793,'4. CÀI ĐẶT'!$A$2:$H$32,4,FALSE)))</f>
        <v/>
      </c>
      <c r="H1793" s="67">
        <f>IF($B1793="",0,IF(LEFT($B1793,1)="━",0,$C1793*VLOOKUP($B1793,'4. CÀI ĐẶT'!$A$2:$H$32,5,FALSE)))</f>
        <v/>
      </c>
      <c r="I1793">
        <f>IF($B1793="","",IF(LEFT($B1793,1)="━","",VLOOKUP($B1793,'4. CÀI ĐẶT'!$A$2:$H$32,6,FALSE)))</f>
        <v/>
      </c>
      <c r="J1793" s="13">
        <f>IF($A1793="","",EOMONTH($A1793,0))</f>
        <v/>
      </c>
      <c r="K1793" s="67">
        <f>IF($B1793="",0,IF(LEFT($B1793,1)="━",0,$C1793*VLOOKUP($B1793,'4. CÀI ĐẶT'!$A$2:$H$32,7,FALSE)))</f>
        <v/>
      </c>
    </row>
    <row r="1794">
      <c r="A1794" s="8" t="n"/>
      <c r="B1794" s="9" t="n"/>
      <c r="C1794" s="65" t="n"/>
      <c r="D1794" s="9" t="n"/>
      <c r="E1794" s="66">
        <f>IF($B1794="","",IF(LEFT($B1794,1)="━","⚠️ Chọn hạng mục cụ thể",$C1794*VLOOKUP($B1794,'4. CÀI ĐẶT'!$A$2:$H$32,2,FALSE)))</f>
        <v/>
      </c>
      <c r="F1794" s="67">
        <f>IF($B1794="",0,IF(LEFT($B1794,1)="━",0,$C1794*VLOOKUP($B1794,'4. CÀI ĐẶT'!$A$2:$H$32,3,FALSE)))</f>
        <v/>
      </c>
      <c r="G1794" s="67">
        <f>IF($B1794="",0,IF(LEFT($B1794,1)="━",0,$C1794*VLOOKUP($B1794,'4. CÀI ĐẶT'!$A$2:$H$32,4,FALSE)))</f>
        <v/>
      </c>
      <c r="H1794" s="67">
        <f>IF($B1794="",0,IF(LEFT($B1794,1)="━",0,$C1794*VLOOKUP($B1794,'4. CÀI ĐẶT'!$A$2:$H$32,5,FALSE)))</f>
        <v/>
      </c>
      <c r="I1794">
        <f>IF($B1794="","",IF(LEFT($B1794,1)="━","",VLOOKUP($B1794,'4. CÀI ĐẶT'!$A$2:$H$32,6,FALSE)))</f>
        <v/>
      </c>
      <c r="J1794" s="13">
        <f>IF($A1794="","",EOMONTH($A1794,0))</f>
        <v/>
      </c>
      <c r="K1794" s="67">
        <f>IF($B1794="",0,IF(LEFT($B1794,1)="━",0,$C1794*VLOOKUP($B1794,'4. CÀI ĐẶT'!$A$2:$H$32,7,FALSE)))</f>
        <v/>
      </c>
    </row>
    <row r="1795">
      <c r="A1795" s="8" t="n"/>
      <c r="B1795" s="9" t="n"/>
      <c r="C1795" s="65" t="n"/>
      <c r="D1795" s="9" t="n"/>
      <c r="E1795" s="66">
        <f>IF($B1795="","",IF(LEFT($B1795,1)="━","⚠️ Chọn hạng mục cụ thể",$C1795*VLOOKUP($B1795,'4. CÀI ĐẶT'!$A$2:$H$32,2,FALSE)))</f>
        <v/>
      </c>
      <c r="F1795" s="67">
        <f>IF($B1795="",0,IF(LEFT($B1795,1)="━",0,$C1795*VLOOKUP($B1795,'4. CÀI ĐẶT'!$A$2:$H$32,3,FALSE)))</f>
        <v/>
      </c>
      <c r="G1795" s="67">
        <f>IF($B1795="",0,IF(LEFT($B1795,1)="━",0,$C1795*VLOOKUP($B1795,'4. CÀI ĐẶT'!$A$2:$H$32,4,FALSE)))</f>
        <v/>
      </c>
      <c r="H1795" s="67">
        <f>IF($B1795="",0,IF(LEFT($B1795,1)="━",0,$C1795*VLOOKUP($B1795,'4. CÀI ĐẶT'!$A$2:$H$32,5,FALSE)))</f>
        <v/>
      </c>
      <c r="I1795">
        <f>IF($B1795="","",IF(LEFT($B1795,1)="━","",VLOOKUP($B1795,'4. CÀI ĐẶT'!$A$2:$H$32,6,FALSE)))</f>
        <v/>
      </c>
      <c r="J1795" s="13">
        <f>IF($A1795="","",EOMONTH($A1795,0))</f>
        <v/>
      </c>
      <c r="K1795" s="67">
        <f>IF($B1795="",0,IF(LEFT($B1795,1)="━",0,$C1795*VLOOKUP($B1795,'4. CÀI ĐẶT'!$A$2:$H$32,7,FALSE)))</f>
        <v/>
      </c>
    </row>
    <row r="1796">
      <c r="A1796" s="8" t="n"/>
      <c r="B1796" s="9" t="n"/>
      <c r="C1796" s="65" t="n"/>
      <c r="D1796" s="9" t="n"/>
      <c r="E1796" s="66">
        <f>IF($B1796="","",IF(LEFT($B1796,1)="━","⚠️ Chọn hạng mục cụ thể",$C1796*VLOOKUP($B1796,'4. CÀI ĐẶT'!$A$2:$H$32,2,FALSE)))</f>
        <v/>
      </c>
      <c r="F1796" s="67">
        <f>IF($B1796="",0,IF(LEFT($B1796,1)="━",0,$C1796*VLOOKUP($B1796,'4. CÀI ĐẶT'!$A$2:$H$32,3,FALSE)))</f>
        <v/>
      </c>
      <c r="G1796" s="67">
        <f>IF($B1796="",0,IF(LEFT($B1796,1)="━",0,$C1796*VLOOKUP($B1796,'4. CÀI ĐẶT'!$A$2:$H$32,4,FALSE)))</f>
        <v/>
      </c>
      <c r="H1796" s="67">
        <f>IF($B1796="",0,IF(LEFT($B1796,1)="━",0,$C1796*VLOOKUP($B1796,'4. CÀI ĐẶT'!$A$2:$H$32,5,FALSE)))</f>
        <v/>
      </c>
      <c r="I1796">
        <f>IF($B1796="","",IF(LEFT($B1796,1)="━","",VLOOKUP($B1796,'4. CÀI ĐẶT'!$A$2:$H$32,6,FALSE)))</f>
        <v/>
      </c>
      <c r="J1796" s="13">
        <f>IF($A1796="","",EOMONTH($A1796,0))</f>
        <v/>
      </c>
      <c r="K1796" s="67">
        <f>IF($B1796="",0,IF(LEFT($B1796,1)="━",0,$C1796*VLOOKUP($B1796,'4. CÀI ĐẶT'!$A$2:$H$32,7,FALSE)))</f>
        <v/>
      </c>
    </row>
    <row r="1797">
      <c r="A1797" s="8" t="n"/>
      <c r="B1797" s="9" t="n"/>
      <c r="C1797" s="65" t="n"/>
      <c r="D1797" s="9" t="n"/>
      <c r="E1797" s="66">
        <f>IF($B1797="","",IF(LEFT($B1797,1)="━","⚠️ Chọn hạng mục cụ thể",$C1797*VLOOKUP($B1797,'4. CÀI ĐẶT'!$A$2:$H$32,2,FALSE)))</f>
        <v/>
      </c>
      <c r="F1797" s="67">
        <f>IF($B1797="",0,IF(LEFT($B1797,1)="━",0,$C1797*VLOOKUP($B1797,'4. CÀI ĐẶT'!$A$2:$H$32,3,FALSE)))</f>
        <v/>
      </c>
      <c r="G1797" s="67">
        <f>IF($B1797="",0,IF(LEFT($B1797,1)="━",0,$C1797*VLOOKUP($B1797,'4. CÀI ĐẶT'!$A$2:$H$32,4,FALSE)))</f>
        <v/>
      </c>
      <c r="H1797" s="67">
        <f>IF($B1797="",0,IF(LEFT($B1797,1)="━",0,$C1797*VLOOKUP($B1797,'4. CÀI ĐẶT'!$A$2:$H$32,5,FALSE)))</f>
        <v/>
      </c>
      <c r="I1797">
        <f>IF($B1797="","",IF(LEFT($B1797,1)="━","",VLOOKUP($B1797,'4. CÀI ĐẶT'!$A$2:$H$32,6,FALSE)))</f>
        <v/>
      </c>
      <c r="J1797" s="13">
        <f>IF($A1797="","",EOMONTH($A1797,0))</f>
        <v/>
      </c>
      <c r="K1797" s="67">
        <f>IF($B1797="",0,IF(LEFT($B1797,1)="━",0,$C1797*VLOOKUP($B1797,'4. CÀI ĐẶT'!$A$2:$H$32,7,FALSE)))</f>
        <v/>
      </c>
    </row>
    <row r="1798">
      <c r="A1798" s="8" t="n"/>
      <c r="B1798" s="9" t="n"/>
      <c r="C1798" s="65" t="n"/>
      <c r="D1798" s="9" t="n"/>
      <c r="E1798" s="66">
        <f>IF($B1798="","",IF(LEFT($B1798,1)="━","⚠️ Chọn hạng mục cụ thể",$C1798*VLOOKUP($B1798,'4. CÀI ĐẶT'!$A$2:$H$32,2,FALSE)))</f>
        <v/>
      </c>
      <c r="F1798" s="67">
        <f>IF($B1798="",0,IF(LEFT($B1798,1)="━",0,$C1798*VLOOKUP($B1798,'4. CÀI ĐẶT'!$A$2:$H$32,3,FALSE)))</f>
        <v/>
      </c>
      <c r="G1798" s="67">
        <f>IF($B1798="",0,IF(LEFT($B1798,1)="━",0,$C1798*VLOOKUP($B1798,'4. CÀI ĐẶT'!$A$2:$H$32,4,FALSE)))</f>
        <v/>
      </c>
      <c r="H1798" s="67">
        <f>IF($B1798="",0,IF(LEFT($B1798,1)="━",0,$C1798*VLOOKUP($B1798,'4. CÀI ĐẶT'!$A$2:$H$32,5,FALSE)))</f>
        <v/>
      </c>
      <c r="I1798">
        <f>IF($B1798="","",IF(LEFT($B1798,1)="━","",VLOOKUP($B1798,'4. CÀI ĐẶT'!$A$2:$H$32,6,FALSE)))</f>
        <v/>
      </c>
      <c r="J1798" s="13">
        <f>IF($A1798="","",EOMONTH($A1798,0))</f>
        <v/>
      </c>
      <c r="K1798" s="67">
        <f>IF($B1798="",0,IF(LEFT($B1798,1)="━",0,$C1798*VLOOKUP($B1798,'4. CÀI ĐẶT'!$A$2:$H$32,7,FALSE)))</f>
        <v/>
      </c>
    </row>
    <row r="1799">
      <c r="A1799" s="8" t="n"/>
      <c r="B1799" s="9" t="n"/>
      <c r="C1799" s="65" t="n"/>
      <c r="D1799" s="9" t="n"/>
      <c r="E1799" s="66">
        <f>IF($B1799="","",IF(LEFT($B1799,1)="━","⚠️ Chọn hạng mục cụ thể",$C1799*VLOOKUP($B1799,'4. CÀI ĐẶT'!$A$2:$H$32,2,FALSE)))</f>
        <v/>
      </c>
      <c r="F1799" s="67">
        <f>IF($B1799="",0,IF(LEFT($B1799,1)="━",0,$C1799*VLOOKUP($B1799,'4. CÀI ĐẶT'!$A$2:$H$32,3,FALSE)))</f>
        <v/>
      </c>
      <c r="G1799" s="67">
        <f>IF($B1799="",0,IF(LEFT($B1799,1)="━",0,$C1799*VLOOKUP($B1799,'4. CÀI ĐẶT'!$A$2:$H$32,4,FALSE)))</f>
        <v/>
      </c>
      <c r="H1799" s="67">
        <f>IF($B1799="",0,IF(LEFT($B1799,1)="━",0,$C1799*VLOOKUP($B1799,'4. CÀI ĐẶT'!$A$2:$H$32,5,FALSE)))</f>
        <v/>
      </c>
      <c r="I1799">
        <f>IF($B1799="","",IF(LEFT($B1799,1)="━","",VLOOKUP($B1799,'4. CÀI ĐẶT'!$A$2:$H$32,6,FALSE)))</f>
        <v/>
      </c>
      <c r="J1799" s="13">
        <f>IF($A1799="","",EOMONTH($A1799,0))</f>
        <v/>
      </c>
      <c r="K1799" s="67">
        <f>IF($B1799="",0,IF(LEFT($B1799,1)="━",0,$C1799*VLOOKUP($B1799,'4. CÀI ĐẶT'!$A$2:$H$32,7,FALSE)))</f>
        <v/>
      </c>
    </row>
    <row r="1800">
      <c r="A1800" s="8" t="n"/>
      <c r="B1800" s="9" t="n"/>
      <c r="C1800" s="65" t="n"/>
      <c r="D1800" s="9" t="n"/>
      <c r="E1800" s="66">
        <f>IF($B1800="","",IF(LEFT($B1800,1)="━","⚠️ Chọn hạng mục cụ thể",$C1800*VLOOKUP($B1800,'4. CÀI ĐẶT'!$A$2:$H$32,2,FALSE)))</f>
        <v/>
      </c>
      <c r="F1800" s="67">
        <f>IF($B1800="",0,IF(LEFT($B1800,1)="━",0,$C1800*VLOOKUP($B1800,'4. CÀI ĐẶT'!$A$2:$H$32,3,FALSE)))</f>
        <v/>
      </c>
      <c r="G1800" s="67">
        <f>IF($B1800="",0,IF(LEFT($B1800,1)="━",0,$C1800*VLOOKUP($B1800,'4. CÀI ĐẶT'!$A$2:$H$32,4,FALSE)))</f>
        <v/>
      </c>
      <c r="H1800" s="67">
        <f>IF($B1800="",0,IF(LEFT($B1800,1)="━",0,$C1800*VLOOKUP($B1800,'4. CÀI ĐẶT'!$A$2:$H$32,5,FALSE)))</f>
        <v/>
      </c>
      <c r="I1800">
        <f>IF($B1800="","",IF(LEFT($B1800,1)="━","",VLOOKUP($B1800,'4. CÀI ĐẶT'!$A$2:$H$32,6,FALSE)))</f>
        <v/>
      </c>
      <c r="J1800" s="13">
        <f>IF($A1800="","",EOMONTH($A1800,0))</f>
        <v/>
      </c>
      <c r="K1800" s="67">
        <f>IF($B1800="",0,IF(LEFT($B1800,1)="━",0,$C1800*VLOOKUP($B1800,'4. CÀI ĐẶT'!$A$2:$H$32,7,FALSE)))</f>
        <v/>
      </c>
    </row>
    <row r="1801">
      <c r="A1801" s="8" t="n"/>
      <c r="B1801" s="9" t="n"/>
      <c r="C1801" s="65" t="n"/>
      <c r="D1801" s="9" t="n"/>
      <c r="E1801" s="66">
        <f>IF($B1801="","",IF(LEFT($B1801,1)="━","⚠️ Chọn hạng mục cụ thể",$C1801*VLOOKUP($B1801,'4. CÀI ĐẶT'!$A$2:$H$32,2,FALSE)))</f>
        <v/>
      </c>
      <c r="F1801" s="67">
        <f>IF($B1801="",0,IF(LEFT($B1801,1)="━",0,$C1801*VLOOKUP($B1801,'4. CÀI ĐẶT'!$A$2:$H$32,3,FALSE)))</f>
        <v/>
      </c>
      <c r="G1801" s="67">
        <f>IF($B1801="",0,IF(LEFT($B1801,1)="━",0,$C1801*VLOOKUP($B1801,'4. CÀI ĐẶT'!$A$2:$H$32,4,FALSE)))</f>
        <v/>
      </c>
      <c r="H1801" s="67">
        <f>IF($B1801="",0,IF(LEFT($B1801,1)="━",0,$C1801*VLOOKUP($B1801,'4. CÀI ĐẶT'!$A$2:$H$32,5,FALSE)))</f>
        <v/>
      </c>
      <c r="I1801">
        <f>IF($B1801="","",IF(LEFT($B1801,1)="━","",VLOOKUP($B1801,'4. CÀI ĐẶT'!$A$2:$H$32,6,FALSE)))</f>
        <v/>
      </c>
      <c r="J1801" s="13">
        <f>IF($A1801="","",EOMONTH($A1801,0))</f>
        <v/>
      </c>
      <c r="K1801" s="67">
        <f>IF($B1801="",0,IF(LEFT($B1801,1)="━",0,$C1801*VLOOKUP($B1801,'4. CÀI ĐẶT'!$A$2:$H$32,7,FALSE)))</f>
        <v/>
      </c>
    </row>
    <row r="1802">
      <c r="A1802" s="8" t="n"/>
      <c r="B1802" s="9" t="n"/>
      <c r="C1802" s="65" t="n"/>
      <c r="D1802" s="9" t="n"/>
      <c r="E1802" s="66">
        <f>IF($B1802="","",IF(LEFT($B1802,1)="━","⚠️ Chọn hạng mục cụ thể",$C1802*VLOOKUP($B1802,'4. CÀI ĐẶT'!$A$2:$H$32,2,FALSE)))</f>
        <v/>
      </c>
      <c r="F1802" s="67">
        <f>IF($B1802="",0,IF(LEFT($B1802,1)="━",0,$C1802*VLOOKUP($B1802,'4. CÀI ĐẶT'!$A$2:$H$32,3,FALSE)))</f>
        <v/>
      </c>
      <c r="G1802" s="67">
        <f>IF($B1802="",0,IF(LEFT($B1802,1)="━",0,$C1802*VLOOKUP($B1802,'4. CÀI ĐẶT'!$A$2:$H$32,4,FALSE)))</f>
        <v/>
      </c>
      <c r="H1802" s="67">
        <f>IF($B1802="",0,IF(LEFT($B1802,1)="━",0,$C1802*VLOOKUP($B1802,'4. CÀI ĐẶT'!$A$2:$H$32,5,FALSE)))</f>
        <v/>
      </c>
      <c r="I1802">
        <f>IF($B1802="","",IF(LEFT($B1802,1)="━","",VLOOKUP($B1802,'4. CÀI ĐẶT'!$A$2:$H$32,6,FALSE)))</f>
        <v/>
      </c>
      <c r="J1802" s="13">
        <f>IF($A1802="","",EOMONTH($A1802,0))</f>
        <v/>
      </c>
      <c r="K1802" s="67">
        <f>IF($B1802="",0,IF(LEFT($B1802,1)="━",0,$C1802*VLOOKUP($B1802,'4. CÀI ĐẶT'!$A$2:$H$32,7,FALSE)))</f>
        <v/>
      </c>
    </row>
    <row r="1803">
      <c r="A1803" s="8" t="n"/>
      <c r="B1803" s="9" t="n"/>
      <c r="C1803" s="65" t="n"/>
      <c r="D1803" s="9" t="n"/>
      <c r="E1803" s="66">
        <f>IF($B1803="","",IF(LEFT($B1803,1)="━","⚠️ Chọn hạng mục cụ thể",$C1803*VLOOKUP($B1803,'4. CÀI ĐẶT'!$A$2:$H$32,2,FALSE)))</f>
        <v/>
      </c>
      <c r="F1803" s="67">
        <f>IF($B1803="",0,IF(LEFT($B1803,1)="━",0,$C1803*VLOOKUP($B1803,'4. CÀI ĐẶT'!$A$2:$H$32,3,FALSE)))</f>
        <v/>
      </c>
      <c r="G1803" s="67">
        <f>IF($B1803="",0,IF(LEFT($B1803,1)="━",0,$C1803*VLOOKUP($B1803,'4. CÀI ĐẶT'!$A$2:$H$32,4,FALSE)))</f>
        <v/>
      </c>
      <c r="H1803" s="67">
        <f>IF($B1803="",0,IF(LEFT($B1803,1)="━",0,$C1803*VLOOKUP($B1803,'4. CÀI ĐẶT'!$A$2:$H$32,5,FALSE)))</f>
        <v/>
      </c>
      <c r="I1803">
        <f>IF($B1803="","",IF(LEFT($B1803,1)="━","",VLOOKUP($B1803,'4. CÀI ĐẶT'!$A$2:$H$32,6,FALSE)))</f>
        <v/>
      </c>
      <c r="J1803" s="13">
        <f>IF($A1803="","",EOMONTH($A1803,0))</f>
        <v/>
      </c>
      <c r="K1803" s="67">
        <f>IF($B1803="",0,IF(LEFT($B1803,1)="━",0,$C1803*VLOOKUP($B1803,'4. CÀI ĐẶT'!$A$2:$H$32,7,FALSE)))</f>
        <v/>
      </c>
    </row>
    <row r="1804">
      <c r="A1804" s="8" t="n"/>
      <c r="B1804" s="9" t="n"/>
      <c r="C1804" s="65" t="n"/>
      <c r="D1804" s="9" t="n"/>
      <c r="E1804" s="66">
        <f>IF($B1804="","",IF(LEFT($B1804,1)="━","⚠️ Chọn hạng mục cụ thể",$C1804*VLOOKUP($B1804,'4. CÀI ĐẶT'!$A$2:$H$32,2,FALSE)))</f>
        <v/>
      </c>
      <c r="F1804" s="67">
        <f>IF($B1804="",0,IF(LEFT($B1804,1)="━",0,$C1804*VLOOKUP($B1804,'4. CÀI ĐẶT'!$A$2:$H$32,3,FALSE)))</f>
        <v/>
      </c>
      <c r="G1804" s="67">
        <f>IF($B1804="",0,IF(LEFT($B1804,1)="━",0,$C1804*VLOOKUP($B1804,'4. CÀI ĐẶT'!$A$2:$H$32,4,FALSE)))</f>
        <v/>
      </c>
      <c r="H1804" s="67">
        <f>IF($B1804="",0,IF(LEFT($B1804,1)="━",0,$C1804*VLOOKUP($B1804,'4. CÀI ĐẶT'!$A$2:$H$32,5,FALSE)))</f>
        <v/>
      </c>
      <c r="I1804">
        <f>IF($B1804="","",IF(LEFT($B1804,1)="━","",VLOOKUP($B1804,'4. CÀI ĐẶT'!$A$2:$H$32,6,FALSE)))</f>
        <v/>
      </c>
      <c r="J1804" s="13">
        <f>IF($A1804="","",EOMONTH($A1804,0))</f>
        <v/>
      </c>
      <c r="K1804" s="67">
        <f>IF($B1804="",0,IF(LEFT($B1804,1)="━",0,$C1804*VLOOKUP($B1804,'4. CÀI ĐẶT'!$A$2:$H$32,7,FALSE)))</f>
        <v/>
      </c>
    </row>
    <row r="1805">
      <c r="A1805" s="8" t="n"/>
      <c r="B1805" s="9" t="n"/>
      <c r="C1805" s="65" t="n"/>
      <c r="D1805" s="9" t="n"/>
      <c r="E1805" s="66">
        <f>IF($B1805="","",IF(LEFT($B1805,1)="━","⚠️ Chọn hạng mục cụ thể",$C1805*VLOOKUP($B1805,'4. CÀI ĐẶT'!$A$2:$H$32,2,FALSE)))</f>
        <v/>
      </c>
      <c r="F1805" s="67">
        <f>IF($B1805="",0,IF(LEFT($B1805,1)="━",0,$C1805*VLOOKUP($B1805,'4. CÀI ĐẶT'!$A$2:$H$32,3,FALSE)))</f>
        <v/>
      </c>
      <c r="G1805" s="67">
        <f>IF($B1805="",0,IF(LEFT($B1805,1)="━",0,$C1805*VLOOKUP($B1805,'4. CÀI ĐẶT'!$A$2:$H$32,4,FALSE)))</f>
        <v/>
      </c>
      <c r="H1805" s="67">
        <f>IF($B1805="",0,IF(LEFT($B1805,1)="━",0,$C1805*VLOOKUP($B1805,'4. CÀI ĐẶT'!$A$2:$H$32,5,FALSE)))</f>
        <v/>
      </c>
      <c r="I1805">
        <f>IF($B1805="","",IF(LEFT($B1805,1)="━","",VLOOKUP($B1805,'4. CÀI ĐẶT'!$A$2:$H$32,6,FALSE)))</f>
        <v/>
      </c>
      <c r="J1805" s="13">
        <f>IF($A1805="","",EOMONTH($A1805,0))</f>
        <v/>
      </c>
      <c r="K1805" s="67">
        <f>IF($B1805="",0,IF(LEFT($B1805,1)="━",0,$C1805*VLOOKUP($B1805,'4. CÀI ĐẶT'!$A$2:$H$32,7,FALSE)))</f>
        <v/>
      </c>
    </row>
    <row r="1806">
      <c r="A1806" s="8" t="n"/>
      <c r="B1806" s="9" t="n"/>
      <c r="C1806" s="65" t="n"/>
      <c r="D1806" s="9" t="n"/>
      <c r="E1806" s="66">
        <f>IF($B1806="","",IF(LEFT($B1806,1)="━","⚠️ Chọn hạng mục cụ thể",$C1806*VLOOKUP($B1806,'4. CÀI ĐẶT'!$A$2:$H$32,2,FALSE)))</f>
        <v/>
      </c>
      <c r="F1806" s="67">
        <f>IF($B1806="",0,IF(LEFT($B1806,1)="━",0,$C1806*VLOOKUP($B1806,'4. CÀI ĐẶT'!$A$2:$H$32,3,FALSE)))</f>
        <v/>
      </c>
      <c r="G1806" s="67">
        <f>IF($B1806="",0,IF(LEFT($B1806,1)="━",0,$C1806*VLOOKUP($B1806,'4. CÀI ĐẶT'!$A$2:$H$32,4,FALSE)))</f>
        <v/>
      </c>
      <c r="H1806" s="67">
        <f>IF($B1806="",0,IF(LEFT($B1806,1)="━",0,$C1806*VLOOKUP($B1806,'4. CÀI ĐẶT'!$A$2:$H$32,5,FALSE)))</f>
        <v/>
      </c>
      <c r="I1806">
        <f>IF($B1806="","",IF(LEFT($B1806,1)="━","",VLOOKUP($B1806,'4. CÀI ĐẶT'!$A$2:$H$32,6,FALSE)))</f>
        <v/>
      </c>
      <c r="J1806" s="13">
        <f>IF($A1806="","",EOMONTH($A1806,0))</f>
        <v/>
      </c>
      <c r="K1806" s="67">
        <f>IF($B1806="",0,IF(LEFT($B1806,1)="━",0,$C1806*VLOOKUP($B1806,'4. CÀI ĐẶT'!$A$2:$H$32,7,FALSE)))</f>
        <v/>
      </c>
    </row>
    <row r="1807">
      <c r="A1807" s="8" t="n"/>
      <c r="B1807" s="9" t="n"/>
      <c r="C1807" s="65" t="n"/>
      <c r="D1807" s="9" t="n"/>
      <c r="E1807" s="66">
        <f>IF($B1807="","",IF(LEFT($B1807,1)="━","⚠️ Chọn hạng mục cụ thể",$C1807*VLOOKUP($B1807,'4. CÀI ĐẶT'!$A$2:$H$32,2,FALSE)))</f>
        <v/>
      </c>
      <c r="F1807" s="67">
        <f>IF($B1807="",0,IF(LEFT($B1807,1)="━",0,$C1807*VLOOKUP($B1807,'4. CÀI ĐẶT'!$A$2:$H$32,3,FALSE)))</f>
        <v/>
      </c>
      <c r="G1807" s="67">
        <f>IF($B1807="",0,IF(LEFT($B1807,1)="━",0,$C1807*VLOOKUP($B1807,'4. CÀI ĐẶT'!$A$2:$H$32,4,FALSE)))</f>
        <v/>
      </c>
      <c r="H1807" s="67">
        <f>IF($B1807="",0,IF(LEFT($B1807,1)="━",0,$C1807*VLOOKUP($B1807,'4. CÀI ĐẶT'!$A$2:$H$32,5,FALSE)))</f>
        <v/>
      </c>
      <c r="I1807">
        <f>IF($B1807="","",IF(LEFT($B1807,1)="━","",VLOOKUP($B1807,'4. CÀI ĐẶT'!$A$2:$H$32,6,FALSE)))</f>
        <v/>
      </c>
      <c r="J1807" s="13">
        <f>IF($A1807="","",EOMONTH($A1807,0))</f>
        <v/>
      </c>
      <c r="K1807" s="67">
        <f>IF($B1807="",0,IF(LEFT($B1807,1)="━",0,$C1807*VLOOKUP($B1807,'4. CÀI ĐẶT'!$A$2:$H$32,7,FALSE)))</f>
        <v/>
      </c>
    </row>
    <row r="1808">
      <c r="A1808" s="8" t="n"/>
      <c r="B1808" s="9" t="n"/>
      <c r="C1808" s="65" t="n"/>
      <c r="D1808" s="9" t="n"/>
      <c r="E1808" s="66">
        <f>IF($B1808="","",IF(LEFT($B1808,1)="━","⚠️ Chọn hạng mục cụ thể",$C1808*VLOOKUP($B1808,'4. CÀI ĐẶT'!$A$2:$H$32,2,FALSE)))</f>
        <v/>
      </c>
      <c r="F1808" s="67">
        <f>IF($B1808="",0,IF(LEFT($B1808,1)="━",0,$C1808*VLOOKUP($B1808,'4. CÀI ĐẶT'!$A$2:$H$32,3,FALSE)))</f>
        <v/>
      </c>
      <c r="G1808" s="67">
        <f>IF($B1808="",0,IF(LEFT($B1808,1)="━",0,$C1808*VLOOKUP($B1808,'4. CÀI ĐẶT'!$A$2:$H$32,4,FALSE)))</f>
        <v/>
      </c>
      <c r="H1808" s="67">
        <f>IF($B1808="",0,IF(LEFT($B1808,1)="━",0,$C1808*VLOOKUP($B1808,'4. CÀI ĐẶT'!$A$2:$H$32,5,FALSE)))</f>
        <v/>
      </c>
      <c r="I1808">
        <f>IF($B1808="","",IF(LEFT($B1808,1)="━","",VLOOKUP($B1808,'4. CÀI ĐẶT'!$A$2:$H$32,6,FALSE)))</f>
        <v/>
      </c>
      <c r="J1808" s="13">
        <f>IF($A1808="","",EOMONTH($A1808,0))</f>
        <v/>
      </c>
      <c r="K1808" s="67">
        <f>IF($B1808="",0,IF(LEFT($B1808,1)="━",0,$C1808*VLOOKUP($B1808,'4. CÀI ĐẶT'!$A$2:$H$32,7,FALSE)))</f>
        <v/>
      </c>
    </row>
    <row r="1809">
      <c r="A1809" s="8" t="n"/>
      <c r="B1809" s="9" t="n"/>
      <c r="C1809" s="65" t="n"/>
      <c r="D1809" s="9" t="n"/>
      <c r="E1809" s="66">
        <f>IF($B1809="","",IF(LEFT($B1809,1)="━","⚠️ Chọn hạng mục cụ thể",$C1809*VLOOKUP($B1809,'4. CÀI ĐẶT'!$A$2:$H$32,2,FALSE)))</f>
        <v/>
      </c>
      <c r="F1809" s="67">
        <f>IF($B1809="",0,IF(LEFT($B1809,1)="━",0,$C1809*VLOOKUP($B1809,'4. CÀI ĐẶT'!$A$2:$H$32,3,FALSE)))</f>
        <v/>
      </c>
      <c r="G1809" s="67">
        <f>IF($B1809="",0,IF(LEFT($B1809,1)="━",0,$C1809*VLOOKUP($B1809,'4. CÀI ĐẶT'!$A$2:$H$32,4,FALSE)))</f>
        <v/>
      </c>
      <c r="H1809" s="67">
        <f>IF($B1809="",0,IF(LEFT($B1809,1)="━",0,$C1809*VLOOKUP($B1809,'4. CÀI ĐẶT'!$A$2:$H$32,5,FALSE)))</f>
        <v/>
      </c>
      <c r="I1809">
        <f>IF($B1809="","",IF(LEFT($B1809,1)="━","",VLOOKUP($B1809,'4. CÀI ĐẶT'!$A$2:$H$32,6,FALSE)))</f>
        <v/>
      </c>
      <c r="J1809" s="13">
        <f>IF($A1809="","",EOMONTH($A1809,0))</f>
        <v/>
      </c>
      <c r="K1809" s="67">
        <f>IF($B1809="",0,IF(LEFT($B1809,1)="━",0,$C1809*VLOOKUP($B1809,'4. CÀI ĐẶT'!$A$2:$H$32,7,FALSE)))</f>
        <v/>
      </c>
    </row>
    <row r="1810">
      <c r="A1810" s="8" t="n"/>
      <c r="B1810" s="9" t="n"/>
      <c r="C1810" s="65" t="n"/>
      <c r="D1810" s="9" t="n"/>
      <c r="E1810" s="66">
        <f>IF($B1810="","",IF(LEFT($B1810,1)="━","⚠️ Chọn hạng mục cụ thể",$C1810*VLOOKUP($B1810,'4. CÀI ĐẶT'!$A$2:$H$32,2,FALSE)))</f>
        <v/>
      </c>
      <c r="F1810" s="67">
        <f>IF($B1810="",0,IF(LEFT($B1810,1)="━",0,$C1810*VLOOKUP($B1810,'4. CÀI ĐẶT'!$A$2:$H$32,3,FALSE)))</f>
        <v/>
      </c>
      <c r="G1810" s="67">
        <f>IF($B1810="",0,IF(LEFT($B1810,1)="━",0,$C1810*VLOOKUP($B1810,'4. CÀI ĐẶT'!$A$2:$H$32,4,FALSE)))</f>
        <v/>
      </c>
      <c r="H1810" s="67">
        <f>IF($B1810="",0,IF(LEFT($B1810,1)="━",0,$C1810*VLOOKUP($B1810,'4. CÀI ĐẶT'!$A$2:$H$32,5,FALSE)))</f>
        <v/>
      </c>
      <c r="I1810">
        <f>IF($B1810="","",IF(LEFT($B1810,1)="━","",VLOOKUP($B1810,'4. CÀI ĐẶT'!$A$2:$H$32,6,FALSE)))</f>
        <v/>
      </c>
      <c r="J1810" s="13">
        <f>IF($A1810="","",EOMONTH($A1810,0))</f>
        <v/>
      </c>
      <c r="K1810" s="67">
        <f>IF($B1810="",0,IF(LEFT($B1810,1)="━",0,$C1810*VLOOKUP($B1810,'4. CÀI ĐẶT'!$A$2:$H$32,7,FALSE)))</f>
        <v/>
      </c>
    </row>
    <row r="1811">
      <c r="A1811" s="8" t="n"/>
      <c r="B1811" s="9" t="n"/>
      <c r="C1811" s="65" t="n"/>
      <c r="D1811" s="9" t="n"/>
      <c r="E1811" s="66">
        <f>IF($B1811="","",IF(LEFT($B1811,1)="━","⚠️ Chọn hạng mục cụ thể",$C1811*VLOOKUP($B1811,'4. CÀI ĐẶT'!$A$2:$H$32,2,FALSE)))</f>
        <v/>
      </c>
      <c r="F1811" s="67">
        <f>IF($B1811="",0,IF(LEFT($B1811,1)="━",0,$C1811*VLOOKUP($B1811,'4. CÀI ĐẶT'!$A$2:$H$32,3,FALSE)))</f>
        <v/>
      </c>
      <c r="G1811" s="67">
        <f>IF($B1811="",0,IF(LEFT($B1811,1)="━",0,$C1811*VLOOKUP($B1811,'4. CÀI ĐẶT'!$A$2:$H$32,4,FALSE)))</f>
        <v/>
      </c>
      <c r="H1811" s="67">
        <f>IF($B1811="",0,IF(LEFT($B1811,1)="━",0,$C1811*VLOOKUP($B1811,'4. CÀI ĐẶT'!$A$2:$H$32,5,FALSE)))</f>
        <v/>
      </c>
      <c r="I1811">
        <f>IF($B1811="","",IF(LEFT($B1811,1)="━","",VLOOKUP($B1811,'4. CÀI ĐẶT'!$A$2:$H$32,6,FALSE)))</f>
        <v/>
      </c>
      <c r="J1811" s="13">
        <f>IF($A1811="","",EOMONTH($A1811,0))</f>
        <v/>
      </c>
      <c r="K1811" s="67">
        <f>IF($B1811="",0,IF(LEFT($B1811,1)="━",0,$C1811*VLOOKUP($B1811,'4. CÀI ĐẶT'!$A$2:$H$32,7,FALSE)))</f>
        <v/>
      </c>
    </row>
    <row r="1812">
      <c r="A1812" s="8" t="n"/>
      <c r="B1812" s="9" t="n"/>
      <c r="C1812" s="65" t="n"/>
      <c r="D1812" s="9" t="n"/>
      <c r="E1812" s="66">
        <f>IF($B1812="","",IF(LEFT($B1812,1)="━","⚠️ Chọn hạng mục cụ thể",$C1812*VLOOKUP($B1812,'4. CÀI ĐẶT'!$A$2:$H$32,2,FALSE)))</f>
        <v/>
      </c>
      <c r="F1812" s="67">
        <f>IF($B1812="",0,IF(LEFT($B1812,1)="━",0,$C1812*VLOOKUP($B1812,'4. CÀI ĐẶT'!$A$2:$H$32,3,FALSE)))</f>
        <v/>
      </c>
      <c r="G1812" s="67">
        <f>IF($B1812="",0,IF(LEFT($B1812,1)="━",0,$C1812*VLOOKUP($B1812,'4. CÀI ĐẶT'!$A$2:$H$32,4,FALSE)))</f>
        <v/>
      </c>
      <c r="H1812" s="67">
        <f>IF($B1812="",0,IF(LEFT($B1812,1)="━",0,$C1812*VLOOKUP($B1812,'4. CÀI ĐẶT'!$A$2:$H$32,5,FALSE)))</f>
        <v/>
      </c>
      <c r="I1812">
        <f>IF($B1812="","",IF(LEFT($B1812,1)="━","",VLOOKUP($B1812,'4. CÀI ĐẶT'!$A$2:$H$32,6,FALSE)))</f>
        <v/>
      </c>
      <c r="J1812" s="13">
        <f>IF($A1812="","",EOMONTH($A1812,0))</f>
        <v/>
      </c>
      <c r="K1812" s="67">
        <f>IF($B1812="",0,IF(LEFT($B1812,1)="━",0,$C1812*VLOOKUP($B1812,'4. CÀI ĐẶT'!$A$2:$H$32,7,FALSE)))</f>
        <v/>
      </c>
    </row>
    <row r="1813">
      <c r="A1813" s="8" t="n"/>
      <c r="B1813" s="9" t="n"/>
      <c r="C1813" s="65" t="n"/>
      <c r="D1813" s="9" t="n"/>
      <c r="E1813" s="66">
        <f>IF($B1813="","",IF(LEFT($B1813,1)="━","⚠️ Chọn hạng mục cụ thể",$C1813*VLOOKUP($B1813,'4. CÀI ĐẶT'!$A$2:$H$32,2,FALSE)))</f>
        <v/>
      </c>
      <c r="F1813" s="67">
        <f>IF($B1813="",0,IF(LEFT($B1813,1)="━",0,$C1813*VLOOKUP($B1813,'4. CÀI ĐẶT'!$A$2:$H$32,3,FALSE)))</f>
        <v/>
      </c>
      <c r="G1813" s="67">
        <f>IF($B1813="",0,IF(LEFT($B1813,1)="━",0,$C1813*VLOOKUP($B1813,'4. CÀI ĐẶT'!$A$2:$H$32,4,FALSE)))</f>
        <v/>
      </c>
      <c r="H1813" s="67">
        <f>IF($B1813="",0,IF(LEFT($B1813,1)="━",0,$C1813*VLOOKUP($B1813,'4. CÀI ĐẶT'!$A$2:$H$32,5,FALSE)))</f>
        <v/>
      </c>
      <c r="I1813">
        <f>IF($B1813="","",IF(LEFT($B1813,1)="━","",VLOOKUP($B1813,'4. CÀI ĐẶT'!$A$2:$H$32,6,FALSE)))</f>
        <v/>
      </c>
      <c r="J1813" s="13">
        <f>IF($A1813="","",EOMONTH($A1813,0))</f>
        <v/>
      </c>
      <c r="K1813" s="67">
        <f>IF($B1813="",0,IF(LEFT($B1813,1)="━",0,$C1813*VLOOKUP($B1813,'4. CÀI ĐẶT'!$A$2:$H$32,7,FALSE)))</f>
        <v/>
      </c>
    </row>
    <row r="1814">
      <c r="A1814" s="8" t="n"/>
      <c r="B1814" s="9" t="n"/>
      <c r="C1814" s="65" t="n"/>
      <c r="D1814" s="9" t="n"/>
      <c r="E1814" s="66">
        <f>IF($B1814="","",IF(LEFT($B1814,1)="━","⚠️ Chọn hạng mục cụ thể",$C1814*VLOOKUP($B1814,'4. CÀI ĐẶT'!$A$2:$H$32,2,FALSE)))</f>
        <v/>
      </c>
      <c r="F1814" s="67">
        <f>IF($B1814="",0,IF(LEFT($B1814,1)="━",0,$C1814*VLOOKUP($B1814,'4. CÀI ĐẶT'!$A$2:$H$32,3,FALSE)))</f>
        <v/>
      </c>
      <c r="G1814" s="67">
        <f>IF($B1814="",0,IF(LEFT($B1814,1)="━",0,$C1814*VLOOKUP($B1814,'4. CÀI ĐẶT'!$A$2:$H$32,4,FALSE)))</f>
        <v/>
      </c>
      <c r="H1814" s="67">
        <f>IF($B1814="",0,IF(LEFT($B1814,1)="━",0,$C1814*VLOOKUP($B1814,'4. CÀI ĐẶT'!$A$2:$H$32,5,FALSE)))</f>
        <v/>
      </c>
      <c r="I1814">
        <f>IF($B1814="","",IF(LEFT($B1814,1)="━","",VLOOKUP($B1814,'4. CÀI ĐẶT'!$A$2:$H$32,6,FALSE)))</f>
        <v/>
      </c>
      <c r="J1814" s="13">
        <f>IF($A1814="","",EOMONTH($A1814,0))</f>
        <v/>
      </c>
      <c r="K1814" s="67">
        <f>IF($B1814="",0,IF(LEFT($B1814,1)="━",0,$C1814*VLOOKUP($B1814,'4. CÀI ĐẶT'!$A$2:$H$32,7,FALSE)))</f>
        <v/>
      </c>
    </row>
    <row r="1815">
      <c r="A1815" s="8" t="n"/>
      <c r="B1815" s="9" t="n"/>
      <c r="C1815" s="65" t="n"/>
      <c r="D1815" s="9" t="n"/>
      <c r="E1815" s="66">
        <f>IF($B1815="","",IF(LEFT($B1815,1)="━","⚠️ Chọn hạng mục cụ thể",$C1815*VLOOKUP($B1815,'4. CÀI ĐẶT'!$A$2:$H$32,2,FALSE)))</f>
        <v/>
      </c>
      <c r="F1815" s="67">
        <f>IF($B1815="",0,IF(LEFT($B1815,1)="━",0,$C1815*VLOOKUP($B1815,'4. CÀI ĐẶT'!$A$2:$H$32,3,FALSE)))</f>
        <v/>
      </c>
      <c r="G1815" s="67">
        <f>IF($B1815="",0,IF(LEFT($B1815,1)="━",0,$C1815*VLOOKUP($B1815,'4. CÀI ĐẶT'!$A$2:$H$32,4,FALSE)))</f>
        <v/>
      </c>
      <c r="H1815" s="67">
        <f>IF($B1815="",0,IF(LEFT($B1815,1)="━",0,$C1815*VLOOKUP($B1815,'4. CÀI ĐẶT'!$A$2:$H$32,5,FALSE)))</f>
        <v/>
      </c>
      <c r="I1815">
        <f>IF($B1815="","",IF(LEFT($B1815,1)="━","",VLOOKUP($B1815,'4. CÀI ĐẶT'!$A$2:$H$32,6,FALSE)))</f>
        <v/>
      </c>
      <c r="J1815" s="13">
        <f>IF($A1815="","",EOMONTH($A1815,0))</f>
        <v/>
      </c>
      <c r="K1815" s="67">
        <f>IF($B1815="",0,IF(LEFT($B1815,1)="━",0,$C1815*VLOOKUP($B1815,'4. CÀI ĐẶT'!$A$2:$H$32,7,FALSE)))</f>
        <v/>
      </c>
    </row>
    <row r="1816">
      <c r="A1816" s="8" t="n"/>
      <c r="B1816" s="9" t="n"/>
      <c r="C1816" s="65" t="n"/>
      <c r="D1816" s="9" t="n"/>
      <c r="E1816" s="66">
        <f>IF($B1816="","",IF(LEFT($B1816,1)="━","⚠️ Chọn hạng mục cụ thể",$C1816*VLOOKUP($B1816,'4. CÀI ĐẶT'!$A$2:$H$32,2,FALSE)))</f>
        <v/>
      </c>
      <c r="F1816" s="67">
        <f>IF($B1816="",0,IF(LEFT($B1816,1)="━",0,$C1816*VLOOKUP($B1816,'4. CÀI ĐẶT'!$A$2:$H$32,3,FALSE)))</f>
        <v/>
      </c>
      <c r="G1816" s="67">
        <f>IF($B1816="",0,IF(LEFT($B1816,1)="━",0,$C1816*VLOOKUP($B1816,'4. CÀI ĐẶT'!$A$2:$H$32,4,FALSE)))</f>
        <v/>
      </c>
      <c r="H1816" s="67">
        <f>IF($B1816="",0,IF(LEFT($B1816,1)="━",0,$C1816*VLOOKUP($B1816,'4. CÀI ĐẶT'!$A$2:$H$32,5,FALSE)))</f>
        <v/>
      </c>
      <c r="I1816">
        <f>IF($B1816="","",IF(LEFT($B1816,1)="━","",VLOOKUP($B1816,'4. CÀI ĐẶT'!$A$2:$H$32,6,FALSE)))</f>
        <v/>
      </c>
      <c r="J1816" s="13">
        <f>IF($A1816="","",EOMONTH($A1816,0))</f>
        <v/>
      </c>
      <c r="K1816" s="67">
        <f>IF($B1816="",0,IF(LEFT($B1816,1)="━",0,$C1816*VLOOKUP($B1816,'4. CÀI ĐẶT'!$A$2:$H$32,7,FALSE)))</f>
        <v/>
      </c>
    </row>
    <row r="1817">
      <c r="A1817" s="8" t="n"/>
      <c r="B1817" s="9" t="n"/>
      <c r="C1817" s="65" t="n"/>
      <c r="D1817" s="9" t="n"/>
      <c r="E1817" s="66">
        <f>IF($B1817="","",IF(LEFT($B1817,1)="━","⚠️ Chọn hạng mục cụ thể",$C1817*VLOOKUP($B1817,'4. CÀI ĐẶT'!$A$2:$H$32,2,FALSE)))</f>
        <v/>
      </c>
      <c r="F1817" s="67">
        <f>IF($B1817="",0,IF(LEFT($B1817,1)="━",0,$C1817*VLOOKUP($B1817,'4. CÀI ĐẶT'!$A$2:$H$32,3,FALSE)))</f>
        <v/>
      </c>
      <c r="G1817" s="67">
        <f>IF($B1817="",0,IF(LEFT($B1817,1)="━",0,$C1817*VLOOKUP($B1817,'4. CÀI ĐẶT'!$A$2:$H$32,4,FALSE)))</f>
        <v/>
      </c>
      <c r="H1817" s="67">
        <f>IF($B1817="",0,IF(LEFT($B1817,1)="━",0,$C1817*VLOOKUP($B1817,'4. CÀI ĐẶT'!$A$2:$H$32,5,FALSE)))</f>
        <v/>
      </c>
      <c r="I1817">
        <f>IF($B1817="","",IF(LEFT($B1817,1)="━","",VLOOKUP($B1817,'4. CÀI ĐẶT'!$A$2:$H$32,6,FALSE)))</f>
        <v/>
      </c>
      <c r="J1817" s="13">
        <f>IF($A1817="","",EOMONTH($A1817,0))</f>
        <v/>
      </c>
      <c r="K1817" s="67">
        <f>IF($B1817="",0,IF(LEFT($B1817,1)="━",0,$C1817*VLOOKUP($B1817,'4. CÀI ĐẶT'!$A$2:$H$32,7,FALSE)))</f>
        <v/>
      </c>
    </row>
    <row r="1818">
      <c r="A1818" s="8" t="n"/>
      <c r="B1818" s="9" t="n"/>
      <c r="C1818" s="65" t="n"/>
      <c r="D1818" s="9" t="n"/>
      <c r="E1818" s="66">
        <f>IF($B1818="","",IF(LEFT($B1818,1)="━","⚠️ Chọn hạng mục cụ thể",$C1818*VLOOKUP($B1818,'4. CÀI ĐẶT'!$A$2:$H$32,2,FALSE)))</f>
        <v/>
      </c>
      <c r="F1818" s="67">
        <f>IF($B1818="",0,IF(LEFT($B1818,1)="━",0,$C1818*VLOOKUP($B1818,'4. CÀI ĐẶT'!$A$2:$H$32,3,FALSE)))</f>
        <v/>
      </c>
      <c r="G1818" s="67">
        <f>IF($B1818="",0,IF(LEFT($B1818,1)="━",0,$C1818*VLOOKUP($B1818,'4. CÀI ĐẶT'!$A$2:$H$32,4,FALSE)))</f>
        <v/>
      </c>
      <c r="H1818" s="67">
        <f>IF($B1818="",0,IF(LEFT($B1818,1)="━",0,$C1818*VLOOKUP($B1818,'4. CÀI ĐẶT'!$A$2:$H$32,5,FALSE)))</f>
        <v/>
      </c>
      <c r="I1818">
        <f>IF($B1818="","",IF(LEFT($B1818,1)="━","",VLOOKUP($B1818,'4. CÀI ĐẶT'!$A$2:$H$32,6,FALSE)))</f>
        <v/>
      </c>
      <c r="J1818" s="13">
        <f>IF($A1818="","",EOMONTH($A1818,0))</f>
        <v/>
      </c>
      <c r="K1818" s="67">
        <f>IF($B1818="",0,IF(LEFT($B1818,1)="━",0,$C1818*VLOOKUP($B1818,'4. CÀI ĐẶT'!$A$2:$H$32,7,FALSE)))</f>
        <v/>
      </c>
    </row>
    <row r="1819">
      <c r="A1819" s="8" t="n"/>
      <c r="B1819" s="9" t="n"/>
      <c r="C1819" s="65" t="n"/>
      <c r="D1819" s="9" t="n"/>
      <c r="E1819" s="66">
        <f>IF($B1819="","",IF(LEFT($B1819,1)="━","⚠️ Chọn hạng mục cụ thể",$C1819*VLOOKUP($B1819,'4. CÀI ĐẶT'!$A$2:$H$32,2,FALSE)))</f>
        <v/>
      </c>
      <c r="F1819" s="67">
        <f>IF($B1819="",0,IF(LEFT($B1819,1)="━",0,$C1819*VLOOKUP($B1819,'4. CÀI ĐẶT'!$A$2:$H$32,3,FALSE)))</f>
        <v/>
      </c>
      <c r="G1819" s="67">
        <f>IF($B1819="",0,IF(LEFT($B1819,1)="━",0,$C1819*VLOOKUP($B1819,'4. CÀI ĐẶT'!$A$2:$H$32,4,FALSE)))</f>
        <v/>
      </c>
      <c r="H1819" s="67">
        <f>IF($B1819="",0,IF(LEFT($B1819,1)="━",0,$C1819*VLOOKUP($B1819,'4. CÀI ĐẶT'!$A$2:$H$32,5,FALSE)))</f>
        <v/>
      </c>
      <c r="I1819">
        <f>IF($B1819="","",IF(LEFT($B1819,1)="━","",VLOOKUP($B1819,'4. CÀI ĐẶT'!$A$2:$H$32,6,FALSE)))</f>
        <v/>
      </c>
      <c r="J1819" s="13">
        <f>IF($A1819="","",EOMONTH($A1819,0))</f>
        <v/>
      </c>
      <c r="K1819" s="67">
        <f>IF($B1819="",0,IF(LEFT($B1819,1)="━",0,$C1819*VLOOKUP($B1819,'4. CÀI ĐẶT'!$A$2:$H$32,7,FALSE)))</f>
        <v/>
      </c>
    </row>
    <row r="1820">
      <c r="A1820" s="8" t="n"/>
      <c r="B1820" s="9" t="n"/>
      <c r="C1820" s="65" t="n"/>
      <c r="D1820" s="9" t="n"/>
      <c r="E1820" s="66">
        <f>IF($B1820="","",IF(LEFT($B1820,1)="━","⚠️ Chọn hạng mục cụ thể",$C1820*VLOOKUP($B1820,'4. CÀI ĐẶT'!$A$2:$H$32,2,FALSE)))</f>
        <v/>
      </c>
      <c r="F1820" s="67">
        <f>IF($B1820="",0,IF(LEFT($B1820,1)="━",0,$C1820*VLOOKUP($B1820,'4. CÀI ĐẶT'!$A$2:$H$32,3,FALSE)))</f>
        <v/>
      </c>
      <c r="G1820" s="67">
        <f>IF($B1820="",0,IF(LEFT($B1820,1)="━",0,$C1820*VLOOKUP($B1820,'4. CÀI ĐẶT'!$A$2:$H$32,4,FALSE)))</f>
        <v/>
      </c>
      <c r="H1820" s="67">
        <f>IF($B1820="",0,IF(LEFT($B1820,1)="━",0,$C1820*VLOOKUP($B1820,'4. CÀI ĐẶT'!$A$2:$H$32,5,FALSE)))</f>
        <v/>
      </c>
      <c r="I1820">
        <f>IF($B1820="","",IF(LEFT($B1820,1)="━","",VLOOKUP($B1820,'4. CÀI ĐẶT'!$A$2:$H$32,6,FALSE)))</f>
        <v/>
      </c>
      <c r="J1820" s="13">
        <f>IF($A1820="","",EOMONTH($A1820,0))</f>
        <v/>
      </c>
      <c r="K1820" s="67">
        <f>IF($B1820="",0,IF(LEFT($B1820,1)="━",0,$C1820*VLOOKUP($B1820,'4. CÀI ĐẶT'!$A$2:$H$32,7,FALSE)))</f>
        <v/>
      </c>
    </row>
    <row r="1821">
      <c r="A1821" s="8" t="n"/>
      <c r="B1821" s="9" t="n"/>
      <c r="C1821" s="65" t="n"/>
      <c r="D1821" s="9" t="n"/>
      <c r="E1821" s="66">
        <f>IF($B1821="","",IF(LEFT($B1821,1)="━","⚠️ Chọn hạng mục cụ thể",$C1821*VLOOKUP($B1821,'4. CÀI ĐẶT'!$A$2:$H$32,2,FALSE)))</f>
        <v/>
      </c>
      <c r="F1821" s="67">
        <f>IF($B1821="",0,IF(LEFT($B1821,1)="━",0,$C1821*VLOOKUP($B1821,'4. CÀI ĐẶT'!$A$2:$H$32,3,FALSE)))</f>
        <v/>
      </c>
      <c r="G1821" s="67">
        <f>IF($B1821="",0,IF(LEFT($B1821,1)="━",0,$C1821*VLOOKUP($B1821,'4. CÀI ĐẶT'!$A$2:$H$32,4,FALSE)))</f>
        <v/>
      </c>
      <c r="H1821" s="67">
        <f>IF($B1821="",0,IF(LEFT($B1821,1)="━",0,$C1821*VLOOKUP($B1821,'4. CÀI ĐẶT'!$A$2:$H$32,5,FALSE)))</f>
        <v/>
      </c>
      <c r="I1821">
        <f>IF($B1821="","",IF(LEFT($B1821,1)="━","",VLOOKUP($B1821,'4. CÀI ĐẶT'!$A$2:$H$32,6,FALSE)))</f>
        <v/>
      </c>
      <c r="J1821" s="13">
        <f>IF($A1821="","",EOMONTH($A1821,0))</f>
        <v/>
      </c>
      <c r="K1821" s="67">
        <f>IF($B1821="",0,IF(LEFT($B1821,1)="━",0,$C1821*VLOOKUP($B1821,'4. CÀI ĐẶT'!$A$2:$H$32,7,FALSE)))</f>
        <v/>
      </c>
    </row>
    <row r="1822">
      <c r="A1822" s="8" t="n"/>
      <c r="B1822" s="9" t="n"/>
      <c r="C1822" s="65" t="n"/>
      <c r="D1822" s="9" t="n"/>
      <c r="E1822" s="66">
        <f>IF($B1822="","",IF(LEFT($B1822,1)="━","⚠️ Chọn hạng mục cụ thể",$C1822*VLOOKUP($B1822,'4. CÀI ĐẶT'!$A$2:$H$32,2,FALSE)))</f>
        <v/>
      </c>
      <c r="F1822" s="67">
        <f>IF($B1822="",0,IF(LEFT($B1822,1)="━",0,$C1822*VLOOKUP($B1822,'4. CÀI ĐẶT'!$A$2:$H$32,3,FALSE)))</f>
        <v/>
      </c>
      <c r="G1822" s="67">
        <f>IF($B1822="",0,IF(LEFT($B1822,1)="━",0,$C1822*VLOOKUP($B1822,'4. CÀI ĐẶT'!$A$2:$H$32,4,FALSE)))</f>
        <v/>
      </c>
      <c r="H1822" s="67">
        <f>IF($B1822="",0,IF(LEFT($B1822,1)="━",0,$C1822*VLOOKUP($B1822,'4. CÀI ĐẶT'!$A$2:$H$32,5,FALSE)))</f>
        <v/>
      </c>
      <c r="I1822">
        <f>IF($B1822="","",IF(LEFT($B1822,1)="━","",VLOOKUP($B1822,'4. CÀI ĐẶT'!$A$2:$H$32,6,FALSE)))</f>
        <v/>
      </c>
      <c r="J1822" s="13">
        <f>IF($A1822="","",EOMONTH($A1822,0))</f>
        <v/>
      </c>
      <c r="K1822" s="67">
        <f>IF($B1822="",0,IF(LEFT($B1822,1)="━",0,$C1822*VLOOKUP($B1822,'4. CÀI ĐẶT'!$A$2:$H$32,7,FALSE)))</f>
        <v/>
      </c>
    </row>
    <row r="1823">
      <c r="A1823" s="8" t="n"/>
      <c r="B1823" s="9" t="n"/>
      <c r="C1823" s="65" t="n"/>
      <c r="D1823" s="9" t="n"/>
      <c r="E1823" s="66">
        <f>IF($B1823="","",IF(LEFT($B1823,1)="━","⚠️ Chọn hạng mục cụ thể",$C1823*VLOOKUP($B1823,'4. CÀI ĐẶT'!$A$2:$H$32,2,FALSE)))</f>
        <v/>
      </c>
      <c r="F1823" s="67">
        <f>IF($B1823="",0,IF(LEFT($B1823,1)="━",0,$C1823*VLOOKUP($B1823,'4. CÀI ĐẶT'!$A$2:$H$32,3,FALSE)))</f>
        <v/>
      </c>
      <c r="G1823" s="67">
        <f>IF($B1823="",0,IF(LEFT($B1823,1)="━",0,$C1823*VLOOKUP($B1823,'4. CÀI ĐẶT'!$A$2:$H$32,4,FALSE)))</f>
        <v/>
      </c>
      <c r="H1823" s="67">
        <f>IF($B1823="",0,IF(LEFT($B1823,1)="━",0,$C1823*VLOOKUP($B1823,'4. CÀI ĐẶT'!$A$2:$H$32,5,FALSE)))</f>
        <v/>
      </c>
      <c r="I1823">
        <f>IF($B1823="","",IF(LEFT($B1823,1)="━","",VLOOKUP($B1823,'4. CÀI ĐẶT'!$A$2:$H$32,6,FALSE)))</f>
        <v/>
      </c>
      <c r="J1823" s="13">
        <f>IF($A1823="","",EOMONTH($A1823,0))</f>
        <v/>
      </c>
      <c r="K1823" s="67">
        <f>IF($B1823="",0,IF(LEFT($B1823,1)="━",0,$C1823*VLOOKUP($B1823,'4. CÀI ĐẶT'!$A$2:$H$32,7,FALSE)))</f>
        <v/>
      </c>
    </row>
    <row r="1824">
      <c r="A1824" s="8" t="n"/>
      <c r="B1824" s="9" t="n"/>
      <c r="C1824" s="65" t="n"/>
      <c r="D1824" s="9" t="n"/>
      <c r="E1824" s="66">
        <f>IF($B1824="","",IF(LEFT($B1824,1)="━","⚠️ Chọn hạng mục cụ thể",$C1824*VLOOKUP($B1824,'4. CÀI ĐẶT'!$A$2:$H$32,2,FALSE)))</f>
        <v/>
      </c>
      <c r="F1824" s="67">
        <f>IF($B1824="",0,IF(LEFT($B1824,1)="━",0,$C1824*VLOOKUP($B1824,'4. CÀI ĐẶT'!$A$2:$H$32,3,FALSE)))</f>
        <v/>
      </c>
      <c r="G1824" s="67">
        <f>IF($B1824="",0,IF(LEFT($B1824,1)="━",0,$C1824*VLOOKUP($B1824,'4. CÀI ĐẶT'!$A$2:$H$32,4,FALSE)))</f>
        <v/>
      </c>
      <c r="H1824" s="67">
        <f>IF($B1824="",0,IF(LEFT($B1824,1)="━",0,$C1824*VLOOKUP($B1824,'4. CÀI ĐẶT'!$A$2:$H$32,5,FALSE)))</f>
        <v/>
      </c>
      <c r="I1824">
        <f>IF($B1824="","",IF(LEFT($B1824,1)="━","",VLOOKUP($B1824,'4. CÀI ĐẶT'!$A$2:$H$32,6,FALSE)))</f>
        <v/>
      </c>
      <c r="J1824" s="13">
        <f>IF($A1824="","",EOMONTH($A1824,0))</f>
        <v/>
      </c>
      <c r="K1824" s="67">
        <f>IF($B1824="",0,IF(LEFT($B1824,1)="━",0,$C1824*VLOOKUP($B1824,'4. CÀI ĐẶT'!$A$2:$H$32,7,FALSE)))</f>
        <v/>
      </c>
    </row>
    <row r="1825">
      <c r="A1825" s="8" t="n"/>
      <c r="B1825" s="9" t="n"/>
      <c r="C1825" s="65" t="n"/>
      <c r="D1825" s="9" t="n"/>
      <c r="E1825" s="66">
        <f>IF($B1825="","",IF(LEFT($B1825,1)="━","⚠️ Chọn hạng mục cụ thể",$C1825*VLOOKUP($B1825,'4. CÀI ĐẶT'!$A$2:$H$32,2,FALSE)))</f>
        <v/>
      </c>
      <c r="F1825" s="67">
        <f>IF($B1825="",0,IF(LEFT($B1825,1)="━",0,$C1825*VLOOKUP($B1825,'4. CÀI ĐẶT'!$A$2:$H$32,3,FALSE)))</f>
        <v/>
      </c>
      <c r="G1825" s="67">
        <f>IF($B1825="",0,IF(LEFT($B1825,1)="━",0,$C1825*VLOOKUP($B1825,'4. CÀI ĐẶT'!$A$2:$H$32,4,FALSE)))</f>
        <v/>
      </c>
      <c r="H1825" s="67">
        <f>IF($B1825="",0,IF(LEFT($B1825,1)="━",0,$C1825*VLOOKUP($B1825,'4. CÀI ĐẶT'!$A$2:$H$32,5,FALSE)))</f>
        <v/>
      </c>
      <c r="I1825">
        <f>IF($B1825="","",IF(LEFT($B1825,1)="━","",VLOOKUP($B1825,'4. CÀI ĐẶT'!$A$2:$H$32,6,FALSE)))</f>
        <v/>
      </c>
      <c r="J1825" s="13">
        <f>IF($A1825="","",EOMONTH($A1825,0))</f>
        <v/>
      </c>
      <c r="K1825" s="67">
        <f>IF($B1825="",0,IF(LEFT($B1825,1)="━",0,$C1825*VLOOKUP($B1825,'4. CÀI ĐẶT'!$A$2:$H$32,7,FALSE)))</f>
        <v/>
      </c>
    </row>
    <row r="1826">
      <c r="A1826" s="8" t="n"/>
      <c r="B1826" s="9" t="n"/>
      <c r="C1826" s="65" t="n"/>
      <c r="D1826" s="9" t="n"/>
      <c r="E1826" s="66">
        <f>IF($B1826="","",IF(LEFT($B1826,1)="━","⚠️ Chọn hạng mục cụ thể",$C1826*VLOOKUP($B1826,'4. CÀI ĐẶT'!$A$2:$H$32,2,FALSE)))</f>
        <v/>
      </c>
      <c r="F1826" s="67">
        <f>IF($B1826="",0,IF(LEFT($B1826,1)="━",0,$C1826*VLOOKUP($B1826,'4. CÀI ĐẶT'!$A$2:$H$32,3,FALSE)))</f>
        <v/>
      </c>
      <c r="G1826" s="67">
        <f>IF($B1826="",0,IF(LEFT($B1826,1)="━",0,$C1826*VLOOKUP($B1826,'4. CÀI ĐẶT'!$A$2:$H$32,4,FALSE)))</f>
        <v/>
      </c>
      <c r="H1826" s="67">
        <f>IF($B1826="",0,IF(LEFT($B1826,1)="━",0,$C1826*VLOOKUP($B1826,'4. CÀI ĐẶT'!$A$2:$H$32,5,FALSE)))</f>
        <v/>
      </c>
      <c r="I1826">
        <f>IF($B1826="","",IF(LEFT($B1826,1)="━","",VLOOKUP($B1826,'4. CÀI ĐẶT'!$A$2:$H$32,6,FALSE)))</f>
        <v/>
      </c>
      <c r="J1826" s="13">
        <f>IF($A1826="","",EOMONTH($A1826,0))</f>
        <v/>
      </c>
      <c r="K1826" s="67">
        <f>IF($B1826="",0,IF(LEFT($B1826,1)="━",0,$C1826*VLOOKUP($B1826,'4. CÀI ĐẶT'!$A$2:$H$32,7,FALSE)))</f>
        <v/>
      </c>
    </row>
    <row r="1827">
      <c r="A1827" s="8" t="n"/>
      <c r="B1827" s="9" t="n"/>
      <c r="C1827" s="65" t="n"/>
      <c r="D1827" s="9" t="n"/>
      <c r="E1827" s="66">
        <f>IF($B1827="","",IF(LEFT($B1827,1)="━","⚠️ Chọn hạng mục cụ thể",$C1827*VLOOKUP($B1827,'4. CÀI ĐẶT'!$A$2:$H$32,2,FALSE)))</f>
        <v/>
      </c>
      <c r="F1827" s="67">
        <f>IF($B1827="",0,IF(LEFT($B1827,1)="━",0,$C1827*VLOOKUP($B1827,'4. CÀI ĐẶT'!$A$2:$H$32,3,FALSE)))</f>
        <v/>
      </c>
      <c r="G1827" s="67">
        <f>IF($B1827="",0,IF(LEFT($B1827,1)="━",0,$C1827*VLOOKUP($B1827,'4. CÀI ĐẶT'!$A$2:$H$32,4,FALSE)))</f>
        <v/>
      </c>
      <c r="H1827" s="67">
        <f>IF($B1827="",0,IF(LEFT($B1827,1)="━",0,$C1827*VLOOKUP($B1827,'4. CÀI ĐẶT'!$A$2:$H$32,5,FALSE)))</f>
        <v/>
      </c>
      <c r="I1827">
        <f>IF($B1827="","",IF(LEFT($B1827,1)="━","",VLOOKUP($B1827,'4. CÀI ĐẶT'!$A$2:$H$32,6,FALSE)))</f>
        <v/>
      </c>
      <c r="J1827" s="13">
        <f>IF($A1827="","",EOMONTH($A1827,0))</f>
        <v/>
      </c>
      <c r="K1827" s="67">
        <f>IF($B1827="",0,IF(LEFT($B1827,1)="━",0,$C1827*VLOOKUP($B1827,'4. CÀI ĐẶT'!$A$2:$H$32,7,FALSE)))</f>
        <v/>
      </c>
    </row>
    <row r="1828">
      <c r="A1828" s="8" t="n"/>
      <c r="B1828" s="9" t="n"/>
      <c r="C1828" s="65" t="n"/>
      <c r="D1828" s="9" t="n"/>
      <c r="E1828" s="66">
        <f>IF($B1828="","",IF(LEFT($B1828,1)="━","⚠️ Chọn hạng mục cụ thể",$C1828*VLOOKUP($B1828,'4. CÀI ĐẶT'!$A$2:$H$32,2,FALSE)))</f>
        <v/>
      </c>
      <c r="F1828" s="67">
        <f>IF($B1828="",0,IF(LEFT($B1828,1)="━",0,$C1828*VLOOKUP($B1828,'4. CÀI ĐẶT'!$A$2:$H$32,3,FALSE)))</f>
        <v/>
      </c>
      <c r="G1828" s="67">
        <f>IF($B1828="",0,IF(LEFT($B1828,1)="━",0,$C1828*VLOOKUP($B1828,'4. CÀI ĐẶT'!$A$2:$H$32,4,FALSE)))</f>
        <v/>
      </c>
      <c r="H1828" s="67">
        <f>IF($B1828="",0,IF(LEFT($B1828,1)="━",0,$C1828*VLOOKUP($B1828,'4. CÀI ĐẶT'!$A$2:$H$32,5,FALSE)))</f>
        <v/>
      </c>
      <c r="I1828">
        <f>IF($B1828="","",IF(LEFT($B1828,1)="━","",VLOOKUP($B1828,'4. CÀI ĐẶT'!$A$2:$H$32,6,FALSE)))</f>
        <v/>
      </c>
      <c r="J1828" s="13">
        <f>IF($A1828="","",EOMONTH($A1828,0))</f>
        <v/>
      </c>
      <c r="K1828" s="67">
        <f>IF($B1828="",0,IF(LEFT($B1828,1)="━",0,$C1828*VLOOKUP($B1828,'4. CÀI ĐẶT'!$A$2:$H$32,7,FALSE)))</f>
        <v/>
      </c>
    </row>
    <row r="1829">
      <c r="A1829" s="8" t="n"/>
      <c r="B1829" s="9" t="n"/>
      <c r="C1829" s="65" t="n"/>
      <c r="D1829" s="9" t="n"/>
      <c r="E1829" s="66">
        <f>IF($B1829="","",IF(LEFT($B1829,1)="━","⚠️ Chọn hạng mục cụ thể",$C1829*VLOOKUP($B1829,'4. CÀI ĐẶT'!$A$2:$H$32,2,FALSE)))</f>
        <v/>
      </c>
      <c r="F1829" s="67">
        <f>IF($B1829="",0,IF(LEFT($B1829,1)="━",0,$C1829*VLOOKUP($B1829,'4. CÀI ĐẶT'!$A$2:$H$32,3,FALSE)))</f>
        <v/>
      </c>
      <c r="G1829" s="67">
        <f>IF($B1829="",0,IF(LEFT($B1829,1)="━",0,$C1829*VLOOKUP($B1829,'4. CÀI ĐẶT'!$A$2:$H$32,4,FALSE)))</f>
        <v/>
      </c>
      <c r="H1829" s="67">
        <f>IF($B1829="",0,IF(LEFT($B1829,1)="━",0,$C1829*VLOOKUP($B1829,'4. CÀI ĐẶT'!$A$2:$H$32,5,FALSE)))</f>
        <v/>
      </c>
      <c r="I1829">
        <f>IF($B1829="","",IF(LEFT($B1829,1)="━","",VLOOKUP($B1829,'4. CÀI ĐẶT'!$A$2:$H$32,6,FALSE)))</f>
        <v/>
      </c>
      <c r="J1829" s="13">
        <f>IF($A1829="","",EOMONTH($A1829,0))</f>
        <v/>
      </c>
      <c r="K1829" s="67">
        <f>IF($B1829="",0,IF(LEFT($B1829,1)="━",0,$C1829*VLOOKUP($B1829,'4. CÀI ĐẶT'!$A$2:$H$32,7,FALSE)))</f>
        <v/>
      </c>
    </row>
    <row r="1830">
      <c r="A1830" s="8" t="n"/>
      <c r="B1830" s="9" t="n"/>
      <c r="C1830" s="65" t="n"/>
      <c r="D1830" s="9" t="n"/>
      <c r="E1830" s="66">
        <f>IF($B1830="","",IF(LEFT($B1830,1)="━","⚠️ Chọn hạng mục cụ thể",$C1830*VLOOKUP($B1830,'4. CÀI ĐẶT'!$A$2:$H$32,2,FALSE)))</f>
        <v/>
      </c>
      <c r="F1830" s="67">
        <f>IF($B1830="",0,IF(LEFT($B1830,1)="━",0,$C1830*VLOOKUP($B1830,'4. CÀI ĐẶT'!$A$2:$H$32,3,FALSE)))</f>
        <v/>
      </c>
      <c r="G1830" s="67">
        <f>IF($B1830="",0,IF(LEFT($B1830,1)="━",0,$C1830*VLOOKUP($B1830,'4. CÀI ĐẶT'!$A$2:$H$32,4,FALSE)))</f>
        <v/>
      </c>
      <c r="H1830" s="67">
        <f>IF($B1830="",0,IF(LEFT($B1830,1)="━",0,$C1830*VLOOKUP($B1830,'4. CÀI ĐẶT'!$A$2:$H$32,5,FALSE)))</f>
        <v/>
      </c>
      <c r="I1830">
        <f>IF($B1830="","",IF(LEFT($B1830,1)="━","",VLOOKUP($B1830,'4. CÀI ĐẶT'!$A$2:$H$32,6,FALSE)))</f>
        <v/>
      </c>
      <c r="J1830" s="13">
        <f>IF($A1830="","",EOMONTH($A1830,0))</f>
        <v/>
      </c>
      <c r="K1830" s="67">
        <f>IF($B1830="",0,IF(LEFT($B1830,1)="━",0,$C1830*VLOOKUP($B1830,'4. CÀI ĐẶT'!$A$2:$H$32,7,FALSE)))</f>
        <v/>
      </c>
    </row>
    <row r="1831">
      <c r="A1831" s="8" t="n"/>
      <c r="B1831" s="9" t="n"/>
      <c r="C1831" s="65" t="n"/>
      <c r="D1831" s="9" t="n"/>
      <c r="E1831" s="66">
        <f>IF($B1831="","",IF(LEFT($B1831,1)="━","⚠️ Chọn hạng mục cụ thể",$C1831*VLOOKUP($B1831,'4. CÀI ĐẶT'!$A$2:$H$32,2,FALSE)))</f>
        <v/>
      </c>
      <c r="F1831" s="67">
        <f>IF($B1831="",0,IF(LEFT($B1831,1)="━",0,$C1831*VLOOKUP($B1831,'4. CÀI ĐẶT'!$A$2:$H$32,3,FALSE)))</f>
        <v/>
      </c>
      <c r="G1831" s="67">
        <f>IF($B1831="",0,IF(LEFT($B1831,1)="━",0,$C1831*VLOOKUP($B1831,'4. CÀI ĐẶT'!$A$2:$H$32,4,FALSE)))</f>
        <v/>
      </c>
      <c r="H1831" s="67">
        <f>IF($B1831="",0,IF(LEFT($B1831,1)="━",0,$C1831*VLOOKUP($B1831,'4. CÀI ĐẶT'!$A$2:$H$32,5,FALSE)))</f>
        <v/>
      </c>
      <c r="I1831">
        <f>IF($B1831="","",IF(LEFT($B1831,1)="━","",VLOOKUP($B1831,'4. CÀI ĐẶT'!$A$2:$H$32,6,FALSE)))</f>
        <v/>
      </c>
      <c r="J1831" s="13">
        <f>IF($A1831="","",EOMONTH($A1831,0))</f>
        <v/>
      </c>
      <c r="K1831" s="67">
        <f>IF($B1831="",0,IF(LEFT($B1831,1)="━",0,$C1831*VLOOKUP($B1831,'4. CÀI ĐẶT'!$A$2:$H$32,7,FALSE)))</f>
        <v/>
      </c>
    </row>
    <row r="1832">
      <c r="A1832" s="8" t="n"/>
      <c r="B1832" s="9" t="n"/>
      <c r="C1832" s="65" t="n"/>
      <c r="D1832" s="9" t="n"/>
      <c r="E1832" s="66">
        <f>IF($B1832="","",IF(LEFT($B1832,1)="━","⚠️ Chọn hạng mục cụ thể",$C1832*VLOOKUP($B1832,'4. CÀI ĐẶT'!$A$2:$H$32,2,FALSE)))</f>
        <v/>
      </c>
      <c r="F1832" s="67">
        <f>IF($B1832="",0,IF(LEFT($B1832,1)="━",0,$C1832*VLOOKUP($B1832,'4. CÀI ĐẶT'!$A$2:$H$32,3,FALSE)))</f>
        <v/>
      </c>
      <c r="G1832" s="67">
        <f>IF($B1832="",0,IF(LEFT($B1832,1)="━",0,$C1832*VLOOKUP($B1832,'4. CÀI ĐẶT'!$A$2:$H$32,4,FALSE)))</f>
        <v/>
      </c>
      <c r="H1832" s="67">
        <f>IF($B1832="",0,IF(LEFT($B1832,1)="━",0,$C1832*VLOOKUP($B1832,'4. CÀI ĐẶT'!$A$2:$H$32,5,FALSE)))</f>
        <v/>
      </c>
      <c r="I1832">
        <f>IF($B1832="","",IF(LEFT($B1832,1)="━","",VLOOKUP($B1832,'4. CÀI ĐẶT'!$A$2:$H$32,6,FALSE)))</f>
        <v/>
      </c>
      <c r="J1832" s="13">
        <f>IF($A1832="","",EOMONTH($A1832,0))</f>
        <v/>
      </c>
      <c r="K1832" s="67">
        <f>IF($B1832="",0,IF(LEFT($B1832,1)="━",0,$C1832*VLOOKUP($B1832,'4. CÀI ĐẶT'!$A$2:$H$32,7,FALSE)))</f>
        <v/>
      </c>
    </row>
    <row r="1833">
      <c r="A1833" s="8" t="n"/>
      <c r="B1833" s="9" t="n"/>
      <c r="C1833" s="65" t="n"/>
      <c r="D1833" s="9" t="n"/>
      <c r="E1833" s="66">
        <f>IF($B1833="","",IF(LEFT($B1833,1)="━","⚠️ Chọn hạng mục cụ thể",$C1833*VLOOKUP($B1833,'4. CÀI ĐẶT'!$A$2:$H$32,2,FALSE)))</f>
        <v/>
      </c>
      <c r="F1833" s="67">
        <f>IF($B1833="",0,IF(LEFT($B1833,1)="━",0,$C1833*VLOOKUP($B1833,'4. CÀI ĐẶT'!$A$2:$H$32,3,FALSE)))</f>
        <v/>
      </c>
      <c r="G1833" s="67">
        <f>IF($B1833="",0,IF(LEFT($B1833,1)="━",0,$C1833*VLOOKUP($B1833,'4. CÀI ĐẶT'!$A$2:$H$32,4,FALSE)))</f>
        <v/>
      </c>
      <c r="H1833" s="67">
        <f>IF($B1833="",0,IF(LEFT($B1833,1)="━",0,$C1833*VLOOKUP($B1833,'4. CÀI ĐẶT'!$A$2:$H$32,5,FALSE)))</f>
        <v/>
      </c>
      <c r="I1833">
        <f>IF($B1833="","",IF(LEFT($B1833,1)="━","",VLOOKUP($B1833,'4. CÀI ĐẶT'!$A$2:$H$32,6,FALSE)))</f>
        <v/>
      </c>
      <c r="J1833" s="13">
        <f>IF($A1833="","",EOMONTH($A1833,0))</f>
        <v/>
      </c>
      <c r="K1833" s="67">
        <f>IF($B1833="",0,IF(LEFT($B1833,1)="━",0,$C1833*VLOOKUP($B1833,'4. CÀI ĐẶT'!$A$2:$H$32,7,FALSE)))</f>
        <v/>
      </c>
    </row>
    <row r="1834">
      <c r="A1834" s="8" t="n"/>
      <c r="B1834" s="9" t="n"/>
      <c r="C1834" s="65" t="n"/>
      <c r="D1834" s="9" t="n"/>
      <c r="E1834" s="66">
        <f>IF($B1834="","",IF(LEFT($B1834,1)="━","⚠️ Chọn hạng mục cụ thể",$C1834*VLOOKUP($B1834,'4. CÀI ĐẶT'!$A$2:$H$32,2,FALSE)))</f>
        <v/>
      </c>
      <c r="F1834" s="67">
        <f>IF($B1834="",0,IF(LEFT($B1834,1)="━",0,$C1834*VLOOKUP($B1834,'4. CÀI ĐẶT'!$A$2:$H$32,3,FALSE)))</f>
        <v/>
      </c>
      <c r="G1834" s="67">
        <f>IF($B1834="",0,IF(LEFT($B1834,1)="━",0,$C1834*VLOOKUP($B1834,'4. CÀI ĐẶT'!$A$2:$H$32,4,FALSE)))</f>
        <v/>
      </c>
      <c r="H1834" s="67">
        <f>IF($B1834="",0,IF(LEFT($B1834,1)="━",0,$C1834*VLOOKUP($B1834,'4. CÀI ĐẶT'!$A$2:$H$32,5,FALSE)))</f>
        <v/>
      </c>
      <c r="I1834">
        <f>IF($B1834="","",IF(LEFT($B1834,1)="━","",VLOOKUP($B1834,'4. CÀI ĐẶT'!$A$2:$H$32,6,FALSE)))</f>
        <v/>
      </c>
      <c r="J1834" s="13">
        <f>IF($A1834="","",EOMONTH($A1834,0))</f>
        <v/>
      </c>
      <c r="K1834" s="67">
        <f>IF($B1834="",0,IF(LEFT($B1834,1)="━",0,$C1834*VLOOKUP($B1834,'4. CÀI ĐẶT'!$A$2:$H$32,7,FALSE)))</f>
        <v/>
      </c>
    </row>
    <row r="1835">
      <c r="A1835" s="8" t="n"/>
      <c r="B1835" s="9" t="n"/>
      <c r="C1835" s="65" t="n"/>
      <c r="D1835" s="9" t="n"/>
      <c r="E1835" s="66">
        <f>IF($B1835="","",IF(LEFT($B1835,1)="━","⚠️ Chọn hạng mục cụ thể",$C1835*VLOOKUP($B1835,'4. CÀI ĐẶT'!$A$2:$H$32,2,FALSE)))</f>
        <v/>
      </c>
      <c r="F1835" s="67">
        <f>IF($B1835="",0,IF(LEFT($B1835,1)="━",0,$C1835*VLOOKUP($B1835,'4. CÀI ĐẶT'!$A$2:$H$32,3,FALSE)))</f>
        <v/>
      </c>
      <c r="G1835" s="67">
        <f>IF($B1835="",0,IF(LEFT($B1835,1)="━",0,$C1835*VLOOKUP($B1835,'4. CÀI ĐẶT'!$A$2:$H$32,4,FALSE)))</f>
        <v/>
      </c>
      <c r="H1835" s="67">
        <f>IF($B1835="",0,IF(LEFT($B1835,1)="━",0,$C1835*VLOOKUP($B1835,'4. CÀI ĐẶT'!$A$2:$H$32,5,FALSE)))</f>
        <v/>
      </c>
      <c r="I1835">
        <f>IF($B1835="","",IF(LEFT($B1835,1)="━","",VLOOKUP($B1835,'4. CÀI ĐẶT'!$A$2:$H$32,6,FALSE)))</f>
        <v/>
      </c>
      <c r="J1835" s="13">
        <f>IF($A1835="","",EOMONTH($A1835,0))</f>
        <v/>
      </c>
      <c r="K1835" s="67">
        <f>IF($B1835="",0,IF(LEFT($B1835,1)="━",0,$C1835*VLOOKUP($B1835,'4. CÀI ĐẶT'!$A$2:$H$32,7,FALSE)))</f>
        <v/>
      </c>
    </row>
    <row r="1836">
      <c r="A1836" s="8" t="n"/>
      <c r="B1836" s="9" t="n"/>
      <c r="C1836" s="65" t="n"/>
      <c r="D1836" s="9" t="n"/>
      <c r="E1836" s="66">
        <f>IF($B1836="","",IF(LEFT($B1836,1)="━","⚠️ Chọn hạng mục cụ thể",$C1836*VLOOKUP($B1836,'4. CÀI ĐẶT'!$A$2:$H$32,2,FALSE)))</f>
        <v/>
      </c>
      <c r="F1836" s="67">
        <f>IF($B1836="",0,IF(LEFT($B1836,1)="━",0,$C1836*VLOOKUP($B1836,'4. CÀI ĐẶT'!$A$2:$H$32,3,FALSE)))</f>
        <v/>
      </c>
      <c r="G1836" s="67">
        <f>IF($B1836="",0,IF(LEFT($B1836,1)="━",0,$C1836*VLOOKUP($B1836,'4. CÀI ĐẶT'!$A$2:$H$32,4,FALSE)))</f>
        <v/>
      </c>
      <c r="H1836" s="67">
        <f>IF($B1836="",0,IF(LEFT($B1836,1)="━",0,$C1836*VLOOKUP($B1836,'4. CÀI ĐẶT'!$A$2:$H$32,5,FALSE)))</f>
        <v/>
      </c>
      <c r="I1836">
        <f>IF($B1836="","",IF(LEFT($B1836,1)="━","",VLOOKUP($B1836,'4. CÀI ĐẶT'!$A$2:$H$32,6,FALSE)))</f>
        <v/>
      </c>
      <c r="J1836" s="13">
        <f>IF($A1836="","",EOMONTH($A1836,0))</f>
        <v/>
      </c>
      <c r="K1836" s="67">
        <f>IF($B1836="",0,IF(LEFT($B1836,1)="━",0,$C1836*VLOOKUP($B1836,'4. CÀI ĐẶT'!$A$2:$H$32,7,FALSE)))</f>
        <v/>
      </c>
    </row>
    <row r="1837">
      <c r="A1837" s="8" t="n"/>
      <c r="B1837" s="9" t="n"/>
      <c r="C1837" s="65" t="n"/>
      <c r="D1837" s="9" t="n"/>
      <c r="E1837" s="66">
        <f>IF($B1837="","",IF(LEFT($B1837,1)="━","⚠️ Chọn hạng mục cụ thể",$C1837*VLOOKUP($B1837,'4. CÀI ĐẶT'!$A$2:$H$32,2,FALSE)))</f>
        <v/>
      </c>
      <c r="F1837" s="67">
        <f>IF($B1837="",0,IF(LEFT($B1837,1)="━",0,$C1837*VLOOKUP($B1837,'4. CÀI ĐẶT'!$A$2:$H$32,3,FALSE)))</f>
        <v/>
      </c>
      <c r="G1837" s="67">
        <f>IF($B1837="",0,IF(LEFT($B1837,1)="━",0,$C1837*VLOOKUP($B1837,'4. CÀI ĐẶT'!$A$2:$H$32,4,FALSE)))</f>
        <v/>
      </c>
      <c r="H1837" s="67">
        <f>IF($B1837="",0,IF(LEFT($B1837,1)="━",0,$C1837*VLOOKUP($B1837,'4. CÀI ĐẶT'!$A$2:$H$32,5,FALSE)))</f>
        <v/>
      </c>
      <c r="I1837">
        <f>IF($B1837="","",IF(LEFT($B1837,1)="━","",VLOOKUP($B1837,'4. CÀI ĐẶT'!$A$2:$H$32,6,FALSE)))</f>
        <v/>
      </c>
      <c r="J1837" s="13">
        <f>IF($A1837="","",EOMONTH($A1837,0))</f>
        <v/>
      </c>
      <c r="K1837" s="67">
        <f>IF($B1837="",0,IF(LEFT($B1837,1)="━",0,$C1837*VLOOKUP($B1837,'4. CÀI ĐẶT'!$A$2:$H$32,7,FALSE)))</f>
        <v/>
      </c>
    </row>
    <row r="1838">
      <c r="A1838" s="8" t="n"/>
      <c r="B1838" s="9" t="n"/>
      <c r="C1838" s="65" t="n"/>
      <c r="D1838" s="9" t="n"/>
      <c r="E1838" s="66">
        <f>IF($B1838="","",IF(LEFT($B1838,1)="━","⚠️ Chọn hạng mục cụ thể",$C1838*VLOOKUP($B1838,'4. CÀI ĐẶT'!$A$2:$H$32,2,FALSE)))</f>
        <v/>
      </c>
      <c r="F1838" s="67">
        <f>IF($B1838="",0,IF(LEFT($B1838,1)="━",0,$C1838*VLOOKUP($B1838,'4. CÀI ĐẶT'!$A$2:$H$32,3,FALSE)))</f>
        <v/>
      </c>
      <c r="G1838" s="67">
        <f>IF($B1838="",0,IF(LEFT($B1838,1)="━",0,$C1838*VLOOKUP($B1838,'4. CÀI ĐẶT'!$A$2:$H$32,4,FALSE)))</f>
        <v/>
      </c>
      <c r="H1838" s="67">
        <f>IF($B1838="",0,IF(LEFT($B1838,1)="━",0,$C1838*VLOOKUP($B1838,'4. CÀI ĐẶT'!$A$2:$H$32,5,FALSE)))</f>
        <v/>
      </c>
      <c r="I1838">
        <f>IF($B1838="","",IF(LEFT($B1838,1)="━","",VLOOKUP($B1838,'4. CÀI ĐẶT'!$A$2:$H$32,6,FALSE)))</f>
        <v/>
      </c>
      <c r="J1838" s="13">
        <f>IF($A1838="","",EOMONTH($A1838,0))</f>
        <v/>
      </c>
      <c r="K1838" s="67">
        <f>IF($B1838="",0,IF(LEFT($B1838,1)="━",0,$C1838*VLOOKUP($B1838,'4. CÀI ĐẶT'!$A$2:$H$32,7,FALSE)))</f>
        <v/>
      </c>
    </row>
    <row r="1839">
      <c r="A1839" s="8" t="n"/>
      <c r="B1839" s="9" t="n"/>
      <c r="C1839" s="65" t="n"/>
      <c r="D1839" s="9" t="n"/>
      <c r="E1839" s="66">
        <f>IF($B1839="","",IF(LEFT($B1839,1)="━","⚠️ Chọn hạng mục cụ thể",$C1839*VLOOKUP($B1839,'4. CÀI ĐẶT'!$A$2:$H$32,2,FALSE)))</f>
        <v/>
      </c>
      <c r="F1839" s="67">
        <f>IF($B1839="",0,IF(LEFT($B1839,1)="━",0,$C1839*VLOOKUP($B1839,'4. CÀI ĐẶT'!$A$2:$H$32,3,FALSE)))</f>
        <v/>
      </c>
      <c r="G1839" s="67">
        <f>IF($B1839="",0,IF(LEFT($B1839,1)="━",0,$C1839*VLOOKUP($B1839,'4. CÀI ĐẶT'!$A$2:$H$32,4,FALSE)))</f>
        <v/>
      </c>
      <c r="H1839" s="67">
        <f>IF($B1839="",0,IF(LEFT($B1839,1)="━",0,$C1839*VLOOKUP($B1839,'4. CÀI ĐẶT'!$A$2:$H$32,5,FALSE)))</f>
        <v/>
      </c>
      <c r="I1839">
        <f>IF($B1839="","",IF(LEFT($B1839,1)="━","",VLOOKUP($B1839,'4. CÀI ĐẶT'!$A$2:$H$32,6,FALSE)))</f>
        <v/>
      </c>
      <c r="J1839" s="13">
        <f>IF($A1839="","",EOMONTH($A1839,0))</f>
        <v/>
      </c>
      <c r="K1839" s="67">
        <f>IF($B1839="",0,IF(LEFT($B1839,1)="━",0,$C1839*VLOOKUP($B1839,'4. CÀI ĐẶT'!$A$2:$H$32,7,FALSE)))</f>
        <v/>
      </c>
    </row>
    <row r="1840">
      <c r="A1840" s="8" t="n"/>
      <c r="B1840" s="9" t="n"/>
      <c r="C1840" s="65" t="n"/>
      <c r="D1840" s="9" t="n"/>
      <c r="E1840" s="66">
        <f>IF($B1840="","",IF(LEFT($B1840,1)="━","⚠️ Chọn hạng mục cụ thể",$C1840*VLOOKUP($B1840,'4. CÀI ĐẶT'!$A$2:$H$32,2,FALSE)))</f>
        <v/>
      </c>
      <c r="F1840" s="67">
        <f>IF($B1840="",0,IF(LEFT($B1840,1)="━",0,$C1840*VLOOKUP($B1840,'4. CÀI ĐẶT'!$A$2:$H$32,3,FALSE)))</f>
        <v/>
      </c>
      <c r="G1840" s="67">
        <f>IF($B1840="",0,IF(LEFT($B1840,1)="━",0,$C1840*VLOOKUP($B1840,'4. CÀI ĐẶT'!$A$2:$H$32,4,FALSE)))</f>
        <v/>
      </c>
      <c r="H1840" s="67">
        <f>IF($B1840="",0,IF(LEFT($B1840,1)="━",0,$C1840*VLOOKUP($B1840,'4. CÀI ĐẶT'!$A$2:$H$32,5,FALSE)))</f>
        <v/>
      </c>
      <c r="I1840">
        <f>IF($B1840="","",IF(LEFT($B1840,1)="━","",VLOOKUP($B1840,'4. CÀI ĐẶT'!$A$2:$H$32,6,FALSE)))</f>
        <v/>
      </c>
      <c r="J1840" s="13">
        <f>IF($A1840="","",EOMONTH($A1840,0))</f>
        <v/>
      </c>
      <c r="K1840" s="67">
        <f>IF($B1840="",0,IF(LEFT($B1840,1)="━",0,$C1840*VLOOKUP($B1840,'4. CÀI ĐẶT'!$A$2:$H$32,7,FALSE)))</f>
        <v/>
      </c>
    </row>
    <row r="1841">
      <c r="A1841" s="8" t="n"/>
      <c r="B1841" s="9" t="n"/>
      <c r="C1841" s="65" t="n"/>
      <c r="D1841" s="9" t="n"/>
      <c r="E1841" s="66">
        <f>IF($B1841="","",IF(LEFT($B1841,1)="━","⚠️ Chọn hạng mục cụ thể",$C1841*VLOOKUP($B1841,'4. CÀI ĐẶT'!$A$2:$H$32,2,FALSE)))</f>
        <v/>
      </c>
      <c r="F1841" s="67">
        <f>IF($B1841="",0,IF(LEFT($B1841,1)="━",0,$C1841*VLOOKUP($B1841,'4. CÀI ĐẶT'!$A$2:$H$32,3,FALSE)))</f>
        <v/>
      </c>
      <c r="G1841" s="67">
        <f>IF($B1841="",0,IF(LEFT($B1841,1)="━",0,$C1841*VLOOKUP($B1841,'4. CÀI ĐẶT'!$A$2:$H$32,4,FALSE)))</f>
        <v/>
      </c>
      <c r="H1841" s="67">
        <f>IF($B1841="",0,IF(LEFT($B1841,1)="━",0,$C1841*VLOOKUP($B1841,'4. CÀI ĐẶT'!$A$2:$H$32,5,FALSE)))</f>
        <v/>
      </c>
      <c r="I1841">
        <f>IF($B1841="","",IF(LEFT($B1841,1)="━","",VLOOKUP($B1841,'4. CÀI ĐẶT'!$A$2:$H$32,6,FALSE)))</f>
        <v/>
      </c>
      <c r="J1841" s="13">
        <f>IF($A1841="","",EOMONTH($A1841,0))</f>
        <v/>
      </c>
      <c r="K1841" s="67">
        <f>IF($B1841="",0,IF(LEFT($B1841,1)="━",0,$C1841*VLOOKUP($B1841,'4. CÀI ĐẶT'!$A$2:$H$32,7,FALSE)))</f>
        <v/>
      </c>
    </row>
    <row r="1842">
      <c r="A1842" s="8" t="n"/>
      <c r="B1842" s="9" t="n"/>
      <c r="C1842" s="65" t="n"/>
      <c r="D1842" s="9" t="n"/>
      <c r="E1842" s="66">
        <f>IF($B1842="","",IF(LEFT($B1842,1)="━","⚠️ Chọn hạng mục cụ thể",$C1842*VLOOKUP($B1842,'4. CÀI ĐẶT'!$A$2:$H$32,2,FALSE)))</f>
        <v/>
      </c>
      <c r="F1842" s="67">
        <f>IF($B1842="",0,IF(LEFT($B1842,1)="━",0,$C1842*VLOOKUP($B1842,'4. CÀI ĐẶT'!$A$2:$H$32,3,FALSE)))</f>
        <v/>
      </c>
      <c r="G1842" s="67">
        <f>IF($B1842="",0,IF(LEFT($B1842,1)="━",0,$C1842*VLOOKUP($B1842,'4. CÀI ĐẶT'!$A$2:$H$32,4,FALSE)))</f>
        <v/>
      </c>
      <c r="H1842" s="67">
        <f>IF($B1842="",0,IF(LEFT($B1842,1)="━",0,$C1842*VLOOKUP($B1842,'4. CÀI ĐẶT'!$A$2:$H$32,5,FALSE)))</f>
        <v/>
      </c>
      <c r="I1842">
        <f>IF($B1842="","",IF(LEFT($B1842,1)="━","",VLOOKUP($B1842,'4. CÀI ĐẶT'!$A$2:$H$32,6,FALSE)))</f>
        <v/>
      </c>
      <c r="J1842" s="13">
        <f>IF($A1842="","",EOMONTH($A1842,0))</f>
        <v/>
      </c>
      <c r="K1842" s="67">
        <f>IF($B1842="",0,IF(LEFT($B1842,1)="━",0,$C1842*VLOOKUP($B1842,'4. CÀI ĐẶT'!$A$2:$H$32,7,FALSE)))</f>
        <v/>
      </c>
    </row>
    <row r="1843">
      <c r="A1843" s="8" t="n"/>
      <c r="B1843" s="9" t="n"/>
      <c r="C1843" s="65" t="n"/>
      <c r="D1843" s="9" t="n"/>
      <c r="E1843" s="66">
        <f>IF($B1843="","",IF(LEFT($B1843,1)="━","⚠️ Chọn hạng mục cụ thể",$C1843*VLOOKUP($B1843,'4. CÀI ĐẶT'!$A$2:$H$32,2,FALSE)))</f>
        <v/>
      </c>
      <c r="F1843" s="67">
        <f>IF($B1843="",0,IF(LEFT($B1843,1)="━",0,$C1843*VLOOKUP($B1843,'4. CÀI ĐẶT'!$A$2:$H$32,3,FALSE)))</f>
        <v/>
      </c>
      <c r="G1843" s="67">
        <f>IF($B1843="",0,IF(LEFT($B1843,1)="━",0,$C1843*VLOOKUP($B1843,'4. CÀI ĐẶT'!$A$2:$H$32,4,FALSE)))</f>
        <v/>
      </c>
      <c r="H1843" s="67">
        <f>IF($B1843="",0,IF(LEFT($B1843,1)="━",0,$C1843*VLOOKUP($B1843,'4. CÀI ĐẶT'!$A$2:$H$32,5,FALSE)))</f>
        <v/>
      </c>
      <c r="I1843">
        <f>IF($B1843="","",IF(LEFT($B1843,1)="━","",VLOOKUP($B1843,'4. CÀI ĐẶT'!$A$2:$H$32,6,FALSE)))</f>
        <v/>
      </c>
      <c r="J1843" s="13">
        <f>IF($A1843="","",EOMONTH($A1843,0))</f>
        <v/>
      </c>
      <c r="K1843" s="67">
        <f>IF($B1843="",0,IF(LEFT($B1843,1)="━",0,$C1843*VLOOKUP($B1843,'4. CÀI ĐẶT'!$A$2:$H$32,7,FALSE)))</f>
        <v/>
      </c>
    </row>
    <row r="1844">
      <c r="A1844" s="8" t="n"/>
      <c r="B1844" s="9" t="n"/>
      <c r="C1844" s="65" t="n"/>
      <c r="D1844" s="9" t="n"/>
      <c r="E1844" s="66">
        <f>IF($B1844="","",IF(LEFT($B1844,1)="━","⚠️ Chọn hạng mục cụ thể",$C1844*VLOOKUP($B1844,'4. CÀI ĐẶT'!$A$2:$H$32,2,FALSE)))</f>
        <v/>
      </c>
      <c r="F1844" s="67">
        <f>IF($B1844="",0,IF(LEFT($B1844,1)="━",0,$C1844*VLOOKUP($B1844,'4. CÀI ĐẶT'!$A$2:$H$32,3,FALSE)))</f>
        <v/>
      </c>
      <c r="G1844" s="67">
        <f>IF($B1844="",0,IF(LEFT($B1844,1)="━",0,$C1844*VLOOKUP($B1844,'4. CÀI ĐẶT'!$A$2:$H$32,4,FALSE)))</f>
        <v/>
      </c>
      <c r="H1844" s="67">
        <f>IF($B1844="",0,IF(LEFT($B1844,1)="━",0,$C1844*VLOOKUP($B1844,'4. CÀI ĐẶT'!$A$2:$H$32,5,FALSE)))</f>
        <v/>
      </c>
      <c r="I1844">
        <f>IF($B1844="","",IF(LEFT($B1844,1)="━","",VLOOKUP($B1844,'4. CÀI ĐẶT'!$A$2:$H$32,6,FALSE)))</f>
        <v/>
      </c>
      <c r="J1844" s="13">
        <f>IF($A1844="","",EOMONTH($A1844,0))</f>
        <v/>
      </c>
      <c r="K1844" s="67">
        <f>IF($B1844="",0,IF(LEFT($B1844,1)="━",0,$C1844*VLOOKUP($B1844,'4. CÀI ĐẶT'!$A$2:$H$32,7,FALSE)))</f>
        <v/>
      </c>
    </row>
    <row r="1845">
      <c r="A1845" s="8" t="n"/>
      <c r="B1845" s="9" t="n"/>
      <c r="C1845" s="65" t="n"/>
      <c r="D1845" s="9" t="n"/>
      <c r="E1845" s="66">
        <f>IF($B1845="","",IF(LEFT($B1845,1)="━","⚠️ Chọn hạng mục cụ thể",$C1845*VLOOKUP($B1845,'4. CÀI ĐẶT'!$A$2:$H$32,2,FALSE)))</f>
        <v/>
      </c>
      <c r="F1845" s="67">
        <f>IF($B1845="",0,IF(LEFT($B1845,1)="━",0,$C1845*VLOOKUP($B1845,'4. CÀI ĐẶT'!$A$2:$H$32,3,FALSE)))</f>
        <v/>
      </c>
      <c r="G1845" s="67">
        <f>IF($B1845="",0,IF(LEFT($B1845,1)="━",0,$C1845*VLOOKUP($B1845,'4. CÀI ĐẶT'!$A$2:$H$32,4,FALSE)))</f>
        <v/>
      </c>
      <c r="H1845" s="67">
        <f>IF($B1845="",0,IF(LEFT($B1845,1)="━",0,$C1845*VLOOKUP($B1845,'4. CÀI ĐẶT'!$A$2:$H$32,5,FALSE)))</f>
        <v/>
      </c>
      <c r="I1845">
        <f>IF($B1845="","",IF(LEFT($B1845,1)="━","",VLOOKUP($B1845,'4. CÀI ĐẶT'!$A$2:$H$32,6,FALSE)))</f>
        <v/>
      </c>
      <c r="J1845" s="13">
        <f>IF($A1845="","",EOMONTH($A1845,0))</f>
        <v/>
      </c>
      <c r="K1845" s="67">
        <f>IF($B1845="",0,IF(LEFT($B1845,1)="━",0,$C1845*VLOOKUP($B1845,'4. CÀI ĐẶT'!$A$2:$H$32,7,FALSE)))</f>
        <v/>
      </c>
    </row>
    <row r="1846">
      <c r="A1846" s="8" t="n"/>
      <c r="B1846" s="9" t="n"/>
      <c r="C1846" s="65" t="n"/>
      <c r="D1846" s="9" t="n"/>
      <c r="E1846" s="66">
        <f>IF($B1846="","",IF(LEFT($B1846,1)="━","⚠️ Chọn hạng mục cụ thể",$C1846*VLOOKUP($B1846,'4. CÀI ĐẶT'!$A$2:$H$32,2,FALSE)))</f>
        <v/>
      </c>
      <c r="F1846" s="67">
        <f>IF($B1846="",0,IF(LEFT($B1846,1)="━",0,$C1846*VLOOKUP($B1846,'4. CÀI ĐẶT'!$A$2:$H$32,3,FALSE)))</f>
        <v/>
      </c>
      <c r="G1846" s="67">
        <f>IF($B1846="",0,IF(LEFT($B1846,1)="━",0,$C1846*VLOOKUP($B1846,'4. CÀI ĐẶT'!$A$2:$H$32,4,FALSE)))</f>
        <v/>
      </c>
      <c r="H1846" s="67">
        <f>IF($B1846="",0,IF(LEFT($B1846,1)="━",0,$C1846*VLOOKUP($B1846,'4. CÀI ĐẶT'!$A$2:$H$32,5,FALSE)))</f>
        <v/>
      </c>
      <c r="I1846">
        <f>IF($B1846="","",IF(LEFT($B1846,1)="━","",VLOOKUP($B1846,'4. CÀI ĐẶT'!$A$2:$H$32,6,FALSE)))</f>
        <v/>
      </c>
      <c r="J1846" s="13">
        <f>IF($A1846="","",EOMONTH($A1846,0))</f>
        <v/>
      </c>
      <c r="K1846" s="67">
        <f>IF($B1846="",0,IF(LEFT($B1846,1)="━",0,$C1846*VLOOKUP($B1846,'4. CÀI ĐẶT'!$A$2:$H$32,7,FALSE)))</f>
        <v/>
      </c>
    </row>
    <row r="1847">
      <c r="A1847" s="8" t="n"/>
      <c r="B1847" s="9" t="n"/>
      <c r="C1847" s="65" t="n"/>
      <c r="D1847" s="9" t="n"/>
      <c r="E1847" s="66">
        <f>IF($B1847="","",IF(LEFT($B1847,1)="━","⚠️ Chọn hạng mục cụ thể",$C1847*VLOOKUP($B1847,'4. CÀI ĐẶT'!$A$2:$H$32,2,FALSE)))</f>
        <v/>
      </c>
      <c r="F1847" s="67">
        <f>IF($B1847="",0,IF(LEFT($B1847,1)="━",0,$C1847*VLOOKUP($B1847,'4. CÀI ĐẶT'!$A$2:$H$32,3,FALSE)))</f>
        <v/>
      </c>
      <c r="G1847" s="67">
        <f>IF($B1847="",0,IF(LEFT($B1847,1)="━",0,$C1847*VLOOKUP($B1847,'4. CÀI ĐẶT'!$A$2:$H$32,4,FALSE)))</f>
        <v/>
      </c>
      <c r="H1847" s="67">
        <f>IF($B1847="",0,IF(LEFT($B1847,1)="━",0,$C1847*VLOOKUP($B1847,'4. CÀI ĐẶT'!$A$2:$H$32,5,FALSE)))</f>
        <v/>
      </c>
      <c r="I1847">
        <f>IF($B1847="","",IF(LEFT($B1847,1)="━","",VLOOKUP($B1847,'4. CÀI ĐẶT'!$A$2:$H$32,6,FALSE)))</f>
        <v/>
      </c>
      <c r="J1847" s="13">
        <f>IF($A1847="","",EOMONTH($A1847,0))</f>
        <v/>
      </c>
      <c r="K1847" s="67">
        <f>IF($B1847="",0,IF(LEFT($B1847,1)="━",0,$C1847*VLOOKUP($B1847,'4. CÀI ĐẶT'!$A$2:$H$32,7,FALSE)))</f>
        <v/>
      </c>
    </row>
    <row r="1848">
      <c r="A1848" s="8" t="n"/>
      <c r="B1848" s="9" t="n"/>
      <c r="C1848" s="65" t="n"/>
      <c r="D1848" s="9" t="n"/>
      <c r="E1848" s="66">
        <f>IF($B1848="","",IF(LEFT($B1848,1)="━","⚠️ Chọn hạng mục cụ thể",$C1848*VLOOKUP($B1848,'4. CÀI ĐẶT'!$A$2:$H$32,2,FALSE)))</f>
        <v/>
      </c>
      <c r="F1848" s="67">
        <f>IF($B1848="",0,IF(LEFT($B1848,1)="━",0,$C1848*VLOOKUP($B1848,'4. CÀI ĐẶT'!$A$2:$H$32,3,FALSE)))</f>
        <v/>
      </c>
      <c r="G1848" s="67">
        <f>IF($B1848="",0,IF(LEFT($B1848,1)="━",0,$C1848*VLOOKUP($B1848,'4. CÀI ĐẶT'!$A$2:$H$32,4,FALSE)))</f>
        <v/>
      </c>
      <c r="H1848" s="67">
        <f>IF($B1848="",0,IF(LEFT($B1848,1)="━",0,$C1848*VLOOKUP($B1848,'4. CÀI ĐẶT'!$A$2:$H$32,5,FALSE)))</f>
        <v/>
      </c>
      <c r="I1848">
        <f>IF($B1848="","",IF(LEFT($B1848,1)="━","",VLOOKUP($B1848,'4. CÀI ĐẶT'!$A$2:$H$32,6,FALSE)))</f>
        <v/>
      </c>
      <c r="J1848" s="13">
        <f>IF($A1848="","",EOMONTH($A1848,0))</f>
        <v/>
      </c>
      <c r="K1848" s="67">
        <f>IF($B1848="",0,IF(LEFT($B1848,1)="━",0,$C1848*VLOOKUP($B1848,'4. CÀI ĐẶT'!$A$2:$H$32,7,FALSE)))</f>
        <v/>
      </c>
    </row>
    <row r="1849">
      <c r="A1849" s="8" t="n"/>
      <c r="B1849" s="9" t="n"/>
      <c r="C1849" s="65" t="n"/>
      <c r="D1849" s="9" t="n"/>
      <c r="E1849" s="66">
        <f>IF($B1849="","",IF(LEFT($B1849,1)="━","⚠️ Chọn hạng mục cụ thể",$C1849*VLOOKUP($B1849,'4. CÀI ĐẶT'!$A$2:$H$32,2,FALSE)))</f>
        <v/>
      </c>
      <c r="F1849" s="67">
        <f>IF($B1849="",0,IF(LEFT($B1849,1)="━",0,$C1849*VLOOKUP($B1849,'4. CÀI ĐẶT'!$A$2:$H$32,3,FALSE)))</f>
        <v/>
      </c>
      <c r="G1849" s="67">
        <f>IF($B1849="",0,IF(LEFT($B1849,1)="━",0,$C1849*VLOOKUP($B1849,'4. CÀI ĐẶT'!$A$2:$H$32,4,FALSE)))</f>
        <v/>
      </c>
      <c r="H1849" s="67">
        <f>IF($B1849="",0,IF(LEFT($B1849,1)="━",0,$C1849*VLOOKUP($B1849,'4. CÀI ĐẶT'!$A$2:$H$32,5,FALSE)))</f>
        <v/>
      </c>
      <c r="I1849">
        <f>IF($B1849="","",IF(LEFT($B1849,1)="━","",VLOOKUP($B1849,'4. CÀI ĐẶT'!$A$2:$H$32,6,FALSE)))</f>
        <v/>
      </c>
      <c r="J1849" s="13">
        <f>IF($A1849="","",EOMONTH($A1849,0))</f>
        <v/>
      </c>
      <c r="K1849" s="67">
        <f>IF($B1849="",0,IF(LEFT($B1849,1)="━",0,$C1849*VLOOKUP($B1849,'4. CÀI ĐẶT'!$A$2:$H$32,7,FALSE)))</f>
        <v/>
      </c>
    </row>
    <row r="1850">
      <c r="A1850" s="8" t="n"/>
      <c r="B1850" s="9" t="n"/>
      <c r="C1850" s="65" t="n"/>
      <c r="D1850" s="9" t="n"/>
      <c r="E1850" s="66">
        <f>IF($B1850="","",IF(LEFT($B1850,1)="━","⚠️ Chọn hạng mục cụ thể",$C1850*VLOOKUP($B1850,'4. CÀI ĐẶT'!$A$2:$H$32,2,FALSE)))</f>
        <v/>
      </c>
      <c r="F1850" s="67">
        <f>IF($B1850="",0,IF(LEFT($B1850,1)="━",0,$C1850*VLOOKUP($B1850,'4. CÀI ĐẶT'!$A$2:$H$32,3,FALSE)))</f>
        <v/>
      </c>
      <c r="G1850" s="67">
        <f>IF($B1850="",0,IF(LEFT($B1850,1)="━",0,$C1850*VLOOKUP($B1850,'4. CÀI ĐẶT'!$A$2:$H$32,4,FALSE)))</f>
        <v/>
      </c>
      <c r="H1850" s="67">
        <f>IF($B1850="",0,IF(LEFT($B1850,1)="━",0,$C1850*VLOOKUP($B1850,'4. CÀI ĐẶT'!$A$2:$H$32,5,FALSE)))</f>
        <v/>
      </c>
      <c r="I1850">
        <f>IF($B1850="","",IF(LEFT($B1850,1)="━","",VLOOKUP($B1850,'4. CÀI ĐẶT'!$A$2:$H$32,6,FALSE)))</f>
        <v/>
      </c>
      <c r="J1850" s="13">
        <f>IF($A1850="","",EOMONTH($A1850,0))</f>
        <v/>
      </c>
      <c r="K1850" s="67">
        <f>IF($B1850="",0,IF(LEFT($B1850,1)="━",0,$C1850*VLOOKUP($B1850,'4. CÀI ĐẶT'!$A$2:$H$32,7,FALSE)))</f>
        <v/>
      </c>
    </row>
    <row r="1851">
      <c r="A1851" s="8" t="n"/>
      <c r="B1851" s="9" t="n"/>
      <c r="C1851" s="65" t="n"/>
      <c r="D1851" s="9" t="n"/>
      <c r="E1851" s="66">
        <f>IF($B1851="","",IF(LEFT($B1851,1)="━","⚠️ Chọn hạng mục cụ thể",$C1851*VLOOKUP($B1851,'4. CÀI ĐẶT'!$A$2:$H$32,2,FALSE)))</f>
        <v/>
      </c>
      <c r="F1851" s="67">
        <f>IF($B1851="",0,IF(LEFT($B1851,1)="━",0,$C1851*VLOOKUP($B1851,'4. CÀI ĐẶT'!$A$2:$H$32,3,FALSE)))</f>
        <v/>
      </c>
      <c r="G1851" s="67">
        <f>IF($B1851="",0,IF(LEFT($B1851,1)="━",0,$C1851*VLOOKUP($B1851,'4. CÀI ĐẶT'!$A$2:$H$32,4,FALSE)))</f>
        <v/>
      </c>
      <c r="H1851" s="67">
        <f>IF($B1851="",0,IF(LEFT($B1851,1)="━",0,$C1851*VLOOKUP($B1851,'4. CÀI ĐẶT'!$A$2:$H$32,5,FALSE)))</f>
        <v/>
      </c>
      <c r="I1851">
        <f>IF($B1851="","",IF(LEFT($B1851,1)="━","",VLOOKUP($B1851,'4. CÀI ĐẶT'!$A$2:$H$32,6,FALSE)))</f>
        <v/>
      </c>
      <c r="J1851" s="13">
        <f>IF($A1851="","",EOMONTH($A1851,0))</f>
        <v/>
      </c>
      <c r="K1851" s="67">
        <f>IF($B1851="",0,IF(LEFT($B1851,1)="━",0,$C1851*VLOOKUP($B1851,'4. CÀI ĐẶT'!$A$2:$H$32,7,FALSE)))</f>
        <v/>
      </c>
    </row>
    <row r="1852">
      <c r="A1852" s="8" t="n"/>
      <c r="B1852" s="9" t="n"/>
      <c r="C1852" s="65" t="n"/>
      <c r="D1852" s="9" t="n"/>
      <c r="E1852" s="66">
        <f>IF($B1852="","",IF(LEFT($B1852,1)="━","⚠️ Chọn hạng mục cụ thể",$C1852*VLOOKUP($B1852,'4. CÀI ĐẶT'!$A$2:$H$32,2,FALSE)))</f>
        <v/>
      </c>
      <c r="F1852" s="67">
        <f>IF($B1852="",0,IF(LEFT($B1852,1)="━",0,$C1852*VLOOKUP($B1852,'4. CÀI ĐẶT'!$A$2:$H$32,3,FALSE)))</f>
        <v/>
      </c>
      <c r="G1852" s="67">
        <f>IF($B1852="",0,IF(LEFT($B1852,1)="━",0,$C1852*VLOOKUP($B1852,'4. CÀI ĐẶT'!$A$2:$H$32,4,FALSE)))</f>
        <v/>
      </c>
      <c r="H1852" s="67">
        <f>IF($B1852="",0,IF(LEFT($B1852,1)="━",0,$C1852*VLOOKUP($B1852,'4. CÀI ĐẶT'!$A$2:$H$32,5,FALSE)))</f>
        <v/>
      </c>
      <c r="I1852">
        <f>IF($B1852="","",IF(LEFT($B1852,1)="━","",VLOOKUP($B1852,'4. CÀI ĐẶT'!$A$2:$H$32,6,FALSE)))</f>
        <v/>
      </c>
      <c r="J1852" s="13">
        <f>IF($A1852="","",EOMONTH($A1852,0))</f>
        <v/>
      </c>
      <c r="K1852" s="67">
        <f>IF($B1852="",0,IF(LEFT($B1852,1)="━",0,$C1852*VLOOKUP($B1852,'4. CÀI ĐẶT'!$A$2:$H$32,7,FALSE)))</f>
        <v/>
      </c>
    </row>
    <row r="1853">
      <c r="A1853" s="8" t="n"/>
      <c r="B1853" s="9" t="n"/>
      <c r="C1853" s="65" t="n"/>
      <c r="D1853" s="9" t="n"/>
      <c r="E1853" s="66">
        <f>IF($B1853="","",IF(LEFT($B1853,1)="━","⚠️ Chọn hạng mục cụ thể",$C1853*VLOOKUP($B1853,'4. CÀI ĐẶT'!$A$2:$H$32,2,FALSE)))</f>
        <v/>
      </c>
      <c r="F1853" s="67">
        <f>IF($B1853="",0,IF(LEFT($B1853,1)="━",0,$C1853*VLOOKUP($B1853,'4. CÀI ĐẶT'!$A$2:$H$32,3,FALSE)))</f>
        <v/>
      </c>
      <c r="G1853" s="67">
        <f>IF($B1853="",0,IF(LEFT($B1853,1)="━",0,$C1853*VLOOKUP($B1853,'4. CÀI ĐẶT'!$A$2:$H$32,4,FALSE)))</f>
        <v/>
      </c>
      <c r="H1853" s="67">
        <f>IF($B1853="",0,IF(LEFT($B1853,1)="━",0,$C1853*VLOOKUP($B1853,'4. CÀI ĐẶT'!$A$2:$H$32,5,FALSE)))</f>
        <v/>
      </c>
      <c r="I1853">
        <f>IF($B1853="","",IF(LEFT($B1853,1)="━","",VLOOKUP($B1853,'4. CÀI ĐẶT'!$A$2:$H$32,6,FALSE)))</f>
        <v/>
      </c>
      <c r="J1853" s="13">
        <f>IF($A1853="","",EOMONTH($A1853,0))</f>
        <v/>
      </c>
      <c r="K1853" s="67">
        <f>IF($B1853="",0,IF(LEFT($B1853,1)="━",0,$C1853*VLOOKUP($B1853,'4. CÀI ĐẶT'!$A$2:$H$32,7,FALSE)))</f>
        <v/>
      </c>
    </row>
    <row r="1854">
      <c r="A1854" s="8" t="n"/>
      <c r="B1854" s="9" t="n"/>
      <c r="C1854" s="65" t="n"/>
      <c r="D1854" s="9" t="n"/>
      <c r="E1854" s="66">
        <f>IF($B1854="","",IF(LEFT($B1854,1)="━","⚠️ Chọn hạng mục cụ thể",$C1854*VLOOKUP($B1854,'4. CÀI ĐẶT'!$A$2:$H$32,2,FALSE)))</f>
        <v/>
      </c>
      <c r="F1854" s="67">
        <f>IF($B1854="",0,IF(LEFT($B1854,1)="━",0,$C1854*VLOOKUP($B1854,'4. CÀI ĐẶT'!$A$2:$H$32,3,FALSE)))</f>
        <v/>
      </c>
      <c r="G1854" s="67">
        <f>IF($B1854="",0,IF(LEFT($B1854,1)="━",0,$C1854*VLOOKUP($B1854,'4. CÀI ĐẶT'!$A$2:$H$32,4,FALSE)))</f>
        <v/>
      </c>
      <c r="H1854" s="67">
        <f>IF($B1854="",0,IF(LEFT($B1854,1)="━",0,$C1854*VLOOKUP($B1854,'4. CÀI ĐẶT'!$A$2:$H$32,5,FALSE)))</f>
        <v/>
      </c>
      <c r="I1854">
        <f>IF($B1854="","",IF(LEFT($B1854,1)="━","",VLOOKUP($B1854,'4. CÀI ĐẶT'!$A$2:$H$32,6,FALSE)))</f>
        <v/>
      </c>
      <c r="J1854" s="13">
        <f>IF($A1854="","",EOMONTH($A1854,0))</f>
        <v/>
      </c>
      <c r="K1854" s="67">
        <f>IF($B1854="",0,IF(LEFT($B1854,1)="━",0,$C1854*VLOOKUP($B1854,'4. CÀI ĐẶT'!$A$2:$H$32,7,FALSE)))</f>
        <v/>
      </c>
    </row>
    <row r="1855">
      <c r="A1855" s="8" t="n"/>
      <c r="B1855" s="9" t="n"/>
      <c r="C1855" s="65" t="n"/>
      <c r="D1855" s="9" t="n"/>
      <c r="E1855" s="66">
        <f>IF($B1855="","",IF(LEFT($B1855,1)="━","⚠️ Chọn hạng mục cụ thể",$C1855*VLOOKUP($B1855,'4. CÀI ĐẶT'!$A$2:$H$32,2,FALSE)))</f>
        <v/>
      </c>
      <c r="F1855" s="67">
        <f>IF($B1855="",0,IF(LEFT($B1855,1)="━",0,$C1855*VLOOKUP($B1855,'4. CÀI ĐẶT'!$A$2:$H$32,3,FALSE)))</f>
        <v/>
      </c>
      <c r="G1855" s="67">
        <f>IF($B1855="",0,IF(LEFT($B1855,1)="━",0,$C1855*VLOOKUP($B1855,'4. CÀI ĐẶT'!$A$2:$H$32,4,FALSE)))</f>
        <v/>
      </c>
      <c r="H1855" s="67">
        <f>IF($B1855="",0,IF(LEFT($B1855,1)="━",0,$C1855*VLOOKUP($B1855,'4. CÀI ĐẶT'!$A$2:$H$32,5,FALSE)))</f>
        <v/>
      </c>
      <c r="I1855">
        <f>IF($B1855="","",IF(LEFT($B1855,1)="━","",VLOOKUP($B1855,'4. CÀI ĐẶT'!$A$2:$H$32,6,FALSE)))</f>
        <v/>
      </c>
      <c r="J1855" s="13">
        <f>IF($A1855="","",EOMONTH($A1855,0))</f>
        <v/>
      </c>
      <c r="K1855" s="67">
        <f>IF($B1855="",0,IF(LEFT($B1855,1)="━",0,$C1855*VLOOKUP($B1855,'4. CÀI ĐẶT'!$A$2:$H$32,7,FALSE)))</f>
        <v/>
      </c>
    </row>
    <row r="1856">
      <c r="A1856" s="8" t="n"/>
      <c r="B1856" s="9" t="n"/>
      <c r="C1856" s="65" t="n"/>
      <c r="D1856" s="9" t="n"/>
      <c r="E1856" s="66">
        <f>IF($B1856="","",IF(LEFT($B1856,1)="━","⚠️ Chọn hạng mục cụ thể",$C1856*VLOOKUP($B1856,'4. CÀI ĐẶT'!$A$2:$H$32,2,FALSE)))</f>
        <v/>
      </c>
      <c r="F1856" s="67">
        <f>IF($B1856="",0,IF(LEFT($B1856,1)="━",0,$C1856*VLOOKUP($B1856,'4. CÀI ĐẶT'!$A$2:$H$32,3,FALSE)))</f>
        <v/>
      </c>
      <c r="G1856" s="67">
        <f>IF($B1856="",0,IF(LEFT($B1856,1)="━",0,$C1856*VLOOKUP($B1856,'4. CÀI ĐẶT'!$A$2:$H$32,4,FALSE)))</f>
        <v/>
      </c>
      <c r="H1856" s="67">
        <f>IF($B1856="",0,IF(LEFT($B1856,1)="━",0,$C1856*VLOOKUP($B1856,'4. CÀI ĐẶT'!$A$2:$H$32,5,FALSE)))</f>
        <v/>
      </c>
      <c r="I1856">
        <f>IF($B1856="","",IF(LEFT($B1856,1)="━","",VLOOKUP($B1856,'4. CÀI ĐẶT'!$A$2:$H$32,6,FALSE)))</f>
        <v/>
      </c>
      <c r="J1856" s="13">
        <f>IF($A1856="","",EOMONTH($A1856,0))</f>
        <v/>
      </c>
      <c r="K1856" s="67">
        <f>IF($B1856="",0,IF(LEFT($B1856,1)="━",0,$C1856*VLOOKUP($B1856,'4. CÀI ĐẶT'!$A$2:$H$32,7,FALSE)))</f>
        <v/>
      </c>
    </row>
    <row r="1857">
      <c r="A1857" s="8" t="n"/>
      <c r="B1857" s="9" t="n"/>
      <c r="C1857" s="65" t="n"/>
      <c r="D1857" s="9" t="n"/>
      <c r="E1857" s="66">
        <f>IF($B1857="","",IF(LEFT($B1857,1)="━","⚠️ Chọn hạng mục cụ thể",$C1857*VLOOKUP($B1857,'4. CÀI ĐẶT'!$A$2:$H$32,2,FALSE)))</f>
        <v/>
      </c>
      <c r="F1857" s="67">
        <f>IF($B1857="",0,IF(LEFT($B1857,1)="━",0,$C1857*VLOOKUP($B1857,'4. CÀI ĐẶT'!$A$2:$H$32,3,FALSE)))</f>
        <v/>
      </c>
      <c r="G1857" s="67">
        <f>IF($B1857="",0,IF(LEFT($B1857,1)="━",0,$C1857*VLOOKUP($B1857,'4. CÀI ĐẶT'!$A$2:$H$32,4,FALSE)))</f>
        <v/>
      </c>
      <c r="H1857" s="67">
        <f>IF($B1857="",0,IF(LEFT($B1857,1)="━",0,$C1857*VLOOKUP($B1857,'4. CÀI ĐẶT'!$A$2:$H$32,5,FALSE)))</f>
        <v/>
      </c>
      <c r="I1857">
        <f>IF($B1857="","",IF(LEFT($B1857,1)="━","",VLOOKUP($B1857,'4. CÀI ĐẶT'!$A$2:$H$32,6,FALSE)))</f>
        <v/>
      </c>
      <c r="J1857" s="13">
        <f>IF($A1857="","",EOMONTH($A1857,0))</f>
        <v/>
      </c>
      <c r="K1857" s="67">
        <f>IF($B1857="",0,IF(LEFT($B1857,1)="━",0,$C1857*VLOOKUP($B1857,'4. CÀI ĐẶT'!$A$2:$H$32,7,FALSE)))</f>
        <v/>
      </c>
    </row>
    <row r="1858">
      <c r="A1858" s="8" t="n"/>
      <c r="B1858" s="9" t="n"/>
      <c r="C1858" s="65" t="n"/>
      <c r="D1858" s="9" t="n"/>
      <c r="E1858" s="66">
        <f>IF($B1858="","",IF(LEFT($B1858,1)="━","⚠️ Chọn hạng mục cụ thể",$C1858*VLOOKUP($B1858,'4. CÀI ĐẶT'!$A$2:$H$32,2,FALSE)))</f>
        <v/>
      </c>
      <c r="F1858" s="67">
        <f>IF($B1858="",0,IF(LEFT($B1858,1)="━",0,$C1858*VLOOKUP($B1858,'4. CÀI ĐẶT'!$A$2:$H$32,3,FALSE)))</f>
        <v/>
      </c>
      <c r="G1858" s="67">
        <f>IF($B1858="",0,IF(LEFT($B1858,1)="━",0,$C1858*VLOOKUP($B1858,'4. CÀI ĐẶT'!$A$2:$H$32,4,FALSE)))</f>
        <v/>
      </c>
      <c r="H1858" s="67">
        <f>IF($B1858="",0,IF(LEFT($B1858,1)="━",0,$C1858*VLOOKUP($B1858,'4. CÀI ĐẶT'!$A$2:$H$32,5,FALSE)))</f>
        <v/>
      </c>
      <c r="I1858">
        <f>IF($B1858="","",IF(LEFT($B1858,1)="━","",VLOOKUP($B1858,'4. CÀI ĐẶT'!$A$2:$H$32,6,FALSE)))</f>
        <v/>
      </c>
      <c r="J1858" s="13">
        <f>IF($A1858="","",EOMONTH($A1858,0))</f>
        <v/>
      </c>
      <c r="K1858" s="67">
        <f>IF($B1858="",0,IF(LEFT($B1858,1)="━",0,$C1858*VLOOKUP($B1858,'4. CÀI ĐẶT'!$A$2:$H$32,7,FALSE)))</f>
        <v/>
      </c>
    </row>
    <row r="1859">
      <c r="A1859" s="8" t="n"/>
      <c r="B1859" s="9" t="n"/>
      <c r="C1859" s="65" t="n"/>
      <c r="D1859" s="9" t="n"/>
      <c r="E1859" s="66">
        <f>IF($B1859="","",IF(LEFT($B1859,1)="━","⚠️ Chọn hạng mục cụ thể",$C1859*VLOOKUP($B1859,'4. CÀI ĐẶT'!$A$2:$H$32,2,FALSE)))</f>
        <v/>
      </c>
      <c r="F1859" s="67">
        <f>IF($B1859="",0,IF(LEFT($B1859,1)="━",0,$C1859*VLOOKUP($B1859,'4. CÀI ĐẶT'!$A$2:$H$32,3,FALSE)))</f>
        <v/>
      </c>
      <c r="G1859" s="67">
        <f>IF($B1859="",0,IF(LEFT($B1859,1)="━",0,$C1859*VLOOKUP($B1859,'4. CÀI ĐẶT'!$A$2:$H$32,4,FALSE)))</f>
        <v/>
      </c>
      <c r="H1859" s="67">
        <f>IF($B1859="",0,IF(LEFT($B1859,1)="━",0,$C1859*VLOOKUP($B1859,'4. CÀI ĐẶT'!$A$2:$H$32,5,FALSE)))</f>
        <v/>
      </c>
      <c r="I1859">
        <f>IF($B1859="","",IF(LEFT($B1859,1)="━","",VLOOKUP($B1859,'4. CÀI ĐẶT'!$A$2:$H$32,6,FALSE)))</f>
        <v/>
      </c>
      <c r="J1859" s="13">
        <f>IF($A1859="","",EOMONTH($A1859,0))</f>
        <v/>
      </c>
      <c r="K1859" s="67">
        <f>IF($B1859="",0,IF(LEFT($B1859,1)="━",0,$C1859*VLOOKUP($B1859,'4. CÀI ĐẶT'!$A$2:$H$32,7,FALSE)))</f>
        <v/>
      </c>
    </row>
    <row r="1860">
      <c r="A1860" s="8" t="n"/>
      <c r="B1860" s="9" t="n"/>
      <c r="C1860" s="65" t="n"/>
      <c r="D1860" s="9" t="n"/>
      <c r="E1860" s="66">
        <f>IF($B1860="","",IF(LEFT($B1860,1)="━","⚠️ Chọn hạng mục cụ thể",$C1860*VLOOKUP($B1860,'4. CÀI ĐẶT'!$A$2:$H$32,2,FALSE)))</f>
        <v/>
      </c>
      <c r="F1860" s="67">
        <f>IF($B1860="",0,IF(LEFT($B1860,1)="━",0,$C1860*VLOOKUP($B1860,'4. CÀI ĐẶT'!$A$2:$H$32,3,FALSE)))</f>
        <v/>
      </c>
      <c r="G1860" s="67">
        <f>IF($B1860="",0,IF(LEFT($B1860,1)="━",0,$C1860*VLOOKUP($B1860,'4. CÀI ĐẶT'!$A$2:$H$32,4,FALSE)))</f>
        <v/>
      </c>
      <c r="H1860" s="67">
        <f>IF($B1860="",0,IF(LEFT($B1860,1)="━",0,$C1860*VLOOKUP($B1860,'4. CÀI ĐẶT'!$A$2:$H$32,5,FALSE)))</f>
        <v/>
      </c>
      <c r="I1860">
        <f>IF($B1860="","",IF(LEFT($B1860,1)="━","",VLOOKUP($B1860,'4. CÀI ĐẶT'!$A$2:$H$32,6,FALSE)))</f>
        <v/>
      </c>
      <c r="J1860" s="13">
        <f>IF($A1860="","",EOMONTH($A1860,0))</f>
        <v/>
      </c>
      <c r="K1860" s="67">
        <f>IF($B1860="",0,IF(LEFT($B1860,1)="━",0,$C1860*VLOOKUP($B1860,'4. CÀI ĐẶT'!$A$2:$H$32,7,FALSE)))</f>
        <v/>
      </c>
    </row>
    <row r="1861">
      <c r="A1861" s="8" t="n"/>
      <c r="B1861" s="9" t="n"/>
      <c r="C1861" s="65" t="n"/>
      <c r="D1861" s="9" t="n"/>
      <c r="E1861" s="66">
        <f>IF($B1861="","",IF(LEFT($B1861,1)="━","⚠️ Chọn hạng mục cụ thể",$C1861*VLOOKUP($B1861,'4. CÀI ĐẶT'!$A$2:$H$32,2,FALSE)))</f>
        <v/>
      </c>
      <c r="F1861" s="67">
        <f>IF($B1861="",0,IF(LEFT($B1861,1)="━",0,$C1861*VLOOKUP($B1861,'4. CÀI ĐẶT'!$A$2:$H$32,3,FALSE)))</f>
        <v/>
      </c>
      <c r="G1861" s="67">
        <f>IF($B1861="",0,IF(LEFT($B1861,1)="━",0,$C1861*VLOOKUP($B1861,'4. CÀI ĐẶT'!$A$2:$H$32,4,FALSE)))</f>
        <v/>
      </c>
      <c r="H1861" s="67">
        <f>IF($B1861="",0,IF(LEFT($B1861,1)="━",0,$C1861*VLOOKUP($B1861,'4. CÀI ĐẶT'!$A$2:$H$32,5,FALSE)))</f>
        <v/>
      </c>
      <c r="I1861">
        <f>IF($B1861="","",IF(LEFT($B1861,1)="━","",VLOOKUP($B1861,'4. CÀI ĐẶT'!$A$2:$H$32,6,FALSE)))</f>
        <v/>
      </c>
      <c r="J1861" s="13">
        <f>IF($A1861="","",EOMONTH($A1861,0))</f>
        <v/>
      </c>
      <c r="K1861" s="67">
        <f>IF($B1861="",0,IF(LEFT($B1861,1)="━",0,$C1861*VLOOKUP($B1861,'4. CÀI ĐẶT'!$A$2:$H$32,7,FALSE)))</f>
        <v/>
      </c>
    </row>
    <row r="1862">
      <c r="A1862" s="8" t="n"/>
      <c r="B1862" s="9" t="n"/>
      <c r="C1862" s="65" t="n"/>
      <c r="D1862" s="9" t="n"/>
      <c r="E1862" s="66">
        <f>IF($B1862="","",IF(LEFT($B1862,1)="━","⚠️ Chọn hạng mục cụ thể",$C1862*VLOOKUP($B1862,'4. CÀI ĐẶT'!$A$2:$H$32,2,FALSE)))</f>
        <v/>
      </c>
      <c r="F1862" s="67">
        <f>IF($B1862="",0,IF(LEFT($B1862,1)="━",0,$C1862*VLOOKUP($B1862,'4. CÀI ĐẶT'!$A$2:$H$32,3,FALSE)))</f>
        <v/>
      </c>
      <c r="G1862" s="67">
        <f>IF($B1862="",0,IF(LEFT($B1862,1)="━",0,$C1862*VLOOKUP($B1862,'4. CÀI ĐẶT'!$A$2:$H$32,4,FALSE)))</f>
        <v/>
      </c>
      <c r="H1862" s="67">
        <f>IF($B1862="",0,IF(LEFT($B1862,1)="━",0,$C1862*VLOOKUP($B1862,'4. CÀI ĐẶT'!$A$2:$H$32,5,FALSE)))</f>
        <v/>
      </c>
      <c r="I1862">
        <f>IF($B1862="","",IF(LEFT($B1862,1)="━","",VLOOKUP($B1862,'4. CÀI ĐẶT'!$A$2:$H$32,6,FALSE)))</f>
        <v/>
      </c>
      <c r="J1862" s="13">
        <f>IF($A1862="","",EOMONTH($A1862,0))</f>
        <v/>
      </c>
      <c r="K1862" s="67">
        <f>IF($B1862="",0,IF(LEFT($B1862,1)="━",0,$C1862*VLOOKUP($B1862,'4. CÀI ĐẶT'!$A$2:$H$32,7,FALSE)))</f>
        <v/>
      </c>
    </row>
    <row r="1863">
      <c r="A1863" s="8" t="n"/>
      <c r="B1863" s="9" t="n"/>
      <c r="C1863" s="65" t="n"/>
      <c r="D1863" s="9" t="n"/>
      <c r="E1863" s="66">
        <f>IF($B1863="","",IF(LEFT($B1863,1)="━","⚠️ Chọn hạng mục cụ thể",$C1863*VLOOKUP($B1863,'4. CÀI ĐẶT'!$A$2:$H$32,2,FALSE)))</f>
        <v/>
      </c>
      <c r="F1863" s="67">
        <f>IF($B1863="",0,IF(LEFT($B1863,1)="━",0,$C1863*VLOOKUP($B1863,'4. CÀI ĐẶT'!$A$2:$H$32,3,FALSE)))</f>
        <v/>
      </c>
      <c r="G1863" s="67">
        <f>IF($B1863="",0,IF(LEFT($B1863,1)="━",0,$C1863*VLOOKUP($B1863,'4. CÀI ĐẶT'!$A$2:$H$32,4,FALSE)))</f>
        <v/>
      </c>
      <c r="H1863" s="67">
        <f>IF($B1863="",0,IF(LEFT($B1863,1)="━",0,$C1863*VLOOKUP($B1863,'4. CÀI ĐẶT'!$A$2:$H$32,5,FALSE)))</f>
        <v/>
      </c>
      <c r="I1863">
        <f>IF($B1863="","",IF(LEFT($B1863,1)="━","",VLOOKUP($B1863,'4. CÀI ĐẶT'!$A$2:$H$32,6,FALSE)))</f>
        <v/>
      </c>
      <c r="J1863" s="13">
        <f>IF($A1863="","",EOMONTH($A1863,0))</f>
        <v/>
      </c>
      <c r="K1863" s="67">
        <f>IF($B1863="",0,IF(LEFT($B1863,1)="━",0,$C1863*VLOOKUP($B1863,'4. CÀI ĐẶT'!$A$2:$H$32,7,FALSE)))</f>
        <v/>
      </c>
    </row>
    <row r="1864">
      <c r="A1864" s="8" t="n"/>
      <c r="B1864" s="9" t="n"/>
      <c r="C1864" s="65" t="n"/>
      <c r="D1864" s="9" t="n"/>
      <c r="E1864" s="66">
        <f>IF($B1864="","",IF(LEFT($B1864,1)="━","⚠️ Chọn hạng mục cụ thể",$C1864*VLOOKUP($B1864,'4. CÀI ĐẶT'!$A$2:$H$32,2,FALSE)))</f>
        <v/>
      </c>
      <c r="F1864" s="67">
        <f>IF($B1864="",0,IF(LEFT($B1864,1)="━",0,$C1864*VLOOKUP($B1864,'4. CÀI ĐẶT'!$A$2:$H$32,3,FALSE)))</f>
        <v/>
      </c>
      <c r="G1864" s="67">
        <f>IF($B1864="",0,IF(LEFT($B1864,1)="━",0,$C1864*VLOOKUP($B1864,'4. CÀI ĐẶT'!$A$2:$H$32,4,FALSE)))</f>
        <v/>
      </c>
      <c r="H1864" s="67">
        <f>IF($B1864="",0,IF(LEFT($B1864,1)="━",0,$C1864*VLOOKUP($B1864,'4. CÀI ĐẶT'!$A$2:$H$32,5,FALSE)))</f>
        <v/>
      </c>
      <c r="I1864">
        <f>IF($B1864="","",IF(LEFT($B1864,1)="━","",VLOOKUP($B1864,'4. CÀI ĐẶT'!$A$2:$H$32,6,FALSE)))</f>
        <v/>
      </c>
      <c r="J1864" s="13">
        <f>IF($A1864="","",EOMONTH($A1864,0))</f>
        <v/>
      </c>
      <c r="K1864" s="67">
        <f>IF($B1864="",0,IF(LEFT($B1864,1)="━",0,$C1864*VLOOKUP($B1864,'4. CÀI ĐẶT'!$A$2:$H$32,7,FALSE)))</f>
        <v/>
      </c>
    </row>
    <row r="1865">
      <c r="A1865" s="8" t="n"/>
      <c r="B1865" s="9" t="n"/>
      <c r="C1865" s="65" t="n"/>
      <c r="D1865" s="9" t="n"/>
      <c r="E1865" s="66">
        <f>IF($B1865="","",IF(LEFT($B1865,1)="━","⚠️ Chọn hạng mục cụ thể",$C1865*VLOOKUP($B1865,'4. CÀI ĐẶT'!$A$2:$H$32,2,FALSE)))</f>
        <v/>
      </c>
      <c r="F1865" s="67">
        <f>IF($B1865="",0,IF(LEFT($B1865,1)="━",0,$C1865*VLOOKUP($B1865,'4. CÀI ĐẶT'!$A$2:$H$32,3,FALSE)))</f>
        <v/>
      </c>
      <c r="G1865" s="67">
        <f>IF($B1865="",0,IF(LEFT($B1865,1)="━",0,$C1865*VLOOKUP($B1865,'4. CÀI ĐẶT'!$A$2:$H$32,4,FALSE)))</f>
        <v/>
      </c>
      <c r="H1865" s="67">
        <f>IF($B1865="",0,IF(LEFT($B1865,1)="━",0,$C1865*VLOOKUP($B1865,'4. CÀI ĐẶT'!$A$2:$H$32,5,FALSE)))</f>
        <v/>
      </c>
      <c r="I1865">
        <f>IF($B1865="","",IF(LEFT($B1865,1)="━","",VLOOKUP($B1865,'4. CÀI ĐẶT'!$A$2:$H$32,6,FALSE)))</f>
        <v/>
      </c>
      <c r="J1865" s="13">
        <f>IF($A1865="","",EOMONTH($A1865,0))</f>
        <v/>
      </c>
      <c r="K1865" s="67">
        <f>IF($B1865="",0,IF(LEFT($B1865,1)="━",0,$C1865*VLOOKUP($B1865,'4. CÀI ĐẶT'!$A$2:$H$32,7,FALSE)))</f>
        <v/>
      </c>
    </row>
    <row r="1866">
      <c r="A1866" s="8" t="n"/>
      <c r="B1866" s="9" t="n"/>
      <c r="C1866" s="65" t="n"/>
      <c r="D1866" s="9" t="n"/>
      <c r="E1866" s="66">
        <f>IF($B1866="","",IF(LEFT($B1866,1)="━","⚠️ Chọn hạng mục cụ thể",$C1866*VLOOKUP($B1866,'4. CÀI ĐẶT'!$A$2:$H$32,2,FALSE)))</f>
        <v/>
      </c>
      <c r="F1866" s="67">
        <f>IF($B1866="",0,IF(LEFT($B1866,1)="━",0,$C1866*VLOOKUP($B1866,'4. CÀI ĐẶT'!$A$2:$H$32,3,FALSE)))</f>
        <v/>
      </c>
      <c r="G1866" s="67">
        <f>IF($B1866="",0,IF(LEFT($B1866,1)="━",0,$C1866*VLOOKUP($B1866,'4. CÀI ĐẶT'!$A$2:$H$32,4,FALSE)))</f>
        <v/>
      </c>
      <c r="H1866" s="67">
        <f>IF($B1866="",0,IF(LEFT($B1866,1)="━",0,$C1866*VLOOKUP($B1866,'4. CÀI ĐẶT'!$A$2:$H$32,5,FALSE)))</f>
        <v/>
      </c>
      <c r="I1866">
        <f>IF($B1866="","",IF(LEFT($B1866,1)="━","",VLOOKUP($B1866,'4. CÀI ĐẶT'!$A$2:$H$32,6,FALSE)))</f>
        <v/>
      </c>
      <c r="J1866" s="13">
        <f>IF($A1866="","",EOMONTH($A1866,0))</f>
        <v/>
      </c>
      <c r="K1866" s="67">
        <f>IF($B1866="",0,IF(LEFT($B1866,1)="━",0,$C1866*VLOOKUP($B1866,'4. CÀI ĐẶT'!$A$2:$H$32,7,FALSE)))</f>
        <v/>
      </c>
    </row>
    <row r="1867">
      <c r="A1867" s="8" t="n"/>
      <c r="B1867" s="9" t="n"/>
      <c r="C1867" s="65" t="n"/>
      <c r="D1867" s="9" t="n"/>
      <c r="E1867" s="66">
        <f>IF($B1867="","",IF(LEFT($B1867,1)="━","⚠️ Chọn hạng mục cụ thể",$C1867*VLOOKUP($B1867,'4. CÀI ĐẶT'!$A$2:$H$32,2,FALSE)))</f>
        <v/>
      </c>
      <c r="F1867" s="67">
        <f>IF($B1867="",0,IF(LEFT($B1867,1)="━",0,$C1867*VLOOKUP($B1867,'4. CÀI ĐẶT'!$A$2:$H$32,3,FALSE)))</f>
        <v/>
      </c>
      <c r="G1867" s="67">
        <f>IF($B1867="",0,IF(LEFT($B1867,1)="━",0,$C1867*VLOOKUP($B1867,'4. CÀI ĐẶT'!$A$2:$H$32,4,FALSE)))</f>
        <v/>
      </c>
      <c r="H1867" s="67">
        <f>IF($B1867="",0,IF(LEFT($B1867,1)="━",0,$C1867*VLOOKUP($B1867,'4. CÀI ĐẶT'!$A$2:$H$32,5,FALSE)))</f>
        <v/>
      </c>
      <c r="I1867">
        <f>IF($B1867="","",IF(LEFT($B1867,1)="━","",VLOOKUP($B1867,'4. CÀI ĐẶT'!$A$2:$H$32,6,FALSE)))</f>
        <v/>
      </c>
      <c r="J1867" s="13">
        <f>IF($A1867="","",EOMONTH($A1867,0))</f>
        <v/>
      </c>
      <c r="K1867" s="67">
        <f>IF($B1867="",0,IF(LEFT($B1867,1)="━",0,$C1867*VLOOKUP($B1867,'4. CÀI ĐẶT'!$A$2:$H$32,7,FALSE)))</f>
        <v/>
      </c>
    </row>
    <row r="1868">
      <c r="A1868" s="8" t="n"/>
      <c r="B1868" s="9" t="n"/>
      <c r="C1868" s="65" t="n"/>
      <c r="D1868" s="9" t="n"/>
      <c r="E1868" s="66">
        <f>IF($B1868="","",IF(LEFT($B1868,1)="━","⚠️ Chọn hạng mục cụ thể",$C1868*VLOOKUP($B1868,'4. CÀI ĐẶT'!$A$2:$H$32,2,FALSE)))</f>
        <v/>
      </c>
      <c r="F1868" s="67">
        <f>IF($B1868="",0,IF(LEFT($B1868,1)="━",0,$C1868*VLOOKUP($B1868,'4. CÀI ĐẶT'!$A$2:$H$32,3,FALSE)))</f>
        <v/>
      </c>
      <c r="G1868" s="67">
        <f>IF($B1868="",0,IF(LEFT($B1868,1)="━",0,$C1868*VLOOKUP($B1868,'4. CÀI ĐẶT'!$A$2:$H$32,4,FALSE)))</f>
        <v/>
      </c>
      <c r="H1868" s="67">
        <f>IF($B1868="",0,IF(LEFT($B1868,1)="━",0,$C1868*VLOOKUP($B1868,'4. CÀI ĐẶT'!$A$2:$H$32,5,FALSE)))</f>
        <v/>
      </c>
      <c r="I1868">
        <f>IF($B1868="","",IF(LEFT($B1868,1)="━","",VLOOKUP($B1868,'4. CÀI ĐẶT'!$A$2:$H$32,6,FALSE)))</f>
        <v/>
      </c>
      <c r="J1868" s="13">
        <f>IF($A1868="","",EOMONTH($A1868,0))</f>
        <v/>
      </c>
      <c r="K1868" s="67">
        <f>IF($B1868="",0,IF(LEFT($B1868,1)="━",0,$C1868*VLOOKUP($B1868,'4. CÀI ĐẶT'!$A$2:$H$32,7,FALSE)))</f>
        <v/>
      </c>
    </row>
    <row r="1869">
      <c r="A1869" s="8" t="n"/>
      <c r="B1869" s="9" t="n"/>
      <c r="C1869" s="65" t="n"/>
      <c r="D1869" s="9" t="n"/>
      <c r="E1869" s="66">
        <f>IF($B1869="","",IF(LEFT($B1869,1)="━","⚠️ Chọn hạng mục cụ thể",$C1869*VLOOKUP($B1869,'4. CÀI ĐẶT'!$A$2:$H$32,2,FALSE)))</f>
        <v/>
      </c>
      <c r="F1869" s="67">
        <f>IF($B1869="",0,IF(LEFT($B1869,1)="━",0,$C1869*VLOOKUP($B1869,'4. CÀI ĐẶT'!$A$2:$H$32,3,FALSE)))</f>
        <v/>
      </c>
      <c r="G1869" s="67">
        <f>IF($B1869="",0,IF(LEFT($B1869,1)="━",0,$C1869*VLOOKUP($B1869,'4. CÀI ĐẶT'!$A$2:$H$32,4,FALSE)))</f>
        <v/>
      </c>
      <c r="H1869" s="67">
        <f>IF($B1869="",0,IF(LEFT($B1869,1)="━",0,$C1869*VLOOKUP($B1869,'4. CÀI ĐẶT'!$A$2:$H$32,5,FALSE)))</f>
        <v/>
      </c>
      <c r="I1869">
        <f>IF($B1869="","",IF(LEFT($B1869,1)="━","",VLOOKUP($B1869,'4. CÀI ĐẶT'!$A$2:$H$32,6,FALSE)))</f>
        <v/>
      </c>
      <c r="J1869" s="13">
        <f>IF($A1869="","",EOMONTH($A1869,0))</f>
        <v/>
      </c>
      <c r="K1869" s="67">
        <f>IF($B1869="",0,IF(LEFT($B1869,1)="━",0,$C1869*VLOOKUP($B1869,'4. CÀI ĐẶT'!$A$2:$H$32,7,FALSE)))</f>
        <v/>
      </c>
    </row>
    <row r="1870">
      <c r="A1870" s="8" t="n"/>
      <c r="B1870" s="9" t="n"/>
      <c r="C1870" s="65" t="n"/>
      <c r="D1870" s="9" t="n"/>
      <c r="E1870" s="66">
        <f>IF($B1870="","",IF(LEFT($B1870,1)="━","⚠️ Chọn hạng mục cụ thể",$C1870*VLOOKUP($B1870,'4. CÀI ĐẶT'!$A$2:$H$32,2,FALSE)))</f>
        <v/>
      </c>
      <c r="F1870" s="67">
        <f>IF($B1870="",0,IF(LEFT($B1870,1)="━",0,$C1870*VLOOKUP($B1870,'4. CÀI ĐẶT'!$A$2:$H$32,3,FALSE)))</f>
        <v/>
      </c>
      <c r="G1870" s="67">
        <f>IF($B1870="",0,IF(LEFT($B1870,1)="━",0,$C1870*VLOOKUP($B1870,'4. CÀI ĐẶT'!$A$2:$H$32,4,FALSE)))</f>
        <v/>
      </c>
      <c r="H1870" s="67">
        <f>IF($B1870="",0,IF(LEFT($B1870,1)="━",0,$C1870*VLOOKUP($B1870,'4. CÀI ĐẶT'!$A$2:$H$32,5,FALSE)))</f>
        <v/>
      </c>
      <c r="I1870">
        <f>IF($B1870="","",IF(LEFT($B1870,1)="━","",VLOOKUP($B1870,'4. CÀI ĐẶT'!$A$2:$H$32,6,FALSE)))</f>
        <v/>
      </c>
      <c r="J1870" s="13">
        <f>IF($A1870="","",EOMONTH($A1870,0))</f>
        <v/>
      </c>
      <c r="K1870" s="67">
        <f>IF($B1870="",0,IF(LEFT($B1870,1)="━",0,$C1870*VLOOKUP($B1870,'4. CÀI ĐẶT'!$A$2:$H$32,7,FALSE)))</f>
        <v/>
      </c>
    </row>
    <row r="1871">
      <c r="A1871" s="8" t="n"/>
      <c r="B1871" s="9" t="n"/>
      <c r="C1871" s="65" t="n"/>
      <c r="D1871" s="9" t="n"/>
      <c r="E1871" s="66">
        <f>IF($B1871="","",IF(LEFT($B1871,1)="━","⚠️ Chọn hạng mục cụ thể",$C1871*VLOOKUP($B1871,'4. CÀI ĐẶT'!$A$2:$H$32,2,FALSE)))</f>
        <v/>
      </c>
      <c r="F1871" s="67">
        <f>IF($B1871="",0,IF(LEFT($B1871,1)="━",0,$C1871*VLOOKUP($B1871,'4. CÀI ĐẶT'!$A$2:$H$32,3,FALSE)))</f>
        <v/>
      </c>
      <c r="G1871" s="67">
        <f>IF($B1871="",0,IF(LEFT($B1871,1)="━",0,$C1871*VLOOKUP($B1871,'4. CÀI ĐẶT'!$A$2:$H$32,4,FALSE)))</f>
        <v/>
      </c>
      <c r="H1871" s="67">
        <f>IF($B1871="",0,IF(LEFT($B1871,1)="━",0,$C1871*VLOOKUP($B1871,'4. CÀI ĐẶT'!$A$2:$H$32,5,FALSE)))</f>
        <v/>
      </c>
      <c r="I1871">
        <f>IF($B1871="","",IF(LEFT($B1871,1)="━","",VLOOKUP($B1871,'4. CÀI ĐẶT'!$A$2:$H$32,6,FALSE)))</f>
        <v/>
      </c>
      <c r="J1871" s="13">
        <f>IF($A1871="","",EOMONTH($A1871,0))</f>
        <v/>
      </c>
      <c r="K1871" s="67">
        <f>IF($B1871="",0,IF(LEFT($B1871,1)="━",0,$C1871*VLOOKUP($B1871,'4. CÀI ĐẶT'!$A$2:$H$32,7,FALSE)))</f>
        <v/>
      </c>
    </row>
    <row r="1872">
      <c r="A1872" s="8" t="n"/>
      <c r="B1872" s="9" t="n"/>
      <c r="C1872" s="65" t="n"/>
      <c r="D1872" s="9" t="n"/>
      <c r="E1872" s="66">
        <f>IF($B1872="","",IF(LEFT($B1872,1)="━","⚠️ Chọn hạng mục cụ thể",$C1872*VLOOKUP($B1872,'4. CÀI ĐẶT'!$A$2:$H$32,2,FALSE)))</f>
        <v/>
      </c>
      <c r="F1872" s="67">
        <f>IF($B1872="",0,IF(LEFT($B1872,1)="━",0,$C1872*VLOOKUP($B1872,'4. CÀI ĐẶT'!$A$2:$H$32,3,FALSE)))</f>
        <v/>
      </c>
      <c r="G1872" s="67">
        <f>IF($B1872="",0,IF(LEFT($B1872,1)="━",0,$C1872*VLOOKUP($B1872,'4. CÀI ĐẶT'!$A$2:$H$32,4,FALSE)))</f>
        <v/>
      </c>
      <c r="H1872" s="67">
        <f>IF($B1872="",0,IF(LEFT($B1872,1)="━",0,$C1872*VLOOKUP($B1872,'4. CÀI ĐẶT'!$A$2:$H$32,5,FALSE)))</f>
        <v/>
      </c>
      <c r="I1872">
        <f>IF($B1872="","",IF(LEFT($B1872,1)="━","",VLOOKUP($B1872,'4. CÀI ĐẶT'!$A$2:$H$32,6,FALSE)))</f>
        <v/>
      </c>
      <c r="J1872" s="13">
        <f>IF($A1872="","",EOMONTH($A1872,0))</f>
        <v/>
      </c>
      <c r="K1872" s="67">
        <f>IF($B1872="",0,IF(LEFT($B1872,1)="━",0,$C1872*VLOOKUP($B1872,'4. CÀI ĐẶT'!$A$2:$H$32,7,FALSE)))</f>
        <v/>
      </c>
    </row>
    <row r="1873">
      <c r="A1873" s="8" t="n"/>
      <c r="B1873" s="9" t="n"/>
      <c r="C1873" s="65" t="n"/>
      <c r="D1873" s="9" t="n"/>
      <c r="E1873" s="66">
        <f>IF($B1873="","",IF(LEFT($B1873,1)="━","⚠️ Chọn hạng mục cụ thể",$C1873*VLOOKUP($B1873,'4. CÀI ĐẶT'!$A$2:$H$32,2,FALSE)))</f>
        <v/>
      </c>
      <c r="F1873" s="67">
        <f>IF($B1873="",0,IF(LEFT($B1873,1)="━",0,$C1873*VLOOKUP($B1873,'4. CÀI ĐẶT'!$A$2:$H$32,3,FALSE)))</f>
        <v/>
      </c>
      <c r="G1873" s="67">
        <f>IF($B1873="",0,IF(LEFT($B1873,1)="━",0,$C1873*VLOOKUP($B1873,'4. CÀI ĐẶT'!$A$2:$H$32,4,FALSE)))</f>
        <v/>
      </c>
      <c r="H1873" s="67">
        <f>IF($B1873="",0,IF(LEFT($B1873,1)="━",0,$C1873*VLOOKUP($B1873,'4. CÀI ĐẶT'!$A$2:$H$32,5,FALSE)))</f>
        <v/>
      </c>
      <c r="I1873">
        <f>IF($B1873="","",IF(LEFT($B1873,1)="━","",VLOOKUP($B1873,'4. CÀI ĐẶT'!$A$2:$H$32,6,FALSE)))</f>
        <v/>
      </c>
      <c r="J1873" s="13">
        <f>IF($A1873="","",EOMONTH($A1873,0))</f>
        <v/>
      </c>
      <c r="K1873" s="67">
        <f>IF($B1873="",0,IF(LEFT($B1873,1)="━",0,$C1873*VLOOKUP($B1873,'4. CÀI ĐẶT'!$A$2:$H$32,7,FALSE)))</f>
        <v/>
      </c>
    </row>
    <row r="1874">
      <c r="A1874" s="8" t="n"/>
      <c r="B1874" s="9" t="n"/>
      <c r="C1874" s="65" t="n"/>
      <c r="D1874" s="9" t="n"/>
      <c r="E1874" s="66">
        <f>IF($B1874="","",IF(LEFT($B1874,1)="━","⚠️ Chọn hạng mục cụ thể",$C1874*VLOOKUP($B1874,'4. CÀI ĐẶT'!$A$2:$H$32,2,FALSE)))</f>
        <v/>
      </c>
      <c r="F1874" s="67">
        <f>IF($B1874="",0,IF(LEFT($B1874,1)="━",0,$C1874*VLOOKUP($B1874,'4. CÀI ĐẶT'!$A$2:$H$32,3,FALSE)))</f>
        <v/>
      </c>
      <c r="G1874" s="67">
        <f>IF($B1874="",0,IF(LEFT($B1874,1)="━",0,$C1874*VLOOKUP($B1874,'4. CÀI ĐẶT'!$A$2:$H$32,4,FALSE)))</f>
        <v/>
      </c>
      <c r="H1874" s="67">
        <f>IF($B1874="",0,IF(LEFT($B1874,1)="━",0,$C1874*VLOOKUP($B1874,'4. CÀI ĐẶT'!$A$2:$H$32,5,FALSE)))</f>
        <v/>
      </c>
      <c r="I1874">
        <f>IF($B1874="","",IF(LEFT($B1874,1)="━","",VLOOKUP($B1874,'4. CÀI ĐẶT'!$A$2:$H$32,6,FALSE)))</f>
        <v/>
      </c>
      <c r="J1874" s="13">
        <f>IF($A1874="","",EOMONTH($A1874,0))</f>
        <v/>
      </c>
      <c r="K1874" s="67">
        <f>IF($B1874="",0,IF(LEFT($B1874,1)="━",0,$C1874*VLOOKUP($B1874,'4. CÀI ĐẶT'!$A$2:$H$32,7,FALSE)))</f>
        <v/>
      </c>
    </row>
    <row r="1875">
      <c r="A1875" s="8" t="n"/>
      <c r="B1875" s="9" t="n"/>
      <c r="C1875" s="65" t="n"/>
      <c r="D1875" s="9" t="n"/>
      <c r="E1875" s="66">
        <f>IF($B1875="","",IF(LEFT($B1875,1)="━","⚠️ Chọn hạng mục cụ thể",$C1875*VLOOKUP($B1875,'4. CÀI ĐẶT'!$A$2:$H$32,2,FALSE)))</f>
        <v/>
      </c>
      <c r="F1875" s="67">
        <f>IF($B1875="",0,IF(LEFT($B1875,1)="━",0,$C1875*VLOOKUP($B1875,'4. CÀI ĐẶT'!$A$2:$H$32,3,FALSE)))</f>
        <v/>
      </c>
      <c r="G1875" s="67">
        <f>IF($B1875="",0,IF(LEFT($B1875,1)="━",0,$C1875*VLOOKUP($B1875,'4. CÀI ĐẶT'!$A$2:$H$32,4,FALSE)))</f>
        <v/>
      </c>
      <c r="H1875" s="67">
        <f>IF($B1875="",0,IF(LEFT($B1875,1)="━",0,$C1875*VLOOKUP($B1875,'4. CÀI ĐẶT'!$A$2:$H$32,5,FALSE)))</f>
        <v/>
      </c>
      <c r="I1875">
        <f>IF($B1875="","",IF(LEFT($B1875,1)="━","",VLOOKUP($B1875,'4. CÀI ĐẶT'!$A$2:$H$32,6,FALSE)))</f>
        <v/>
      </c>
      <c r="J1875" s="13">
        <f>IF($A1875="","",EOMONTH($A1875,0))</f>
        <v/>
      </c>
      <c r="K1875" s="67">
        <f>IF($B1875="",0,IF(LEFT($B1875,1)="━",0,$C1875*VLOOKUP($B1875,'4. CÀI ĐẶT'!$A$2:$H$32,7,FALSE)))</f>
        <v/>
      </c>
    </row>
    <row r="1876">
      <c r="A1876" s="8" t="n"/>
      <c r="B1876" s="9" t="n"/>
      <c r="C1876" s="65" t="n"/>
      <c r="D1876" s="9" t="n"/>
      <c r="E1876" s="66">
        <f>IF($B1876="","",IF(LEFT($B1876,1)="━","⚠️ Chọn hạng mục cụ thể",$C1876*VLOOKUP($B1876,'4. CÀI ĐẶT'!$A$2:$H$32,2,FALSE)))</f>
        <v/>
      </c>
      <c r="F1876" s="67">
        <f>IF($B1876="",0,IF(LEFT($B1876,1)="━",0,$C1876*VLOOKUP($B1876,'4. CÀI ĐẶT'!$A$2:$H$32,3,FALSE)))</f>
        <v/>
      </c>
      <c r="G1876" s="67">
        <f>IF($B1876="",0,IF(LEFT($B1876,1)="━",0,$C1876*VLOOKUP($B1876,'4. CÀI ĐẶT'!$A$2:$H$32,4,FALSE)))</f>
        <v/>
      </c>
      <c r="H1876" s="67">
        <f>IF($B1876="",0,IF(LEFT($B1876,1)="━",0,$C1876*VLOOKUP($B1876,'4. CÀI ĐẶT'!$A$2:$H$32,5,FALSE)))</f>
        <v/>
      </c>
      <c r="I1876">
        <f>IF($B1876="","",IF(LEFT($B1876,1)="━","",VLOOKUP($B1876,'4. CÀI ĐẶT'!$A$2:$H$32,6,FALSE)))</f>
        <v/>
      </c>
      <c r="J1876" s="13">
        <f>IF($A1876="","",EOMONTH($A1876,0))</f>
        <v/>
      </c>
      <c r="K1876" s="67">
        <f>IF($B1876="",0,IF(LEFT($B1876,1)="━",0,$C1876*VLOOKUP($B1876,'4. CÀI ĐẶT'!$A$2:$H$32,7,FALSE)))</f>
        <v/>
      </c>
    </row>
    <row r="1877">
      <c r="A1877" s="8" t="n"/>
      <c r="B1877" s="9" t="n"/>
      <c r="C1877" s="65" t="n"/>
      <c r="D1877" s="9" t="n"/>
      <c r="E1877" s="66">
        <f>IF($B1877="","",IF(LEFT($B1877,1)="━","⚠️ Chọn hạng mục cụ thể",$C1877*VLOOKUP($B1877,'4. CÀI ĐẶT'!$A$2:$H$32,2,FALSE)))</f>
        <v/>
      </c>
      <c r="F1877" s="67">
        <f>IF($B1877="",0,IF(LEFT($B1877,1)="━",0,$C1877*VLOOKUP($B1877,'4. CÀI ĐẶT'!$A$2:$H$32,3,FALSE)))</f>
        <v/>
      </c>
      <c r="G1877" s="67">
        <f>IF($B1877="",0,IF(LEFT($B1877,1)="━",0,$C1877*VLOOKUP($B1877,'4. CÀI ĐẶT'!$A$2:$H$32,4,FALSE)))</f>
        <v/>
      </c>
      <c r="H1877" s="67">
        <f>IF($B1877="",0,IF(LEFT($B1877,1)="━",0,$C1877*VLOOKUP($B1877,'4. CÀI ĐẶT'!$A$2:$H$32,5,FALSE)))</f>
        <v/>
      </c>
      <c r="I1877">
        <f>IF($B1877="","",IF(LEFT($B1877,1)="━","",VLOOKUP($B1877,'4. CÀI ĐẶT'!$A$2:$H$32,6,FALSE)))</f>
        <v/>
      </c>
      <c r="J1877" s="13">
        <f>IF($A1877="","",EOMONTH($A1877,0))</f>
        <v/>
      </c>
      <c r="K1877" s="67">
        <f>IF($B1877="",0,IF(LEFT($B1877,1)="━",0,$C1877*VLOOKUP($B1877,'4. CÀI ĐẶT'!$A$2:$H$32,7,FALSE)))</f>
        <v/>
      </c>
    </row>
    <row r="1878">
      <c r="A1878" s="8" t="n"/>
      <c r="B1878" s="9" t="n"/>
      <c r="C1878" s="65" t="n"/>
      <c r="D1878" s="9" t="n"/>
      <c r="E1878" s="66">
        <f>IF($B1878="","",IF(LEFT($B1878,1)="━","⚠️ Chọn hạng mục cụ thể",$C1878*VLOOKUP($B1878,'4. CÀI ĐẶT'!$A$2:$H$32,2,FALSE)))</f>
        <v/>
      </c>
      <c r="F1878" s="67">
        <f>IF($B1878="",0,IF(LEFT($B1878,1)="━",0,$C1878*VLOOKUP($B1878,'4. CÀI ĐẶT'!$A$2:$H$32,3,FALSE)))</f>
        <v/>
      </c>
      <c r="G1878" s="67">
        <f>IF($B1878="",0,IF(LEFT($B1878,1)="━",0,$C1878*VLOOKUP($B1878,'4. CÀI ĐẶT'!$A$2:$H$32,4,FALSE)))</f>
        <v/>
      </c>
      <c r="H1878" s="67">
        <f>IF($B1878="",0,IF(LEFT($B1878,1)="━",0,$C1878*VLOOKUP($B1878,'4. CÀI ĐẶT'!$A$2:$H$32,5,FALSE)))</f>
        <v/>
      </c>
      <c r="I1878">
        <f>IF($B1878="","",IF(LEFT($B1878,1)="━","",VLOOKUP($B1878,'4. CÀI ĐẶT'!$A$2:$H$32,6,FALSE)))</f>
        <v/>
      </c>
      <c r="J1878" s="13">
        <f>IF($A1878="","",EOMONTH($A1878,0))</f>
        <v/>
      </c>
      <c r="K1878" s="67">
        <f>IF($B1878="",0,IF(LEFT($B1878,1)="━",0,$C1878*VLOOKUP($B1878,'4. CÀI ĐẶT'!$A$2:$H$32,7,FALSE)))</f>
        <v/>
      </c>
    </row>
    <row r="1879">
      <c r="A1879" s="8" t="n"/>
      <c r="B1879" s="9" t="n"/>
      <c r="C1879" s="65" t="n"/>
      <c r="D1879" s="9" t="n"/>
      <c r="E1879" s="66">
        <f>IF($B1879="","",IF(LEFT($B1879,1)="━","⚠️ Chọn hạng mục cụ thể",$C1879*VLOOKUP($B1879,'4. CÀI ĐẶT'!$A$2:$H$32,2,FALSE)))</f>
        <v/>
      </c>
      <c r="F1879" s="67">
        <f>IF($B1879="",0,IF(LEFT($B1879,1)="━",0,$C1879*VLOOKUP($B1879,'4. CÀI ĐẶT'!$A$2:$H$32,3,FALSE)))</f>
        <v/>
      </c>
      <c r="G1879" s="67">
        <f>IF($B1879="",0,IF(LEFT($B1879,1)="━",0,$C1879*VLOOKUP($B1879,'4. CÀI ĐẶT'!$A$2:$H$32,4,FALSE)))</f>
        <v/>
      </c>
      <c r="H1879" s="67">
        <f>IF($B1879="",0,IF(LEFT($B1879,1)="━",0,$C1879*VLOOKUP($B1879,'4. CÀI ĐẶT'!$A$2:$H$32,5,FALSE)))</f>
        <v/>
      </c>
      <c r="I1879">
        <f>IF($B1879="","",IF(LEFT($B1879,1)="━","",VLOOKUP($B1879,'4. CÀI ĐẶT'!$A$2:$H$32,6,FALSE)))</f>
        <v/>
      </c>
      <c r="J1879" s="13">
        <f>IF($A1879="","",EOMONTH($A1879,0))</f>
        <v/>
      </c>
      <c r="K1879" s="67">
        <f>IF($B1879="",0,IF(LEFT($B1879,1)="━",0,$C1879*VLOOKUP($B1879,'4. CÀI ĐẶT'!$A$2:$H$32,7,FALSE)))</f>
        <v/>
      </c>
    </row>
    <row r="1880">
      <c r="A1880" s="8" t="n"/>
      <c r="B1880" s="9" t="n"/>
      <c r="C1880" s="65" t="n"/>
      <c r="D1880" s="9" t="n"/>
      <c r="E1880" s="66">
        <f>IF($B1880="","",IF(LEFT($B1880,1)="━","⚠️ Chọn hạng mục cụ thể",$C1880*VLOOKUP($B1880,'4. CÀI ĐẶT'!$A$2:$H$32,2,FALSE)))</f>
        <v/>
      </c>
      <c r="F1880" s="67">
        <f>IF($B1880="",0,IF(LEFT($B1880,1)="━",0,$C1880*VLOOKUP($B1880,'4. CÀI ĐẶT'!$A$2:$H$32,3,FALSE)))</f>
        <v/>
      </c>
      <c r="G1880" s="67">
        <f>IF($B1880="",0,IF(LEFT($B1880,1)="━",0,$C1880*VLOOKUP($B1880,'4. CÀI ĐẶT'!$A$2:$H$32,4,FALSE)))</f>
        <v/>
      </c>
      <c r="H1880" s="67">
        <f>IF($B1880="",0,IF(LEFT($B1880,1)="━",0,$C1880*VLOOKUP($B1880,'4. CÀI ĐẶT'!$A$2:$H$32,5,FALSE)))</f>
        <v/>
      </c>
      <c r="I1880">
        <f>IF($B1880="","",IF(LEFT($B1880,1)="━","",VLOOKUP($B1880,'4. CÀI ĐẶT'!$A$2:$H$32,6,FALSE)))</f>
        <v/>
      </c>
      <c r="J1880" s="13">
        <f>IF($A1880="","",EOMONTH($A1880,0))</f>
        <v/>
      </c>
      <c r="K1880" s="67">
        <f>IF($B1880="",0,IF(LEFT($B1880,1)="━",0,$C1880*VLOOKUP($B1880,'4. CÀI ĐẶT'!$A$2:$H$32,7,FALSE)))</f>
        <v/>
      </c>
    </row>
    <row r="1881">
      <c r="A1881" s="8" t="n"/>
      <c r="B1881" s="9" t="n"/>
      <c r="C1881" s="65" t="n"/>
      <c r="D1881" s="9" t="n"/>
      <c r="E1881" s="66">
        <f>IF($B1881="","",IF(LEFT($B1881,1)="━","⚠️ Chọn hạng mục cụ thể",$C1881*VLOOKUP($B1881,'4. CÀI ĐẶT'!$A$2:$H$32,2,FALSE)))</f>
        <v/>
      </c>
      <c r="F1881" s="67">
        <f>IF($B1881="",0,IF(LEFT($B1881,1)="━",0,$C1881*VLOOKUP($B1881,'4. CÀI ĐẶT'!$A$2:$H$32,3,FALSE)))</f>
        <v/>
      </c>
      <c r="G1881" s="67">
        <f>IF($B1881="",0,IF(LEFT($B1881,1)="━",0,$C1881*VLOOKUP($B1881,'4. CÀI ĐẶT'!$A$2:$H$32,4,FALSE)))</f>
        <v/>
      </c>
      <c r="H1881" s="67">
        <f>IF($B1881="",0,IF(LEFT($B1881,1)="━",0,$C1881*VLOOKUP($B1881,'4. CÀI ĐẶT'!$A$2:$H$32,5,FALSE)))</f>
        <v/>
      </c>
      <c r="I1881">
        <f>IF($B1881="","",IF(LEFT($B1881,1)="━","",VLOOKUP($B1881,'4. CÀI ĐẶT'!$A$2:$H$32,6,FALSE)))</f>
        <v/>
      </c>
      <c r="J1881" s="13">
        <f>IF($A1881="","",EOMONTH($A1881,0))</f>
        <v/>
      </c>
      <c r="K1881" s="67">
        <f>IF($B1881="",0,IF(LEFT($B1881,1)="━",0,$C1881*VLOOKUP($B1881,'4. CÀI ĐẶT'!$A$2:$H$32,7,FALSE)))</f>
        <v/>
      </c>
    </row>
    <row r="1882">
      <c r="A1882" s="8" t="n"/>
      <c r="B1882" s="9" t="n"/>
      <c r="C1882" s="65" t="n"/>
      <c r="D1882" s="9" t="n"/>
      <c r="E1882" s="66">
        <f>IF($B1882="","",IF(LEFT($B1882,1)="━","⚠️ Chọn hạng mục cụ thể",$C1882*VLOOKUP($B1882,'4. CÀI ĐẶT'!$A$2:$H$32,2,FALSE)))</f>
        <v/>
      </c>
      <c r="F1882" s="67">
        <f>IF($B1882="",0,IF(LEFT($B1882,1)="━",0,$C1882*VLOOKUP($B1882,'4. CÀI ĐẶT'!$A$2:$H$32,3,FALSE)))</f>
        <v/>
      </c>
      <c r="G1882" s="67">
        <f>IF($B1882="",0,IF(LEFT($B1882,1)="━",0,$C1882*VLOOKUP($B1882,'4. CÀI ĐẶT'!$A$2:$H$32,4,FALSE)))</f>
        <v/>
      </c>
      <c r="H1882" s="67">
        <f>IF($B1882="",0,IF(LEFT($B1882,1)="━",0,$C1882*VLOOKUP($B1882,'4. CÀI ĐẶT'!$A$2:$H$32,5,FALSE)))</f>
        <v/>
      </c>
      <c r="I1882">
        <f>IF($B1882="","",IF(LEFT($B1882,1)="━","",VLOOKUP($B1882,'4. CÀI ĐẶT'!$A$2:$H$32,6,FALSE)))</f>
        <v/>
      </c>
      <c r="J1882" s="13">
        <f>IF($A1882="","",EOMONTH($A1882,0))</f>
        <v/>
      </c>
      <c r="K1882" s="67">
        <f>IF($B1882="",0,IF(LEFT($B1882,1)="━",0,$C1882*VLOOKUP($B1882,'4. CÀI ĐẶT'!$A$2:$H$32,7,FALSE)))</f>
        <v/>
      </c>
    </row>
    <row r="1883">
      <c r="A1883" s="8" t="n"/>
      <c r="B1883" s="9" t="n"/>
      <c r="C1883" s="65" t="n"/>
      <c r="D1883" s="9" t="n"/>
      <c r="E1883" s="66">
        <f>IF($B1883="","",IF(LEFT($B1883,1)="━","⚠️ Chọn hạng mục cụ thể",$C1883*VLOOKUP($B1883,'4. CÀI ĐẶT'!$A$2:$H$32,2,FALSE)))</f>
        <v/>
      </c>
      <c r="F1883" s="67">
        <f>IF($B1883="",0,IF(LEFT($B1883,1)="━",0,$C1883*VLOOKUP($B1883,'4. CÀI ĐẶT'!$A$2:$H$32,3,FALSE)))</f>
        <v/>
      </c>
      <c r="G1883" s="67">
        <f>IF($B1883="",0,IF(LEFT($B1883,1)="━",0,$C1883*VLOOKUP($B1883,'4. CÀI ĐẶT'!$A$2:$H$32,4,FALSE)))</f>
        <v/>
      </c>
      <c r="H1883" s="67">
        <f>IF($B1883="",0,IF(LEFT($B1883,1)="━",0,$C1883*VLOOKUP($B1883,'4. CÀI ĐẶT'!$A$2:$H$32,5,FALSE)))</f>
        <v/>
      </c>
      <c r="I1883">
        <f>IF($B1883="","",IF(LEFT($B1883,1)="━","",VLOOKUP($B1883,'4. CÀI ĐẶT'!$A$2:$H$32,6,FALSE)))</f>
        <v/>
      </c>
      <c r="J1883" s="13">
        <f>IF($A1883="","",EOMONTH($A1883,0))</f>
        <v/>
      </c>
      <c r="K1883" s="67">
        <f>IF($B1883="",0,IF(LEFT($B1883,1)="━",0,$C1883*VLOOKUP($B1883,'4. CÀI ĐẶT'!$A$2:$H$32,7,FALSE)))</f>
        <v/>
      </c>
    </row>
    <row r="1884">
      <c r="A1884" s="8" t="n"/>
      <c r="B1884" s="9" t="n"/>
      <c r="C1884" s="65" t="n"/>
      <c r="D1884" s="9" t="n"/>
      <c r="E1884" s="66">
        <f>IF($B1884="","",IF(LEFT($B1884,1)="━","⚠️ Chọn hạng mục cụ thể",$C1884*VLOOKUP($B1884,'4. CÀI ĐẶT'!$A$2:$H$32,2,FALSE)))</f>
        <v/>
      </c>
      <c r="F1884" s="67">
        <f>IF($B1884="",0,IF(LEFT($B1884,1)="━",0,$C1884*VLOOKUP($B1884,'4. CÀI ĐẶT'!$A$2:$H$32,3,FALSE)))</f>
        <v/>
      </c>
      <c r="G1884" s="67">
        <f>IF($B1884="",0,IF(LEFT($B1884,1)="━",0,$C1884*VLOOKUP($B1884,'4. CÀI ĐẶT'!$A$2:$H$32,4,FALSE)))</f>
        <v/>
      </c>
      <c r="H1884" s="67">
        <f>IF($B1884="",0,IF(LEFT($B1884,1)="━",0,$C1884*VLOOKUP($B1884,'4. CÀI ĐẶT'!$A$2:$H$32,5,FALSE)))</f>
        <v/>
      </c>
      <c r="I1884">
        <f>IF($B1884="","",IF(LEFT($B1884,1)="━","",VLOOKUP($B1884,'4. CÀI ĐẶT'!$A$2:$H$32,6,FALSE)))</f>
        <v/>
      </c>
      <c r="J1884" s="13">
        <f>IF($A1884="","",EOMONTH($A1884,0))</f>
        <v/>
      </c>
      <c r="K1884" s="67">
        <f>IF($B1884="",0,IF(LEFT($B1884,1)="━",0,$C1884*VLOOKUP($B1884,'4. CÀI ĐẶT'!$A$2:$H$32,7,FALSE)))</f>
        <v/>
      </c>
    </row>
    <row r="1885">
      <c r="A1885" s="8" t="n"/>
      <c r="B1885" s="9" t="n"/>
      <c r="C1885" s="65" t="n"/>
      <c r="D1885" s="9" t="n"/>
      <c r="E1885" s="66">
        <f>IF($B1885="","",IF(LEFT($B1885,1)="━","⚠️ Chọn hạng mục cụ thể",$C1885*VLOOKUP($B1885,'4. CÀI ĐẶT'!$A$2:$H$32,2,FALSE)))</f>
        <v/>
      </c>
      <c r="F1885" s="67">
        <f>IF($B1885="",0,IF(LEFT($B1885,1)="━",0,$C1885*VLOOKUP($B1885,'4. CÀI ĐẶT'!$A$2:$H$32,3,FALSE)))</f>
        <v/>
      </c>
      <c r="G1885" s="67">
        <f>IF($B1885="",0,IF(LEFT($B1885,1)="━",0,$C1885*VLOOKUP($B1885,'4. CÀI ĐẶT'!$A$2:$H$32,4,FALSE)))</f>
        <v/>
      </c>
      <c r="H1885" s="67">
        <f>IF($B1885="",0,IF(LEFT($B1885,1)="━",0,$C1885*VLOOKUP($B1885,'4. CÀI ĐẶT'!$A$2:$H$32,5,FALSE)))</f>
        <v/>
      </c>
      <c r="I1885">
        <f>IF($B1885="","",IF(LEFT($B1885,1)="━","",VLOOKUP($B1885,'4. CÀI ĐẶT'!$A$2:$H$32,6,FALSE)))</f>
        <v/>
      </c>
      <c r="J1885" s="13">
        <f>IF($A1885="","",EOMONTH($A1885,0))</f>
        <v/>
      </c>
      <c r="K1885" s="67">
        <f>IF($B1885="",0,IF(LEFT($B1885,1)="━",0,$C1885*VLOOKUP($B1885,'4. CÀI ĐẶT'!$A$2:$H$32,7,FALSE)))</f>
        <v/>
      </c>
    </row>
    <row r="1886">
      <c r="A1886" s="8" t="n"/>
      <c r="B1886" s="9" t="n"/>
      <c r="C1886" s="65" t="n"/>
      <c r="D1886" s="9" t="n"/>
      <c r="E1886" s="66">
        <f>IF($B1886="","",IF(LEFT($B1886,1)="━","⚠️ Chọn hạng mục cụ thể",$C1886*VLOOKUP($B1886,'4. CÀI ĐẶT'!$A$2:$H$32,2,FALSE)))</f>
        <v/>
      </c>
      <c r="F1886" s="67">
        <f>IF($B1886="",0,IF(LEFT($B1886,1)="━",0,$C1886*VLOOKUP($B1886,'4. CÀI ĐẶT'!$A$2:$H$32,3,FALSE)))</f>
        <v/>
      </c>
      <c r="G1886" s="67">
        <f>IF($B1886="",0,IF(LEFT($B1886,1)="━",0,$C1886*VLOOKUP($B1886,'4. CÀI ĐẶT'!$A$2:$H$32,4,FALSE)))</f>
        <v/>
      </c>
      <c r="H1886" s="67">
        <f>IF($B1886="",0,IF(LEFT($B1886,1)="━",0,$C1886*VLOOKUP($B1886,'4. CÀI ĐẶT'!$A$2:$H$32,5,FALSE)))</f>
        <v/>
      </c>
      <c r="I1886">
        <f>IF($B1886="","",IF(LEFT($B1886,1)="━","",VLOOKUP($B1886,'4. CÀI ĐẶT'!$A$2:$H$32,6,FALSE)))</f>
        <v/>
      </c>
      <c r="J1886" s="13">
        <f>IF($A1886="","",EOMONTH($A1886,0))</f>
        <v/>
      </c>
      <c r="K1886" s="67">
        <f>IF($B1886="",0,IF(LEFT($B1886,1)="━",0,$C1886*VLOOKUP($B1886,'4. CÀI ĐẶT'!$A$2:$H$32,7,FALSE)))</f>
        <v/>
      </c>
    </row>
    <row r="1887">
      <c r="A1887" s="8" t="n"/>
      <c r="B1887" s="9" t="n"/>
      <c r="C1887" s="65" t="n"/>
      <c r="D1887" s="9" t="n"/>
      <c r="E1887" s="66">
        <f>IF($B1887="","",IF(LEFT($B1887,1)="━","⚠️ Chọn hạng mục cụ thể",$C1887*VLOOKUP($B1887,'4. CÀI ĐẶT'!$A$2:$H$32,2,FALSE)))</f>
        <v/>
      </c>
      <c r="F1887" s="67">
        <f>IF($B1887="",0,IF(LEFT($B1887,1)="━",0,$C1887*VLOOKUP($B1887,'4. CÀI ĐẶT'!$A$2:$H$32,3,FALSE)))</f>
        <v/>
      </c>
      <c r="G1887" s="67">
        <f>IF($B1887="",0,IF(LEFT($B1887,1)="━",0,$C1887*VLOOKUP($B1887,'4. CÀI ĐẶT'!$A$2:$H$32,4,FALSE)))</f>
        <v/>
      </c>
      <c r="H1887" s="67">
        <f>IF($B1887="",0,IF(LEFT($B1887,1)="━",0,$C1887*VLOOKUP($B1887,'4. CÀI ĐẶT'!$A$2:$H$32,5,FALSE)))</f>
        <v/>
      </c>
      <c r="I1887">
        <f>IF($B1887="","",IF(LEFT($B1887,1)="━","",VLOOKUP($B1887,'4. CÀI ĐẶT'!$A$2:$H$32,6,FALSE)))</f>
        <v/>
      </c>
      <c r="J1887" s="13">
        <f>IF($A1887="","",EOMONTH($A1887,0))</f>
        <v/>
      </c>
      <c r="K1887" s="67">
        <f>IF($B1887="",0,IF(LEFT($B1887,1)="━",0,$C1887*VLOOKUP($B1887,'4. CÀI ĐẶT'!$A$2:$H$32,7,FALSE)))</f>
        <v/>
      </c>
    </row>
    <row r="1888">
      <c r="A1888" s="8" t="n"/>
      <c r="B1888" s="9" t="n"/>
      <c r="C1888" s="65" t="n"/>
      <c r="D1888" s="9" t="n"/>
      <c r="E1888" s="66">
        <f>IF($B1888="","",IF(LEFT($B1888,1)="━","⚠️ Chọn hạng mục cụ thể",$C1888*VLOOKUP($B1888,'4. CÀI ĐẶT'!$A$2:$H$32,2,FALSE)))</f>
        <v/>
      </c>
      <c r="F1888" s="67">
        <f>IF($B1888="",0,IF(LEFT($B1888,1)="━",0,$C1888*VLOOKUP($B1888,'4. CÀI ĐẶT'!$A$2:$H$32,3,FALSE)))</f>
        <v/>
      </c>
      <c r="G1888" s="67">
        <f>IF($B1888="",0,IF(LEFT($B1888,1)="━",0,$C1888*VLOOKUP($B1888,'4. CÀI ĐẶT'!$A$2:$H$32,4,FALSE)))</f>
        <v/>
      </c>
      <c r="H1888" s="67">
        <f>IF($B1888="",0,IF(LEFT($B1888,1)="━",0,$C1888*VLOOKUP($B1888,'4. CÀI ĐẶT'!$A$2:$H$32,5,FALSE)))</f>
        <v/>
      </c>
      <c r="I1888">
        <f>IF($B1888="","",IF(LEFT($B1888,1)="━","",VLOOKUP($B1888,'4. CÀI ĐẶT'!$A$2:$H$32,6,FALSE)))</f>
        <v/>
      </c>
      <c r="J1888" s="13">
        <f>IF($A1888="","",EOMONTH($A1888,0))</f>
        <v/>
      </c>
      <c r="K1888" s="67">
        <f>IF($B1888="",0,IF(LEFT($B1888,1)="━",0,$C1888*VLOOKUP($B1888,'4. CÀI ĐẶT'!$A$2:$H$32,7,FALSE)))</f>
        <v/>
      </c>
    </row>
    <row r="1889">
      <c r="A1889" s="8" t="n"/>
      <c r="B1889" s="9" t="n"/>
      <c r="C1889" s="65" t="n"/>
      <c r="D1889" s="9" t="n"/>
      <c r="E1889" s="66">
        <f>IF($B1889="","",IF(LEFT($B1889,1)="━","⚠️ Chọn hạng mục cụ thể",$C1889*VLOOKUP($B1889,'4. CÀI ĐẶT'!$A$2:$H$32,2,FALSE)))</f>
        <v/>
      </c>
      <c r="F1889" s="67">
        <f>IF($B1889="",0,IF(LEFT($B1889,1)="━",0,$C1889*VLOOKUP($B1889,'4. CÀI ĐẶT'!$A$2:$H$32,3,FALSE)))</f>
        <v/>
      </c>
      <c r="G1889" s="67">
        <f>IF($B1889="",0,IF(LEFT($B1889,1)="━",0,$C1889*VLOOKUP($B1889,'4. CÀI ĐẶT'!$A$2:$H$32,4,FALSE)))</f>
        <v/>
      </c>
      <c r="H1889" s="67">
        <f>IF($B1889="",0,IF(LEFT($B1889,1)="━",0,$C1889*VLOOKUP($B1889,'4. CÀI ĐẶT'!$A$2:$H$32,5,FALSE)))</f>
        <v/>
      </c>
      <c r="I1889">
        <f>IF($B1889="","",IF(LEFT($B1889,1)="━","",VLOOKUP($B1889,'4. CÀI ĐẶT'!$A$2:$H$32,6,FALSE)))</f>
        <v/>
      </c>
      <c r="J1889" s="13">
        <f>IF($A1889="","",EOMONTH($A1889,0))</f>
        <v/>
      </c>
      <c r="K1889" s="67">
        <f>IF($B1889="",0,IF(LEFT($B1889,1)="━",0,$C1889*VLOOKUP($B1889,'4. CÀI ĐẶT'!$A$2:$H$32,7,FALSE)))</f>
        <v/>
      </c>
    </row>
    <row r="1890">
      <c r="A1890" s="8" t="n"/>
      <c r="B1890" s="9" t="n"/>
      <c r="C1890" s="65" t="n"/>
      <c r="D1890" s="9" t="n"/>
      <c r="E1890" s="66">
        <f>IF($B1890="","",IF(LEFT($B1890,1)="━","⚠️ Chọn hạng mục cụ thể",$C1890*VLOOKUP($B1890,'4. CÀI ĐẶT'!$A$2:$H$32,2,FALSE)))</f>
        <v/>
      </c>
      <c r="F1890" s="67">
        <f>IF($B1890="",0,IF(LEFT($B1890,1)="━",0,$C1890*VLOOKUP($B1890,'4. CÀI ĐẶT'!$A$2:$H$32,3,FALSE)))</f>
        <v/>
      </c>
      <c r="G1890" s="67">
        <f>IF($B1890="",0,IF(LEFT($B1890,1)="━",0,$C1890*VLOOKUP($B1890,'4. CÀI ĐẶT'!$A$2:$H$32,4,FALSE)))</f>
        <v/>
      </c>
      <c r="H1890" s="67">
        <f>IF($B1890="",0,IF(LEFT($B1890,1)="━",0,$C1890*VLOOKUP($B1890,'4. CÀI ĐẶT'!$A$2:$H$32,5,FALSE)))</f>
        <v/>
      </c>
      <c r="I1890">
        <f>IF($B1890="","",IF(LEFT($B1890,1)="━","",VLOOKUP($B1890,'4. CÀI ĐẶT'!$A$2:$H$32,6,FALSE)))</f>
        <v/>
      </c>
      <c r="J1890" s="13">
        <f>IF($A1890="","",EOMONTH($A1890,0))</f>
        <v/>
      </c>
      <c r="K1890" s="67">
        <f>IF($B1890="",0,IF(LEFT($B1890,1)="━",0,$C1890*VLOOKUP($B1890,'4. CÀI ĐẶT'!$A$2:$H$32,7,FALSE)))</f>
        <v/>
      </c>
    </row>
    <row r="1891">
      <c r="A1891" s="8" t="n"/>
      <c r="B1891" s="9" t="n"/>
      <c r="C1891" s="65" t="n"/>
      <c r="D1891" s="9" t="n"/>
      <c r="E1891" s="66">
        <f>IF($B1891="","",IF(LEFT($B1891,1)="━","⚠️ Chọn hạng mục cụ thể",$C1891*VLOOKUP($B1891,'4. CÀI ĐẶT'!$A$2:$H$32,2,FALSE)))</f>
        <v/>
      </c>
      <c r="F1891" s="67">
        <f>IF($B1891="",0,IF(LEFT($B1891,1)="━",0,$C1891*VLOOKUP($B1891,'4. CÀI ĐẶT'!$A$2:$H$32,3,FALSE)))</f>
        <v/>
      </c>
      <c r="G1891" s="67">
        <f>IF($B1891="",0,IF(LEFT($B1891,1)="━",0,$C1891*VLOOKUP($B1891,'4. CÀI ĐẶT'!$A$2:$H$32,4,FALSE)))</f>
        <v/>
      </c>
      <c r="H1891" s="67">
        <f>IF($B1891="",0,IF(LEFT($B1891,1)="━",0,$C1891*VLOOKUP($B1891,'4. CÀI ĐẶT'!$A$2:$H$32,5,FALSE)))</f>
        <v/>
      </c>
      <c r="I1891">
        <f>IF($B1891="","",IF(LEFT($B1891,1)="━","",VLOOKUP($B1891,'4. CÀI ĐẶT'!$A$2:$H$32,6,FALSE)))</f>
        <v/>
      </c>
      <c r="J1891" s="13">
        <f>IF($A1891="","",EOMONTH($A1891,0))</f>
        <v/>
      </c>
      <c r="K1891" s="67">
        <f>IF($B1891="",0,IF(LEFT($B1891,1)="━",0,$C1891*VLOOKUP($B1891,'4. CÀI ĐẶT'!$A$2:$H$32,7,FALSE)))</f>
        <v/>
      </c>
    </row>
    <row r="1892">
      <c r="A1892" s="8" t="n"/>
      <c r="B1892" s="9" t="n"/>
      <c r="C1892" s="65" t="n"/>
      <c r="D1892" s="9" t="n"/>
      <c r="E1892" s="66">
        <f>IF($B1892="","",IF(LEFT($B1892,1)="━","⚠️ Chọn hạng mục cụ thể",$C1892*VLOOKUP($B1892,'4. CÀI ĐẶT'!$A$2:$H$32,2,FALSE)))</f>
        <v/>
      </c>
      <c r="F1892" s="67">
        <f>IF($B1892="",0,IF(LEFT($B1892,1)="━",0,$C1892*VLOOKUP($B1892,'4. CÀI ĐẶT'!$A$2:$H$32,3,FALSE)))</f>
        <v/>
      </c>
      <c r="G1892" s="67">
        <f>IF($B1892="",0,IF(LEFT($B1892,1)="━",0,$C1892*VLOOKUP($B1892,'4. CÀI ĐẶT'!$A$2:$H$32,4,FALSE)))</f>
        <v/>
      </c>
      <c r="H1892" s="67">
        <f>IF($B1892="",0,IF(LEFT($B1892,1)="━",0,$C1892*VLOOKUP($B1892,'4. CÀI ĐẶT'!$A$2:$H$32,5,FALSE)))</f>
        <v/>
      </c>
      <c r="I1892">
        <f>IF($B1892="","",IF(LEFT($B1892,1)="━","",VLOOKUP($B1892,'4. CÀI ĐẶT'!$A$2:$H$32,6,FALSE)))</f>
        <v/>
      </c>
      <c r="J1892" s="13">
        <f>IF($A1892="","",EOMONTH($A1892,0))</f>
        <v/>
      </c>
      <c r="K1892" s="67">
        <f>IF($B1892="",0,IF(LEFT($B1892,1)="━",0,$C1892*VLOOKUP($B1892,'4. CÀI ĐẶT'!$A$2:$H$32,7,FALSE)))</f>
        <v/>
      </c>
    </row>
    <row r="1893">
      <c r="A1893" s="8" t="n"/>
      <c r="B1893" s="9" t="n"/>
      <c r="C1893" s="65" t="n"/>
      <c r="D1893" s="9" t="n"/>
      <c r="E1893" s="66">
        <f>IF($B1893="","",IF(LEFT($B1893,1)="━","⚠️ Chọn hạng mục cụ thể",$C1893*VLOOKUP($B1893,'4. CÀI ĐẶT'!$A$2:$H$32,2,FALSE)))</f>
        <v/>
      </c>
      <c r="F1893" s="67">
        <f>IF($B1893="",0,IF(LEFT($B1893,1)="━",0,$C1893*VLOOKUP($B1893,'4. CÀI ĐẶT'!$A$2:$H$32,3,FALSE)))</f>
        <v/>
      </c>
      <c r="G1893" s="67">
        <f>IF($B1893="",0,IF(LEFT($B1893,1)="━",0,$C1893*VLOOKUP($B1893,'4. CÀI ĐẶT'!$A$2:$H$32,4,FALSE)))</f>
        <v/>
      </c>
      <c r="H1893" s="67">
        <f>IF($B1893="",0,IF(LEFT($B1893,1)="━",0,$C1893*VLOOKUP($B1893,'4. CÀI ĐẶT'!$A$2:$H$32,5,FALSE)))</f>
        <v/>
      </c>
      <c r="I1893">
        <f>IF($B1893="","",IF(LEFT($B1893,1)="━","",VLOOKUP($B1893,'4. CÀI ĐẶT'!$A$2:$H$32,6,FALSE)))</f>
        <v/>
      </c>
      <c r="J1893" s="13">
        <f>IF($A1893="","",EOMONTH($A1893,0))</f>
        <v/>
      </c>
      <c r="K1893" s="67">
        <f>IF($B1893="",0,IF(LEFT($B1893,1)="━",0,$C1893*VLOOKUP($B1893,'4. CÀI ĐẶT'!$A$2:$H$32,7,FALSE)))</f>
        <v/>
      </c>
    </row>
    <row r="1894">
      <c r="A1894" s="8" t="n"/>
      <c r="B1894" s="9" t="n"/>
      <c r="C1894" s="65" t="n"/>
      <c r="D1894" s="9" t="n"/>
      <c r="E1894" s="66">
        <f>IF($B1894="","",IF(LEFT($B1894,1)="━","⚠️ Chọn hạng mục cụ thể",$C1894*VLOOKUP($B1894,'4. CÀI ĐẶT'!$A$2:$H$32,2,FALSE)))</f>
        <v/>
      </c>
      <c r="F1894" s="67">
        <f>IF($B1894="",0,IF(LEFT($B1894,1)="━",0,$C1894*VLOOKUP($B1894,'4. CÀI ĐẶT'!$A$2:$H$32,3,FALSE)))</f>
        <v/>
      </c>
      <c r="G1894" s="67">
        <f>IF($B1894="",0,IF(LEFT($B1894,1)="━",0,$C1894*VLOOKUP($B1894,'4. CÀI ĐẶT'!$A$2:$H$32,4,FALSE)))</f>
        <v/>
      </c>
      <c r="H1894" s="67">
        <f>IF($B1894="",0,IF(LEFT($B1894,1)="━",0,$C1894*VLOOKUP($B1894,'4. CÀI ĐẶT'!$A$2:$H$32,5,FALSE)))</f>
        <v/>
      </c>
      <c r="I1894">
        <f>IF($B1894="","",IF(LEFT($B1894,1)="━","",VLOOKUP($B1894,'4. CÀI ĐẶT'!$A$2:$H$32,6,FALSE)))</f>
        <v/>
      </c>
      <c r="J1894" s="13">
        <f>IF($A1894="","",EOMONTH($A1894,0))</f>
        <v/>
      </c>
      <c r="K1894" s="67">
        <f>IF($B1894="",0,IF(LEFT($B1894,1)="━",0,$C1894*VLOOKUP($B1894,'4. CÀI ĐẶT'!$A$2:$H$32,7,FALSE)))</f>
        <v/>
      </c>
    </row>
    <row r="1895">
      <c r="A1895" s="8" t="n"/>
      <c r="B1895" s="9" t="n"/>
      <c r="C1895" s="65" t="n"/>
      <c r="D1895" s="9" t="n"/>
      <c r="E1895" s="66">
        <f>IF($B1895="","",IF(LEFT($B1895,1)="━","⚠️ Chọn hạng mục cụ thể",$C1895*VLOOKUP($B1895,'4. CÀI ĐẶT'!$A$2:$H$32,2,FALSE)))</f>
        <v/>
      </c>
      <c r="F1895" s="67">
        <f>IF($B1895="",0,IF(LEFT($B1895,1)="━",0,$C1895*VLOOKUP($B1895,'4. CÀI ĐẶT'!$A$2:$H$32,3,FALSE)))</f>
        <v/>
      </c>
      <c r="G1895" s="67">
        <f>IF($B1895="",0,IF(LEFT($B1895,1)="━",0,$C1895*VLOOKUP($B1895,'4. CÀI ĐẶT'!$A$2:$H$32,4,FALSE)))</f>
        <v/>
      </c>
      <c r="H1895" s="67">
        <f>IF($B1895="",0,IF(LEFT($B1895,1)="━",0,$C1895*VLOOKUP($B1895,'4. CÀI ĐẶT'!$A$2:$H$32,5,FALSE)))</f>
        <v/>
      </c>
      <c r="I1895">
        <f>IF($B1895="","",IF(LEFT($B1895,1)="━","",VLOOKUP($B1895,'4. CÀI ĐẶT'!$A$2:$H$32,6,FALSE)))</f>
        <v/>
      </c>
      <c r="J1895" s="13">
        <f>IF($A1895="","",EOMONTH($A1895,0))</f>
        <v/>
      </c>
      <c r="K1895" s="67">
        <f>IF($B1895="",0,IF(LEFT($B1895,1)="━",0,$C1895*VLOOKUP($B1895,'4. CÀI ĐẶT'!$A$2:$H$32,7,FALSE)))</f>
        <v/>
      </c>
    </row>
    <row r="1896">
      <c r="A1896" s="8" t="n"/>
      <c r="B1896" s="9" t="n"/>
      <c r="C1896" s="65" t="n"/>
      <c r="D1896" s="9" t="n"/>
      <c r="E1896" s="66">
        <f>IF($B1896="","",IF(LEFT($B1896,1)="━","⚠️ Chọn hạng mục cụ thể",$C1896*VLOOKUP($B1896,'4. CÀI ĐẶT'!$A$2:$H$32,2,FALSE)))</f>
        <v/>
      </c>
      <c r="F1896" s="67">
        <f>IF($B1896="",0,IF(LEFT($B1896,1)="━",0,$C1896*VLOOKUP($B1896,'4. CÀI ĐẶT'!$A$2:$H$32,3,FALSE)))</f>
        <v/>
      </c>
      <c r="G1896" s="67">
        <f>IF($B1896="",0,IF(LEFT($B1896,1)="━",0,$C1896*VLOOKUP($B1896,'4. CÀI ĐẶT'!$A$2:$H$32,4,FALSE)))</f>
        <v/>
      </c>
      <c r="H1896" s="67">
        <f>IF($B1896="",0,IF(LEFT($B1896,1)="━",0,$C1896*VLOOKUP($B1896,'4. CÀI ĐẶT'!$A$2:$H$32,5,FALSE)))</f>
        <v/>
      </c>
      <c r="I1896">
        <f>IF($B1896="","",IF(LEFT($B1896,1)="━","",VLOOKUP($B1896,'4. CÀI ĐẶT'!$A$2:$H$32,6,FALSE)))</f>
        <v/>
      </c>
      <c r="J1896" s="13">
        <f>IF($A1896="","",EOMONTH($A1896,0))</f>
        <v/>
      </c>
      <c r="K1896" s="67">
        <f>IF($B1896="",0,IF(LEFT($B1896,1)="━",0,$C1896*VLOOKUP($B1896,'4. CÀI ĐẶT'!$A$2:$H$32,7,FALSE)))</f>
        <v/>
      </c>
    </row>
    <row r="1897">
      <c r="A1897" s="8" t="n"/>
      <c r="B1897" s="9" t="n"/>
      <c r="C1897" s="65" t="n"/>
      <c r="D1897" s="9" t="n"/>
      <c r="E1897" s="66">
        <f>IF($B1897="","",IF(LEFT($B1897,1)="━","⚠️ Chọn hạng mục cụ thể",$C1897*VLOOKUP($B1897,'4. CÀI ĐẶT'!$A$2:$H$32,2,FALSE)))</f>
        <v/>
      </c>
      <c r="F1897" s="67">
        <f>IF($B1897="",0,IF(LEFT($B1897,1)="━",0,$C1897*VLOOKUP($B1897,'4. CÀI ĐẶT'!$A$2:$H$32,3,FALSE)))</f>
        <v/>
      </c>
      <c r="G1897" s="67">
        <f>IF($B1897="",0,IF(LEFT($B1897,1)="━",0,$C1897*VLOOKUP($B1897,'4. CÀI ĐẶT'!$A$2:$H$32,4,FALSE)))</f>
        <v/>
      </c>
      <c r="H1897" s="67">
        <f>IF($B1897="",0,IF(LEFT($B1897,1)="━",0,$C1897*VLOOKUP($B1897,'4. CÀI ĐẶT'!$A$2:$H$32,5,FALSE)))</f>
        <v/>
      </c>
      <c r="I1897">
        <f>IF($B1897="","",IF(LEFT($B1897,1)="━","",VLOOKUP($B1897,'4. CÀI ĐẶT'!$A$2:$H$32,6,FALSE)))</f>
        <v/>
      </c>
      <c r="J1897" s="13">
        <f>IF($A1897="","",EOMONTH($A1897,0))</f>
        <v/>
      </c>
      <c r="K1897" s="67">
        <f>IF($B1897="",0,IF(LEFT($B1897,1)="━",0,$C1897*VLOOKUP($B1897,'4. CÀI ĐẶT'!$A$2:$H$32,7,FALSE)))</f>
        <v/>
      </c>
    </row>
    <row r="1898">
      <c r="A1898" s="8" t="n"/>
      <c r="B1898" s="9" t="n"/>
      <c r="C1898" s="65" t="n"/>
      <c r="D1898" s="9" t="n"/>
      <c r="E1898" s="66">
        <f>IF($B1898="","",IF(LEFT($B1898,1)="━","⚠️ Chọn hạng mục cụ thể",$C1898*VLOOKUP($B1898,'4. CÀI ĐẶT'!$A$2:$H$32,2,FALSE)))</f>
        <v/>
      </c>
      <c r="F1898" s="67">
        <f>IF($B1898="",0,IF(LEFT($B1898,1)="━",0,$C1898*VLOOKUP($B1898,'4. CÀI ĐẶT'!$A$2:$H$32,3,FALSE)))</f>
        <v/>
      </c>
      <c r="G1898" s="67">
        <f>IF($B1898="",0,IF(LEFT($B1898,1)="━",0,$C1898*VLOOKUP($B1898,'4. CÀI ĐẶT'!$A$2:$H$32,4,FALSE)))</f>
        <v/>
      </c>
      <c r="H1898" s="67">
        <f>IF($B1898="",0,IF(LEFT($B1898,1)="━",0,$C1898*VLOOKUP($B1898,'4. CÀI ĐẶT'!$A$2:$H$32,5,FALSE)))</f>
        <v/>
      </c>
      <c r="I1898">
        <f>IF($B1898="","",IF(LEFT($B1898,1)="━","",VLOOKUP($B1898,'4. CÀI ĐẶT'!$A$2:$H$32,6,FALSE)))</f>
        <v/>
      </c>
      <c r="J1898" s="13">
        <f>IF($A1898="","",EOMONTH($A1898,0))</f>
        <v/>
      </c>
      <c r="K1898" s="67">
        <f>IF($B1898="",0,IF(LEFT($B1898,1)="━",0,$C1898*VLOOKUP($B1898,'4. CÀI ĐẶT'!$A$2:$H$32,7,FALSE)))</f>
        <v/>
      </c>
    </row>
    <row r="1899">
      <c r="A1899" s="8" t="n"/>
      <c r="B1899" s="9" t="n"/>
      <c r="C1899" s="65" t="n"/>
      <c r="D1899" s="9" t="n"/>
      <c r="E1899" s="66">
        <f>IF($B1899="","",IF(LEFT($B1899,1)="━","⚠️ Chọn hạng mục cụ thể",$C1899*VLOOKUP($B1899,'4. CÀI ĐẶT'!$A$2:$H$32,2,FALSE)))</f>
        <v/>
      </c>
      <c r="F1899" s="67">
        <f>IF($B1899="",0,IF(LEFT($B1899,1)="━",0,$C1899*VLOOKUP($B1899,'4. CÀI ĐẶT'!$A$2:$H$32,3,FALSE)))</f>
        <v/>
      </c>
      <c r="G1899" s="67">
        <f>IF($B1899="",0,IF(LEFT($B1899,1)="━",0,$C1899*VLOOKUP($B1899,'4. CÀI ĐẶT'!$A$2:$H$32,4,FALSE)))</f>
        <v/>
      </c>
      <c r="H1899" s="67">
        <f>IF($B1899="",0,IF(LEFT($B1899,1)="━",0,$C1899*VLOOKUP($B1899,'4. CÀI ĐẶT'!$A$2:$H$32,5,FALSE)))</f>
        <v/>
      </c>
      <c r="I1899">
        <f>IF($B1899="","",IF(LEFT($B1899,1)="━","",VLOOKUP($B1899,'4. CÀI ĐẶT'!$A$2:$H$32,6,FALSE)))</f>
        <v/>
      </c>
      <c r="J1899" s="13">
        <f>IF($A1899="","",EOMONTH($A1899,0))</f>
        <v/>
      </c>
      <c r="K1899" s="67">
        <f>IF($B1899="",0,IF(LEFT($B1899,1)="━",0,$C1899*VLOOKUP($B1899,'4. CÀI ĐẶT'!$A$2:$H$32,7,FALSE)))</f>
        <v/>
      </c>
    </row>
    <row r="1900">
      <c r="A1900" s="8" t="n"/>
      <c r="B1900" s="9" t="n"/>
      <c r="C1900" s="65" t="n"/>
      <c r="D1900" s="9" t="n"/>
      <c r="E1900" s="66">
        <f>IF($B1900="","",IF(LEFT($B1900,1)="━","⚠️ Chọn hạng mục cụ thể",$C1900*VLOOKUP($B1900,'4. CÀI ĐẶT'!$A$2:$H$32,2,FALSE)))</f>
        <v/>
      </c>
      <c r="F1900" s="67">
        <f>IF($B1900="",0,IF(LEFT($B1900,1)="━",0,$C1900*VLOOKUP($B1900,'4. CÀI ĐẶT'!$A$2:$H$32,3,FALSE)))</f>
        <v/>
      </c>
      <c r="G1900" s="67">
        <f>IF($B1900="",0,IF(LEFT($B1900,1)="━",0,$C1900*VLOOKUP($B1900,'4. CÀI ĐẶT'!$A$2:$H$32,4,FALSE)))</f>
        <v/>
      </c>
      <c r="H1900" s="67">
        <f>IF($B1900="",0,IF(LEFT($B1900,1)="━",0,$C1900*VLOOKUP($B1900,'4. CÀI ĐẶT'!$A$2:$H$32,5,FALSE)))</f>
        <v/>
      </c>
      <c r="I1900">
        <f>IF($B1900="","",IF(LEFT($B1900,1)="━","",VLOOKUP($B1900,'4. CÀI ĐẶT'!$A$2:$H$32,6,FALSE)))</f>
        <v/>
      </c>
      <c r="J1900" s="13">
        <f>IF($A1900="","",EOMONTH($A1900,0))</f>
        <v/>
      </c>
      <c r="K1900" s="67">
        <f>IF($B1900="",0,IF(LEFT($B1900,1)="━",0,$C1900*VLOOKUP($B1900,'4. CÀI ĐẶT'!$A$2:$H$32,7,FALSE)))</f>
        <v/>
      </c>
    </row>
    <row r="1901">
      <c r="A1901" s="8" t="n"/>
      <c r="B1901" s="9" t="n"/>
      <c r="C1901" s="65" t="n"/>
      <c r="D1901" s="9" t="n"/>
      <c r="E1901" s="66">
        <f>IF($B1901="","",IF(LEFT($B1901,1)="━","⚠️ Chọn hạng mục cụ thể",$C1901*VLOOKUP($B1901,'4. CÀI ĐẶT'!$A$2:$H$32,2,FALSE)))</f>
        <v/>
      </c>
      <c r="F1901" s="67">
        <f>IF($B1901="",0,IF(LEFT($B1901,1)="━",0,$C1901*VLOOKUP($B1901,'4. CÀI ĐẶT'!$A$2:$H$32,3,FALSE)))</f>
        <v/>
      </c>
      <c r="G1901" s="67">
        <f>IF($B1901="",0,IF(LEFT($B1901,1)="━",0,$C1901*VLOOKUP($B1901,'4. CÀI ĐẶT'!$A$2:$H$32,4,FALSE)))</f>
        <v/>
      </c>
      <c r="H1901" s="67">
        <f>IF($B1901="",0,IF(LEFT($B1901,1)="━",0,$C1901*VLOOKUP($B1901,'4. CÀI ĐẶT'!$A$2:$H$32,5,FALSE)))</f>
        <v/>
      </c>
      <c r="I1901">
        <f>IF($B1901="","",IF(LEFT($B1901,1)="━","",VLOOKUP($B1901,'4. CÀI ĐẶT'!$A$2:$H$32,6,FALSE)))</f>
        <v/>
      </c>
      <c r="J1901" s="13">
        <f>IF($A1901="","",EOMONTH($A1901,0))</f>
        <v/>
      </c>
      <c r="K1901" s="67">
        <f>IF($B1901="",0,IF(LEFT($B1901,1)="━",0,$C1901*VLOOKUP($B1901,'4. CÀI ĐẶT'!$A$2:$H$32,7,FALSE)))</f>
        <v/>
      </c>
    </row>
    <row r="1902">
      <c r="A1902" s="8" t="n"/>
      <c r="B1902" s="9" t="n"/>
      <c r="C1902" s="65" t="n"/>
      <c r="D1902" s="9" t="n"/>
      <c r="E1902" s="66">
        <f>IF($B1902="","",IF(LEFT($B1902,1)="━","⚠️ Chọn hạng mục cụ thể",$C1902*VLOOKUP($B1902,'4. CÀI ĐẶT'!$A$2:$H$32,2,FALSE)))</f>
        <v/>
      </c>
      <c r="F1902" s="67">
        <f>IF($B1902="",0,IF(LEFT($B1902,1)="━",0,$C1902*VLOOKUP($B1902,'4. CÀI ĐẶT'!$A$2:$H$32,3,FALSE)))</f>
        <v/>
      </c>
      <c r="G1902" s="67">
        <f>IF($B1902="",0,IF(LEFT($B1902,1)="━",0,$C1902*VLOOKUP($B1902,'4. CÀI ĐẶT'!$A$2:$H$32,4,FALSE)))</f>
        <v/>
      </c>
      <c r="H1902" s="67">
        <f>IF($B1902="",0,IF(LEFT($B1902,1)="━",0,$C1902*VLOOKUP($B1902,'4. CÀI ĐẶT'!$A$2:$H$32,5,FALSE)))</f>
        <v/>
      </c>
      <c r="I1902">
        <f>IF($B1902="","",IF(LEFT($B1902,1)="━","",VLOOKUP($B1902,'4. CÀI ĐẶT'!$A$2:$H$32,6,FALSE)))</f>
        <v/>
      </c>
      <c r="J1902" s="13">
        <f>IF($A1902="","",EOMONTH($A1902,0))</f>
        <v/>
      </c>
      <c r="K1902" s="67">
        <f>IF($B1902="",0,IF(LEFT($B1902,1)="━",0,$C1902*VLOOKUP($B1902,'4. CÀI ĐẶT'!$A$2:$H$32,7,FALSE)))</f>
        <v/>
      </c>
    </row>
    <row r="1903">
      <c r="A1903" s="8" t="n"/>
      <c r="B1903" s="9" t="n"/>
      <c r="C1903" s="65" t="n"/>
      <c r="D1903" s="9" t="n"/>
      <c r="E1903" s="66">
        <f>IF($B1903="","",IF(LEFT($B1903,1)="━","⚠️ Chọn hạng mục cụ thể",$C1903*VLOOKUP($B1903,'4. CÀI ĐẶT'!$A$2:$H$32,2,FALSE)))</f>
        <v/>
      </c>
      <c r="F1903" s="67">
        <f>IF($B1903="",0,IF(LEFT($B1903,1)="━",0,$C1903*VLOOKUP($B1903,'4. CÀI ĐẶT'!$A$2:$H$32,3,FALSE)))</f>
        <v/>
      </c>
      <c r="G1903" s="67">
        <f>IF($B1903="",0,IF(LEFT($B1903,1)="━",0,$C1903*VLOOKUP($B1903,'4. CÀI ĐẶT'!$A$2:$H$32,4,FALSE)))</f>
        <v/>
      </c>
      <c r="H1903" s="67">
        <f>IF($B1903="",0,IF(LEFT($B1903,1)="━",0,$C1903*VLOOKUP($B1903,'4. CÀI ĐẶT'!$A$2:$H$32,5,FALSE)))</f>
        <v/>
      </c>
      <c r="I1903">
        <f>IF($B1903="","",IF(LEFT($B1903,1)="━","",VLOOKUP($B1903,'4. CÀI ĐẶT'!$A$2:$H$32,6,FALSE)))</f>
        <v/>
      </c>
      <c r="J1903" s="13">
        <f>IF($A1903="","",EOMONTH($A1903,0))</f>
        <v/>
      </c>
      <c r="K1903" s="67">
        <f>IF($B1903="",0,IF(LEFT($B1903,1)="━",0,$C1903*VLOOKUP($B1903,'4. CÀI ĐẶT'!$A$2:$H$32,7,FALSE)))</f>
        <v/>
      </c>
    </row>
    <row r="1904">
      <c r="A1904" s="8" t="n"/>
      <c r="B1904" s="9" t="n"/>
      <c r="C1904" s="65" t="n"/>
      <c r="D1904" s="9" t="n"/>
      <c r="E1904" s="66">
        <f>IF($B1904="","",IF(LEFT($B1904,1)="━","⚠️ Chọn hạng mục cụ thể",$C1904*VLOOKUP($B1904,'4. CÀI ĐẶT'!$A$2:$H$32,2,FALSE)))</f>
        <v/>
      </c>
      <c r="F1904" s="67">
        <f>IF($B1904="",0,IF(LEFT($B1904,1)="━",0,$C1904*VLOOKUP($B1904,'4. CÀI ĐẶT'!$A$2:$H$32,3,FALSE)))</f>
        <v/>
      </c>
      <c r="G1904" s="67">
        <f>IF($B1904="",0,IF(LEFT($B1904,1)="━",0,$C1904*VLOOKUP($B1904,'4. CÀI ĐẶT'!$A$2:$H$32,4,FALSE)))</f>
        <v/>
      </c>
      <c r="H1904" s="67">
        <f>IF($B1904="",0,IF(LEFT($B1904,1)="━",0,$C1904*VLOOKUP($B1904,'4. CÀI ĐẶT'!$A$2:$H$32,5,FALSE)))</f>
        <v/>
      </c>
      <c r="I1904">
        <f>IF($B1904="","",IF(LEFT($B1904,1)="━","",VLOOKUP($B1904,'4. CÀI ĐẶT'!$A$2:$H$32,6,FALSE)))</f>
        <v/>
      </c>
      <c r="J1904" s="13">
        <f>IF($A1904="","",EOMONTH($A1904,0))</f>
        <v/>
      </c>
      <c r="K1904" s="67">
        <f>IF($B1904="",0,IF(LEFT($B1904,1)="━",0,$C1904*VLOOKUP($B1904,'4. CÀI ĐẶT'!$A$2:$H$32,7,FALSE)))</f>
        <v/>
      </c>
    </row>
    <row r="1905">
      <c r="A1905" s="8" t="n"/>
      <c r="B1905" s="9" t="n"/>
      <c r="C1905" s="65" t="n"/>
      <c r="D1905" s="9" t="n"/>
      <c r="E1905" s="66">
        <f>IF($B1905="","",IF(LEFT($B1905,1)="━","⚠️ Chọn hạng mục cụ thể",$C1905*VLOOKUP($B1905,'4. CÀI ĐẶT'!$A$2:$H$32,2,FALSE)))</f>
        <v/>
      </c>
      <c r="F1905" s="67">
        <f>IF($B1905="",0,IF(LEFT($B1905,1)="━",0,$C1905*VLOOKUP($B1905,'4. CÀI ĐẶT'!$A$2:$H$32,3,FALSE)))</f>
        <v/>
      </c>
      <c r="G1905" s="67">
        <f>IF($B1905="",0,IF(LEFT($B1905,1)="━",0,$C1905*VLOOKUP($B1905,'4. CÀI ĐẶT'!$A$2:$H$32,4,FALSE)))</f>
        <v/>
      </c>
      <c r="H1905" s="67">
        <f>IF($B1905="",0,IF(LEFT($B1905,1)="━",0,$C1905*VLOOKUP($B1905,'4. CÀI ĐẶT'!$A$2:$H$32,5,FALSE)))</f>
        <v/>
      </c>
      <c r="I1905">
        <f>IF($B1905="","",IF(LEFT($B1905,1)="━","",VLOOKUP($B1905,'4. CÀI ĐẶT'!$A$2:$H$32,6,FALSE)))</f>
        <v/>
      </c>
      <c r="J1905" s="13">
        <f>IF($A1905="","",EOMONTH($A1905,0))</f>
        <v/>
      </c>
      <c r="K1905" s="67">
        <f>IF($B1905="",0,IF(LEFT($B1905,1)="━",0,$C1905*VLOOKUP($B1905,'4. CÀI ĐẶT'!$A$2:$H$32,7,FALSE)))</f>
        <v/>
      </c>
    </row>
    <row r="1906">
      <c r="A1906" s="8" t="n"/>
      <c r="B1906" s="9" t="n"/>
      <c r="C1906" s="65" t="n"/>
      <c r="D1906" s="9" t="n"/>
      <c r="E1906" s="66">
        <f>IF($B1906="","",IF(LEFT($B1906,1)="━","⚠️ Chọn hạng mục cụ thể",$C1906*VLOOKUP($B1906,'4. CÀI ĐẶT'!$A$2:$H$32,2,FALSE)))</f>
        <v/>
      </c>
      <c r="F1906" s="67">
        <f>IF($B1906="",0,IF(LEFT($B1906,1)="━",0,$C1906*VLOOKUP($B1906,'4. CÀI ĐẶT'!$A$2:$H$32,3,FALSE)))</f>
        <v/>
      </c>
      <c r="G1906" s="67">
        <f>IF($B1906="",0,IF(LEFT($B1906,1)="━",0,$C1906*VLOOKUP($B1906,'4. CÀI ĐẶT'!$A$2:$H$32,4,FALSE)))</f>
        <v/>
      </c>
      <c r="H1906" s="67">
        <f>IF($B1906="",0,IF(LEFT($B1906,1)="━",0,$C1906*VLOOKUP($B1906,'4. CÀI ĐẶT'!$A$2:$H$32,5,FALSE)))</f>
        <v/>
      </c>
      <c r="I1906">
        <f>IF($B1906="","",IF(LEFT($B1906,1)="━","",VLOOKUP($B1906,'4. CÀI ĐẶT'!$A$2:$H$32,6,FALSE)))</f>
        <v/>
      </c>
      <c r="J1906" s="13">
        <f>IF($A1906="","",EOMONTH($A1906,0))</f>
        <v/>
      </c>
      <c r="K1906" s="67">
        <f>IF($B1906="",0,IF(LEFT($B1906,1)="━",0,$C1906*VLOOKUP($B1906,'4. CÀI ĐẶT'!$A$2:$H$32,7,FALSE)))</f>
        <v/>
      </c>
    </row>
    <row r="1907">
      <c r="A1907" s="8" t="n"/>
      <c r="B1907" s="9" t="n"/>
      <c r="C1907" s="65" t="n"/>
      <c r="D1907" s="9" t="n"/>
      <c r="E1907" s="66">
        <f>IF($B1907="","",IF(LEFT($B1907,1)="━","⚠️ Chọn hạng mục cụ thể",$C1907*VLOOKUP($B1907,'4. CÀI ĐẶT'!$A$2:$H$32,2,FALSE)))</f>
        <v/>
      </c>
      <c r="F1907" s="67">
        <f>IF($B1907="",0,IF(LEFT($B1907,1)="━",0,$C1907*VLOOKUP($B1907,'4. CÀI ĐẶT'!$A$2:$H$32,3,FALSE)))</f>
        <v/>
      </c>
      <c r="G1907" s="67">
        <f>IF($B1907="",0,IF(LEFT($B1907,1)="━",0,$C1907*VLOOKUP($B1907,'4. CÀI ĐẶT'!$A$2:$H$32,4,FALSE)))</f>
        <v/>
      </c>
      <c r="H1907" s="67">
        <f>IF($B1907="",0,IF(LEFT($B1907,1)="━",0,$C1907*VLOOKUP($B1907,'4. CÀI ĐẶT'!$A$2:$H$32,5,FALSE)))</f>
        <v/>
      </c>
      <c r="I1907">
        <f>IF($B1907="","",IF(LEFT($B1907,1)="━","",VLOOKUP($B1907,'4. CÀI ĐẶT'!$A$2:$H$32,6,FALSE)))</f>
        <v/>
      </c>
      <c r="J1907" s="13">
        <f>IF($A1907="","",EOMONTH($A1907,0))</f>
        <v/>
      </c>
      <c r="K1907" s="67">
        <f>IF($B1907="",0,IF(LEFT($B1907,1)="━",0,$C1907*VLOOKUP($B1907,'4. CÀI ĐẶT'!$A$2:$H$32,7,FALSE)))</f>
        <v/>
      </c>
    </row>
    <row r="1908">
      <c r="A1908" s="8" t="n"/>
      <c r="B1908" s="9" t="n"/>
      <c r="C1908" s="65" t="n"/>
      <c r="D1908" s="9" t="n"/>
      <c r="E1908" s="66">
        <f>IF($B1908="","",IF(LEFT($B1908,1)="━","⚠️ Chọn hạng mục cụ thể",$C1908*VLOOKUP($B1908,'4. CÀI ĐẶT'!$A$2:$H$32,2,FALSE)))</f>
        <v/>
      </c>
      <c r="F1908" s="67">
        <f>IF($B1908="",0,IF(LEFT($B1908,1)="━",0,$C1908*VLOOKUP($B1908,'4. CÀI ĐẶT'!$A$2:$H$32,3,FALSE)))</f>
        <v/>
      </c>
      <c r="G1908" s="67">
        <f>IF($B1908="",0,IF(LEFT($B1908,1)="━",0,$C1908*VLOOKUP($B1908,'4. CÀI ĐẶT'!$A$2:$H$32,4,FALSE)))</f>
        <v/>
      </c>
      <c r="H1908" s="67">
        <f>IF($B1908="",0,IF(LEFT($B1908,1)="━",0,$C1908*VLOOKUP($B1908,'4. CÀI ĐẶT'!$A$2:$H$32,5,FALSE)))</f>
        <v/>
      </c>
      <c r="I1908">
        <f>IF($B1908="","",IF(LEFT($B1908,1)="━","",VLOOKUP($B1908,'4. CÀI ĐẶT'!$A$2:$H$32,6,FALSE)))</f>
        <v/>
      </c>
      <c r="J1908" s="13">
        <f>IF($A1908="","",EOMONTH($A1908,0))</f>
        <v/>
      </c>
      <c r="K1908" s="67">
        <f>IF($B1908="",0,IF(LEFT($B1908,1)="━",0,$C1908*VLOOKUP($B1908,'4. CÀI ĐẶT'!$A$2:$H$32,7,FALSE)))</f>
        <v/>
      </c>
    </row>
    <row r="1909">
      <c r="A1909" s="8" t="n"/>
      <c r="B1909" s="9" t="n"/>
      <c r="C1909" s="65" t="n"/>
      <c r="D1909" s="9" t="n"/>
      <c r="E1909" s="66">
        <f>IF($B1909="","",IF(LEFT($B1909,1)="━","⚠️ Chọn hạng mục cụ thể",$C1909*VLOOKUP($B1909,'4. CÀI ĐẶT'!$A$2:$H$32,2,FALSE)))</f>
        <v/>
      </c>
      <c r="F1909" s="67">
        <f>IF($B1909="",0,IF(LEFT($B1909,1)="━",0,$C1909*VLOOKUP($B1909,'4. CÀI ĐẶT'!$A$2:$H$32,3,FALSE)))</f>
        <v/>
      </c>
      <c r="G1909" s="67">
        <f>IF($B1909="",0,IF(LEFT($B1909,1)="━",0,$C1909*VLOOKUP($B1909,'4. CÀI ĐẶT'!$A$2:$H$32,4,FALSE)))</f>
        <v/>
      </c>
      <c r="H1909" s="67">
        <f>IF($B1909="",0,IF(LEFT($B1909,1)="━",0,$C1909*VLOOKUP($B1909,'4. CÀI ĐẶT'!$A$2:$H$32,5,FALSE)))</f>
        <v/>
      </c>
      <c r="I1909">
        <f>IF($B1909="","",IF(LEFT($B1909,1)="━","",VLOOKUP($B1909,'4. CÀI ĐẶT'!$A$2:$H$32,6,FALSE)))</f>
        <v/>
      </c>
      <c r="J1909" s="13">
        <f>IF($A1909="","",EOMONTH($A1909,0))</f>
        <v/>
      </c>
      <c r="K1909" s="67">
        <f>IF($B1909="",0,IF(LEFT($B1909,1)="━",0,$C1909*VLOOKUP($B1909,'4. CÀI ĐẶT'!$A$2:$H$32,7,FALSE)))</f>
        <v/>
      </c>
    </row>
    <row r="1910">
      <c r="A1910" s="8" t="n"/>
      <c r="B1910" s="9" t="n"/>
      <c r="C1910" s="65" t="n"/>
      <c r="D1910" s="9" t="n"/>
      <c r="E1910" s="66">
        <f>IF($B1910="","",IF(LEFT($B1910,1)="━","⚠️ Chọn hạng mục cụ thể",$C1910*VLOOKUP($B1910,'4. CÀI ĐẶT'!$A$2:$H$32,2,FALSE)))</f>
        <v/>
      </c>
      <c r="F1910" s="67">
        <f>IF($B1910="",0,IF(LEFT($B1910,1)="━",0,$C1910*VLOOKUP($B1910,'4. CÀI ĐẶT'!$A$2:$H$32,3,FALSE)))</f>
        <v/>
      </c>
      <c r="G1910" s="67">
        <f>IF($B1910="",0,IF(LEFT($B1910,1)="━",0,$C1910*VLOOKUP($B1910,'4. CÀI ĐẶT'!$A$2:$H$32,4,FALSE)))</f>
        <v/>
      </c>
      <c r="H1910" s="67">
        <f>IF($B1910="",0,IF(LEFT($B1910,1)="━",0,$C1910*VLOOKUP($B1910,'4. CÀI ĐẶT'!$A$2:$H$32,5,FALSE)))</f>
        <v/>
      </c>
      <c r="I1910">
        <f>IF($B1910="","",IF(LEFT($B1910,1)="━","",VLOOKUP($B1910,'4. CÀI ĐẶT'!$A$2:$H$32,6,FALSE)))</f>
        <v/>
      </c>
      <c r="J1910" s="13">
        <f>IF($A1910="","",EOMONTH($A1910,0))</f>
        <v/>
      </c>
      <c r="K1910" s="67">
        <f>IF($B1910="",0,IF(LEFT($B1910,1)="━",0,$C1910*VLOOKUP($B1910,'4. CÀI ĐẶT'!$A$2:$H$32,7,FALSE)))</f>
        <v/>
      </c>
    </row>
    <row r="1911">
      <c r="A1911" s="8" t="n"/>
      <c r="B1911" s="9" t="n"/>
      <c r="C1911" s="65" t="n"/>
      <c r="D1911" s="9" t="n"/>
      <c r="E1911" s="66">
        <f>IF($B1911="","",IF(LEFT($B1911,1)="━","⚠️ Chọn hạng mục cụ thể",$C1911*VLOOKUP($B1911,'4. CÀI ĐẶT'!$A$2:$H$32,2,FALSE)))</f>
        <v/>
      </c>
      <c r="F1911" s="67">
        <f>IF($B1911="",0,IF(LEFT($B1911,1)="━",0,$C1911*VLOOKUP($B1911,'4. CÀI ĐẶT'!$A$2:$H$32,3,FALSE)))</f>
        <v/>
      </c>
      <c r="G1911" s="67">
        <f>IF($B1911="",0,IF(LEFT($B1911,1)="━",0,$C1911*VLOOKUP($B1911,'4. CÀI ĐẶT'!$A$2:$H$32,4,FALSE)))</f>
        <v/>
      </c>
      <c r="H1911" s="67">
        <f>IF($B1911="",0,IF(LEFT($B1911,1)="━",0,$C1911*VLOOKUP($B1911,'4. CÀI ĐẶT'!$A$2:$H$32,5,FALSE)))</f>
        <v/>
      </c>
      <c r="I1911">
        <f>IF($B1911="","",IF(LEFT($B1911,1)="━","",VLOOKUP($B1911,'4. CÀI ĐẶT'!$A$2:$H$32,6,FALSE)))</f>
        <v/>
      </c>
      <c r="J1911" s="13">
        <f>IF($A1911="","",EOMONTH($A1911,0))</f>
        <v/>
      </c>
      <c r="K1911" s="67">
        <f>IF($B1911="",0,IF(LEFT($B1911,1)="━",0,$C1911*VLOOKUP($B1911,'4. CÀI ĐẶT'!$A$2:$H$32,7,FALSE)))</f>
        <v/>
      </c>
    </row>
    <row r="1912">
      <c r="A1912" s="8" t="n"/>
      <c r="B1912" s="9" t="n"/>
      <c r="C1912" s="65" t="n"/>
      <c r="D1912" s="9" t="n"/>
      <c r="E1912" s="66">
        <f>IF($B1912="","",IF(LEFT($B1912,1)="━","⚠️ Chọn hạng mục cụ thể",$C1912*VLOOKUP($B1912,'4. CÀI ĐẶT'!$A$2:$H$32,2,FALSE)))</f>
        <v/>
      </c>
      <c r="F1912" s="67">
        <f>IF($B1912="",0,IF(LEFT($B1912,1)="━",0,$C1912*VLOOKUP($B1912,'4. CÀI ĐẶT'!$A$2:$H$32,3,FALSE)))</f>
        <v/>
      </c>
      <c r="G1912" s="67">
        <f>IF($B1912="",0,IF(LEFT($B1912,1)="━",0,$C1912*VLOOKUP($B1912,'4. CÀI ĐẶT'!$A$2:$H$32,4,FALSE)))</f>
        <v/>
      </c>
      <c r="H1912" s="67">
        <f>IF($B1912="",0,IF(LEFT($B1912,1)="━",0,$C1912*VLOOKUP($B1912,'4. CÀI ĐẶT'!$A$2:$H$32,5,FALSE)))</f>
        <v/>
      </c>
      <c r="I1912">
        <f>IF($B1912="","",IF(LEFT($B1912,1)="━","",VLOOKUP($B1912,'4. CÀI ĐẶT'!$A$2:$H$32,6,FALSE)))</f>
        <v/>
      </c>
      <c r="J1912" s="13">
        <f>IF($A1912="","",EOMONTH($A1912,0))</f>
        <v/>
      </c>
      <c r="K1912" s="67">
        <f>IF($B1912="",0,IF(LEFT($B1912,1)="━",0,$C1912*VLOOKUP($B1912,'4. CÀI ĐẶT'!$A$2:$H$32,7,FALSE)))</f>
        <v/>
      </c>
    </row>
    <row r="1913">
      <c r="A1913" s="8" t="n"/>
      <c r="B1913" s="9" t="n"/>
      <c r="C1913" s="65" t="n"/>
      <c r="D1913" s="9" t="n"/>
      <c r="E1913" s="66">
        <f>IF($B1913="","",IF(LEFT($B1913,1)="━","⚠️ Chọn hạng mục cụ thể",$C1913*VLOOKUP($B1913,'4. CÀI ĐẶT'!$A$2:$H$32,2,FALSE)))</f>
        <v/>
      </c>
      <c r="F1913" s="67">
        <f>IF($B1913="",0,IF(LEFT($B1913,1)="━",0,$C1913*VLOOKUP($B1913,'4. CÀI ĐẶT'!$A$2:$H$32,3,FALSE)))</f>
        <v/>
      </c>
      <c r="G1913" s="67">
        <f>IF($B1913="",0,IF(LEFT($B1913,1)="━",0,$C1913*VLOOKUP($B1913,'4. CÀI ĐẶT'!$A$2:$H$32,4,FALSE)))</f>
        <v/>
      </c>
      <c r="H1913" s="67">
        <f>IF($B1913="",0,IF(LEFT($B1913,1)="━",0,$C1913*VLOOKUP($B1913,'4. CÀI ĐẶT'!$A$2:$H$32,5,FALSE)))</f>
        <v/>
      </c>
      <c r="I1913">
        <f>IF($B1913="","",IF(LEFT($B1913,1)="━","",VLOOKUP($B1913,'4. CÀI ĐẶT'!$A$2:$H$32,6,FALSE)))</f>
        <v/>
      </c>
      <c r="J1913" s="13">
        <f>IF($A1913="","",EOMONTH($A1913,0))</f>
        <v/>
      </c>
      <c r="K1913" s="67">
        <f>IF($B1913="",0,IF(LEFT($B1913,1)="━",0,$C1913*VLOOKUP($B1913,'4. CÀI ĐẶT'!$A$2:$H$32,7,FALSE)))</f>
        <v/>
      </c>
    </row>
    <row r="1914">
      <c r="A1914" s="8" t="n"/>
      <c r="B1914" s="9" t="n"/>
      <c r="C1914" s="65" t="n"/>
      <c r="D1914" s="9" t="n"/>
      <c r="E1914" s="66">
        <f>IF($B1914="","",IF(LEFT($B1914,1)="━","⚠️ Chọn hạng mục cụ thể",$C1914*VLOOKUP($B1914,'4. CÀI ĐẶT'!$A$2:$H$32,2,FALSE)))</f>
        <v/>
      </c>
      <c r="F1914" s="67">
        <f>IF($B1914="",0,IF(LEFT($B1914,1)="━",0,$C1914*VLOOKUP($B1914,'4. CÀI ĐẶT'!$A$2:$H$32,3,FALSE)))</f>
        <v/>
      </c>
      <c r="G1914" s="67">
        <f>IF($B1914="",0,IF(LEFT($B1914,1)="━",0,$C1914*VLOOKUP($B1914,'4. CÀI ĐẶT'!$A$2:$H$32,4,FALSE)))</f>
        <v/>
      </c>
      <c r="H1914" s="67">
        <f>IF($B1914="",0,IF(LEFT($B1914,1)="━",0,$C1914*VLOOKUP($B1914,'4. CÀI ĐẶT'!$A$2:$H$32,5,FALSE)))</f>
        <v/>
      </c>
      <c r="I1914">
        <f>IF($B1914="","",IF(LEFT($B1914,1)="━","",VLOOKUP($B1914,'4. CÀI ĐẶT'!$A$2:$H$32,6,FALSE)))</f>
        <v/>
      </c>
      <c r="J1914" s="13">
        <f>IF($A1914="","",EOMONTH($A1914,0))</f>
        <v/>
      </c>
      <c r="K1914" s="67">
        <f>IF($B1914="",0,IF(LEFT($B1914,1)="━",0,$C1914*VLOOKUP($B1914,'4. CÀI ĐẶT'!$A$2:$H$32,7,FALSE)))</f>
        <v/>
      </c>
    </row>
    <row r="1915">
      <c r="A1915" s="8" t="n"/>
      <c r="B1915" s="9" t="n"/>
      <c r="C1915" s="65" t="n"/>
      <c r="D1915" s="9" t="n"/>
      <c r="E1915" s="66">
        <f>IF($B1915="","",IF(LEFT($B1915,1)="━","⚠️ Chọn hạng mục cụ thể",$C1915*VLOOKUP($B1915,'4. CÀI ĐẶT'!$A$2:$H$32,2,FALSE)))</f>
        <v/>
      </c>
      <c r="F1915" s="67">
        <f>IF($B1915="",0,IF(LEFT($B1915,1)="━",0,$C1915*VLOOKUP($B1915,'4. CÀI ĐẶT'!$A$2:$H$32,3,FALSE)))</f>
        <v/>
      </c>
      <c r="G1915" s="67">
        <f>IF($B1915="",0,IF(LEFT($B1915,1)="━",0,$C1915*VLOOKUP($B1915,'4. CÀI ĐẶT'!$A$2:$H$32,4,FALSE)))</f>
        <v/>
      </c>
      <c r="H1915" s="67">
        <f>IF($B1915="",0,IF(LEFT($B1915,1)="━",0,$C1915*VLOOKUP($B1915,'4. CÀI ĐẶT'!$A$2:$H$32,5,FALSE)))</f>
        <v/>
      </c>
      <c r="I1915">
        <f>IF($B1915="","",IF(LEFT($B1915,1)="━","",VLOOKUP($B1915,'4. CÀI ĐẶT'!$A$2:$H$32,6,FALSE)))</f>
        <v/>
      </c>
      <c r="J1915" s="13">
        <f>IF($A1915="","",EOMONTH($A1915,0))</f>
        <v/>
      </c>
      <c r="K1915" s="67">
        <f>IF($B1915="",0,IF(LEFT($B1915,1)="━",0,$C1915*VLOOKUP($B1915,'4. CÀI ĐẶT'!$A$2:$H$32,7,FALSE)))</f>
        <v/>
      </c>
    </row>
    <row r="1916">
      <c r="A1916" s="8" t="n"/>
      <c r="B1916" s="9" t="n"/>
      <c r="C1916" s="65" t="n"/>
      <c r="D1916" s="9" t="n"/>
      <c r="E1916" s="66">
        <f>IF($B1916="","",IF(LEFT($B1916,1)="━","⚠️ Chọn hạng mục cụ thể",$C1916*VLOOKUP($B1916,'4. CÀI ĐẶT'!$A$2:$H$32,2,FALSE)))</f>
        <v/>
      </c>
      <c r="F1916" s="67">
        <f>IF($B1916="",0,IF(LEFT($B1916,1)="━",0,$C1916*VLOOKUP($B1916,'4. CÀI ĐẶT'!$A$2:$H$32,3,FALSE)))</f>
        <v/>
      </c>
      <c r="G1916" s="67">
        <f>IF($B1916="",0,IF(LEFT($B1916,1)="━",0,$C1916*VLOOKUP($B1916,'4. CÀI ĐẶT'!$A$2:$H$32,4,FALSE)))</f>
        <v/>
      </c>
      <c r="H1916" s="67">
        <f>IF($B1916="",0,IF(LEFT($B1916,1)="━",0,$C1916*VLOOKUP($B1916,'4. CÀI ĐẶT'!$A$2:$H$32,5,FALSE)))</f>
        <v/>
      </c>
      <c r="I1916">
        <f>IF($B1916="","",IF(LEFT($B1916,1)="━","",VLOOKUP($B1916,'4. CÀI ĐẶT'!$A$2:$H$32,6,FALSE)))</f>
        <v/>
      </c>
      <c r="J1916" s="13">
        <f>IF($A1916="","",EOMONTH($A1916,0))</f>
        <v/>
      </c>
      <c r="K1916" s="67">
        <f>IF($B1916="",0,IF(LEFT($B1916,1)="━",0,$C1916*VLOOKUP($B1916,'4. CÀI ĐẶT'!$A$2:$H$32,7,FALSE)))</f>
        <v/>
      </c>
    </row>
    <row r="1917">
      <c r="A1917" s="8" t="n"/>
      <c r="B1917" s="9" t="n"/>
      <c r="C1917" s="65" t="n"/>
      <c r="D1917" s="9" t="n"/>
      <c r="E1917" s="66">
        <f>IF($B1917="","",IF(LEFT($B1917,1)="━","⚠️ Chọn hạng mục cụ thể",$C1917*VLOOKUP($B1917,'4. CÀI ĐẶT'!$A$2:$H$32,2,FALSE)))</f>
        <v/>
      </c>
      <c r="F1917" s="67">
        <f>IF($B1917="",0,IF(LEFT($B1917,1)="━",0,$C1917*VLOOKUP($B1917,'4. CÀI ĐẶT'!$A$2:$H$32,3,FALSE)))</f>
        <v/>
      </c>
      <c r="G1917" s="67">
        <f>IF($B1917="",0,IF(LEFT($B1917,1)="━",0,$C1917*VLOOKUP($B1917,'4. CÀI ĐẶT'!$A$2:$H$32,4,FALSE)))</f>
        <v/>
      </c>
      <c r="H1917" s="67">
        <f>IF($B1917="",0,IF(LEFT($B1917,1)="━",0,$C1917*VLOOKUP($B1917,'4. CÀI ĐẶT'!$A$2:$H$32,5,FALSE)))</f>
        <v/>
      </c>
      <c r="I1917">
        <f>IF($B1917="","",IF(LEFT($B1917,1)="━","",VLOOKUP($B1917,'4. CÀI ĐẶT'!$A$2:$H$32,6,FALSE)))</f>
        <v/>
      </c>
      <c r="J1917" s="13">
        <f>IF($A1917="","",EOMONTH($A1917,0))</f>
        <v/>
      </c>
      <c r="K1917" s="67">
        <f>IF($B1917="",0,IF(LEFT($B1917,1)="━",0,$C1917*VLOOKUP($B1917,'4. CÀI ĐẶT'!$A$2:$H$32,7,FALSE)))</f>
        <v/>
      </c>
    </row>
    <row r="1918">
      <c r="A1918" s="8" t="n"/>
      <c r="B1918" s="9" t="n"/>
      <c r="C1918" s="65" t="n"/>
      <c r="D1918" s="9" t="n"/>
      <c r="E1918" s="66">
        <f>IF($B1918="","",IF(LEFT($B1918,1)="━","⚠️ Chọn hạng mục cụ thể",$C1918*VLOOKUP($B1918,'4. CÀI ĐẶT'!$A$2:$H$32,2,FALSE)))</f>
        <v/>
      </c>
      <c r="F1918" s="67">
        <f>IF($B1918="",0,IF(LEFT($B1918,1)="━",0,$C1918*VLOOKUP($B1918,'4. CÀI ĐẶT'!$A$2:$H$32,3,FALSE)))</f>
        <v/>
      </c>
      <c r="G1918" s="67">
        <f>IF($B1918="",0,IF(LEFT($B1918,1)="━",0,$C1918*VLOOKUP($B1918,'4. CÀI ĐẶT'!$A$2:$H$32,4,FALSE)))</f>
        <v/>
      </c>
      <c r="H1918" s="67">
        <f>IF($B1918="",0,IF(LEFT($B1918,1)="━",0,$C1918*VLOOKUP($B1918,'4. CÀI ĐẶT'!$A$2:$H$32,5,FALSE)))</f>
        <v/>
      </c>
      <c r="I1918">
        <f>IF($B1918="","",IF(LEFT($B1918,1)="━","",VLOOKUP($B1918,'4. CÀI ĐẶT'!$A$2:$H$32,6,FALSE)))</f>
        <v/>
      </c>
      <c r="J1918" s="13">
        <f>IF($A1918="","",EOMONTH($A1918,0))</f>
        <v/>
      </c>
      <c r="K1918" s="67">
        <f>IF($B1918="",0,IF(LEFT($B1918,1)="━",0,$C1918*VLOOKUP($B1918,'4. CÀI ĐẶT'!$A$2:$H$32,7,FALSE)))</f>
        <v/>
      </c>
    </row>
    <row r="1919">
      <c r="A1919" s="8" t="n"/>
      <c r="B1919" s="9" t="n"/>
      <c r="C1919" s="65" t="n"/>
      <c r="D1919" s="9" t="n"/>
      <c r="E1919" s="66">
        <f>IF($B1919="","",IF(LEFT($B1919,1)="━","⚠️ Chọn hạng mục cụ thể",$C1919*VLOOKUP($B1919,'4. CÀI ĐẶT'!$A$2:$H$32,2,FALSE)))</f>
        <v/>
      </c>
      <c r="F1919" s="67">
        <f>IF($B1919="",0,IF(LEFT($B1919,1)="━",0,$C1919*VLOOKUP($B1919,'4. CÀI ĐẶT'!$A$2:$H$32,3,FALSE)))</f>
        <v/>
      </c>
      <c r="G1919" s="67">
        <f>IF($B1919="",0,IF(LEFT($B1919,1)="━",0,$C1919*VLOOKUP($B1919,'4. CÀI ĐẶT'!$A$2:$H$32,4,FALSE)))</f>
        <v/>
      </c>
      <c r="H1919" s="67">
        <f>IF($B1919="",0,IF(LEFT($B1919,1)="━",0,$C1919*VLOOKUP($B1919,'4. CÀI ĐẶT'!$A$2:$H$32,5,FALSE)))</f>
        <v/>
      </c>
      <c r="I1919">
        <f>IF($B1919="","",IF(LEFT($B1919,1)="━","",VLOOKUP($B1919,'4. CÀI ĐẶT'!$A$2:$H$32,6,FALSE)))</f>
        <v/>
      </c>
      <c r="J1919" s="13">
        <f>IF($A1919="","",EOMONTH($A1919,0))</f>
        <v/>
      </c>
      <c r="K1919" s="67">
        <f>IF($B1919="",0,IF(LEFT($B1919,1)="━",0,$C1919*VLOOKUP($B1919,'4. CÀI ĐẶT'!$A$2:$H$32,7,FALSE)))</f>
        <v/>
      </c>
    </row>
    <row r="1920">
      <c r="A1920" s="8" t="n"/>
      <c r="B1920" s="9" t="n"/>
      <c r="C1920" s="65" t="n"/>
      <c r="D1920" s="9" t="n"/>
      <c r="E1920" s="66">
        <f>IF($B1920="","",IF(LEFT($B1920,1)="━","⚠️ Chọn hạng mục cụ thể",$C1920*VLOOKUP($B1920,'4. CÀI ĐẶT'!$A$2:$H$32,2,FALSE)))</f>
        <v/>
      </c>
      <c r="F1920" s="67">
        <f>IF($B1920="",0,IF(LEFT($B1920,1)="━",0,$C1920*VLOOKUP($B1920,'4. CÀI ĐẶT'!$A$2:$H$32,3,FALSE)))</f>
        <v/>
      </c>
      <c r="G1920" s="67">
        <f>IF($B1920="",0,IF(LEFT($B1920,1)="━",0,$C1920*VLOOKUP($B1920,'4. CÀI ĐẶT'!$A$2:$H$32,4,FALSE)))</f>
        <v/>
      </c>
      <c r="H1920" s="67">
        <f>IF($B1920="",0,IF(LEFT($B1920,1)="━",0,$C1920*VLOOKUP($B1920,'4. CÀI ĐẶT'!$A$2:$H$32,5,FALSE)))</f>
        <v/>
      </c>
      <c r="I1920">
        <f>IF($B1920="","",IF(LEFT($B1920,1)="━","",VLOOKUP($B1920,'4. CÀI ĐẶT'!$A$2:$H$32,6,FALSE)))</f>
        <v/>
      </c>
      <c r="J1920" s="13">
        <f>IF($A1920="","",EOMONTH($A1920,0))</f>
        <v/>
      </c>
      <c r="K1920" s="67">
        <f>IF($B1920="",0,IF(LEFT($B1920,1)="━",0,$C1920*VLOOKUP($B1920,'4. CÀI ĐẶT'!$A$2:$H$32,7,FALSE)))</f>
        <v/>
      </c>
    </row>
    <row r="1921">
      <c r="A1921" s="8" t="n"/>
      <c r="B1921" s="9" t="n"/>
      <c r="C1921" s="65" t="n"/>
      <c r="D1921" s="9" t="n"/>
      <c r="E1921" s="66">
        <f>IF($B1921="","",IF(LEFT($B1921,1)="━","⚠️ Chọn hạng mục cụ thể",$C1921*VLOOKUP($B1921,'4. CÀI ĐẶT'!$A$2:$H$32,2,FALSE)))</f>
        <v/>
      </c>
      <c r="F1921" s="67">
        <f>IF($B1921="",0,IF(LEFT($B1921,1)="━",0,$C1921*VLOOKUP($B1921,'4. CÀI ĐẶT'!$A$2:$H$32,3,FALSE)))</f>
        <v/>
      </c>
      <c r="G1921" s="67">
        <f>IF($B1921="",0,IF(LEFT($B1921,1)="━",0,$C1921*VLOOKUP($B1921,'4. CÀI ĐẶT'!$A$2:$H$32,4,FALSE)))</f>
        <v/>
      </c>
      <c r="H1921" s="67">
        <f>IF($B1921="",0,IF(LEFT($B1921,1)="━",0,$C1921*VLOOKUP($B1921,'4. CÀI ĐẶT'!$A$2:$H$32,5,FALSE)))</f>
        <v/>
      </c>
      <c r="I1921">
        <f>IF($B1921="","",IF(LEFT($B1921,1)="━","",VLOOKUP($B1921,'4. CÀI ĐẶT'!$A$2:$H$32,6,FALSE)))</f>
        <v/>
      </c>
      <c r="J1921" s="13">
        <f>IF($A1921="","",EOMONTH($A1921,0))</f>
        <v/>
      </c>
      <c r="K1921" s="67">
        <f>IF($B1921="",0,IF(LEFT($B1921,1)="━",0,$C1921*VLOOKUP($B1921,'4. CÀI ĐẶT'!$A$2:$H$32,7,FALSE)))</f>
        <v/>
      </c>
    </row>
    <row r="1922">
      <c r="A1922" s="8" t="n"/>
      <c r="B1922" s="9" t="n"/>
      <c r="C1922" s="65" t="n"/>
      <c r="D1922" s="9" t="n"/>
      <c r="E1922" s="66">
        <f>IF($B1922="","",IF(LEFT($B1922,1)="━","⚠️ Chọn hạng mục cụ thể",$C1922*VLOOKUP($B1922,'4. CÀI ĐẶT'!$A$2:$H$32,2,FALSE)))</f>
        <v/>
      </c>
      <c r="F1922" s="67">
        <f>IF($B1922="",0,IF(LEFT($B1922,1)="━",0,$C1922*VLOOKUP($B1922,'4. CÀI ĐẶT'!$A$2:$H$32,3,FALSE)))</f>
        <v/>
      </c>
      <c r="G1922" s="67">
        <f>IF($B1922="",0,IF(LEFT($B1922,1)="━",0,$C1922*VLOOKUP($B1922,'4. CÀI ĐẶT'!$A$2:$H$32,4,FALSE)))</f>
        <v/>
      </c>
      <c r="H1922" s="67">
        <f>IF($B1922="",0,IF(LEFT($B1922,1)="━",0,$C1922*VLOOKUP($B1922,'4. CÀI ĐẶT'!$A$2:$H$32,5,FALSE)))</f>
        <v/>
      </c>
      <c r="I1922">
        <f>IF($B1922="","",IF(LEFT($B1922,1)="━","",VLOOKUP($B1922,'4. CÀI ĐẶT'!$A$2:$H$32,6,FALSE)))</f>
        <v/>
      </c>
      <c r="J1922" s="13">
        <f>IF($A1922="","",EOMONTH($A1922,0))</f>
        <v/>
      </c>
      <c r="K1922" s="67">
        <f>IF($B1922="",0,IF(LEFT($B1922,1)="━",0,$C1922*VLOOKUP($B1922,'4. CÀI ĐẶT'!$A$2:$H$32,7,FALSE)))</f>
        <v/>
      </c>
    </row>
    <row r="1923">
      <c r="A1923" s="8" t="n"/>
      <c r="B1923" s="9" t="n"/>
      <c r="C1923" s="65" t="n"/>
      <c r="D1923" s="9" t="n"/>
      <c r="E1923" s="66">
        <f>IF($B1923="","",IF(LEFT($B1923,1)="━","⚠️ Chọn hạng mục cụ thể",$C1923*VLOOKUP($B1923,'4. CÀI ĐẶT'!$A$2:$H$32,2,FALSE)))</f>
        <v/>
      </c>
      <c r="F1923" s="67">
        <f>IF($B1923="",0,IF(LEFT($B1923,1)="━",0,$C1923*VLOOKUP($B1923,'4. CÀI ĐẶT'!$A$2:$H$32,3,FALSE)))</f>
        <v/>
      </c>
      <c r="G1923" s="67">
        <f>IF($B1923="",0,IF(LEFT($B1923,1)="━",0,$C1923*VLOOKUP($B1923,'4. CÀI ĐẶT'!$A$2:$H$32,4,FALSE)))</f>
        <v/>
      </c>
      <c r="H1923" s="67">
        <f>IF($B1923="",0,IF(LEFT($B1923,1)="━",0,$C1923*VLOOKUP($B1923,'4. CÀI ĐẶT'!$A$2:$H$32,5,FALSE)))</f>
        <v/>
      </c>
      <c r="I1923">
        <f>IF($B1923="","",IF(LEFT($B1923,1)="━","",VLOOKUP($B1923,'4. CÀI ĐẶT'!$A$2:$H$32,6,FALSE)))</f>
        <v/>
      </c>
      <c r="J1923" s="13">
        <f>IF($A1923="","",EOMONTH($A1923,0))</f>
        <v/>
      </c>
      <c r="K1923" s="67">
        <f>IF($B1923="",0,IF(LEFT($B1923,1)="━",0,$C1923*VLOOKUP($B1923,'4. CÀI ĐẶT'!$A$2:$H$32,7,FALSE)))</f>
        <v/>
      </c>
    </row>
    <row r="1924">
      <c r="A1924" s="8" t="n"/>
      <c r="B1924" s="9" t="n"/>
      <c r="C1924" s="65" t="n"/>
      <c r="D1924" s="9" t="n"/>
      <c r="E1924" s="66">
        <f>IF($B1924="","",IF(LEFT($B1924,1)="━","⚠️ Chọn hạng mục cụ thể",$C1924*VLOOKUP($B1924,'4. CÀI ĐẶT'!$A$2:$H$32,2,FALSE)))</f>
        <v/>
      </c>
      <c r="F1924" s="67">
        <f>IF($B1924="",0,IF(LEFT($B1924,1)="━",0,$C1924*VLOOKUP($B1924,'4. CÀI ĐẶT'!$A$2:$H$32,3,FALSE)))</f>
        <v/>
      </c>
      <c r="G1924" s="67">
        <f>IF($B1924="",0,IF(LEFT($B1924,1)="━",0,$C1924*VLOOKUP($B1924,'4. CÀI ĐẶT'!$A$2:$H$32,4,FALSE)))</f>
        <v/>
      </c>
      <c r="H1924" s="67">
        <f>IF($B1924="",0,IF(LEFT($B1924,1)="━",0,$C1924*VLOOKUP($B1924,'4. CÀI ĐẶT'!$A$2:$H$32,5,FALSE)))</f>
        <v/>
      </c>
      <c r="I1924">
        <f>IF($B1924="","",IF(LEFT($B1924,1)="━","",VLOOKUP($B1924,'4. CÀI ĐẶT'!$A$2:$H$32,6,FALSE)))</f>
        <v/>
      </c>
      <c r="J1924" s="13">
        <f>IF($A1924="","",EOMONTH($A1924,0))</f>
        <v/>
      </c>
      <c r="K1924" s="67">
        <f>IF($B1924="",0,IF(LEFT($B1924,1)="━",0,$C1924*VLOOKUP($B1924,'4. CÀI ĐẶT'!$A$2:$H$32,7,FALSE)))</f>
        <v/>
      </c>
    </row>
    <row r="1925">
      <c r="A1925" s="8" t="n"/>
      <c r="B1925" s="9" t="n"/>
      <c r="C1925" s="65" t="n"/>
      <c r="D1925" s="9" t="n"/>
      <c r="E1925" s="66">
        <f>IF($B1925="","",IF(LEFT($B1925,1)="━","⚠️ Chọn hạng mục cụ thể",$C1925*VLOOKUP($B1925,'4. CÀI ĐẶT'!$A$2:$H$32,2,FALSE)))</f>
        <v/>
      </c>
      <c r="F1925" s="67">
        <f>IF($B1925="",0,IF(LEFT($B1925,1)="━",0,$C1925*VLOOKUP($B1925,'4. CÀI ĐẶT'!$A$2:$H$32,3,FALSE)))</f>
        <v/>
      </c>
      <c r="G1925" s="67">
        <f>IF($B1925="",0,IF(LEFT($B1925,1)="━",0,$C1925*VLOOKUP($B1925,'4. CÀI ĐẶT'!$A$2:$H$32,4,FALSE)))</f>
        <v/>
      </c>
      <c r="H1925" s="67">
        <f>IF($B1925="",0,IF(LEFT($B1925,1)="━",0,$C1925*VLOOKUP($B1925,'4. CÀI ĐẶT'!$A$2:$H$32,5,FALSE)))</f>
        <v/>
      </c>
      <c r="I1925">
        <f>IF($B1925="","",IF(LEFT($B1925,1)="━","",VLOOKUP($B1925,'4. CÀI ĐẶT'!$A$2:$H$32,6,FALSE)))</f>
        <v/>
      </c>
      <c r="J1925" s="13">
        <f>IF($A1925="","",EOMONTH($A1925,0))</f>
        <v/>
      </c>
      <c r="K1925" s="67">
        <f>IF($B1925="",0,IF(LEFT($B1925,1)="━",0,$C1925*VLOOKUP($B1925,'4. CÀI ĐẶT'!$A$2:$H$32,7,FALSE)))</f>
        <v/>
      </c>
    </row>
    <row r="1926">
      <c r="A1926" s="8" t="n"/>
      <c r="B1926" s="9" t="n"/>
      <c r="C1926" s="65" t="n"/>
      <c r="D1926" s="9" t="n"/>
      <c r="E1926" s="66">
        <f>IF($B1926="","",IF(LEFT($B1926,1)="━","⚠️ Chọn hạng mục cụ thể",$C1926*VLOOKUP($B1926,'4. CÀI ĐẶT'!$A$2:$H$32,2,FALSE)))</f>
        <v/>
      </c>
      <c r="F1926" s="67">
        <f>IF($B1926="",0,IF(LEFT($B1926,1)="━",0,$C1926*VLOOKUP($B1926,'4. CÀI ĐẶT'!$A$2:$H$32,3,FALSE)))</f>
        <v/>
      </c>
      <c r="G1926" s="67">
        <f>IF($B1926="",0,IF(LEFT($B1926,1)="━",0,$C1926*VLOOKUP($B1926,'4. CÀI ĐẶT'!$A$2:$H$32,4,FALSE)))</f>
        <v/>
      </c>
      <c r="H1926" s="67">
        <f>IF($B1926="",0,IF(LEFT($B1926,1)="━",0,$C1926*VLOOKUP($B1926,'4. CÀI ĐẶT'!$A$2:$H$32,5,FALSE)))</f>
        <v/>
      </c>
      <c r="I1926">
        <f>IF($B1926="","",IF(LEFT($B1926,1)="━","",VLOOKUP($B1926,'4. CÀI ĐẶT'!$A$2:$H$32,6,FALSE)))</f>
        <v/>
      </c>
      <c r="J1926" s="13">
        <f>IF($A1926="","",EOMONTH($A1926,0))</f>
        <v/>
      </c>
      <c r="K1926" s="67">
        <f>IF($B1926="",0,IF(LEFT($B1926,1)="━",0,$C1926*VLOOKUP($B1926,'4. CÀI ĐẶT'!$A$2:$H$32,7,FALSE)))</f>
        <v/>
      </c>
    </row>
    <row r="1927">
      <c r="A1927" s="8" t="n"/>
      <c r="B1927" s="9" t="n"/>
      <c r="C1927" s="65" t="n"/>
      <c r="D1927" s="9" t="n"/>
      <c r="E1927" s="66">
        <f>IF($B1927="","",IF(LEFT($B1927,1)="━","⚠️ Chọn hạng mục cụ thể",$C1927*VLOOKUP($B1927,'4. CÀI ĐẶT'!$A$2:$H$32,2,FALSE)))</f>
        <v/>
      </c>
      <c r="F1927" s="67">
        <f>IF($B1927="",0,IF(LEFT($B1927,1)="━",0,$C1927*VLOOKUP($B1927,'4. CÀI ĐẶT'!$A$2:$H$32,3,FALSE)))</f>
        <v/>
      </c>
      <c r="G1927" s="67">
        <f>IF($B1927="",0,IF(LEFT($B1927,1)="━",0,$C1927*VLOOKUP($B1927,'4. CÀI ĐẶT'!$A$2:$H$32,4,FALSE)))</f>
        <v/>
      </c>
      <c r="H1927" s="67">
        <f>IF($B1927="",0,IF(LEFT($B1927,1)="━",0,$C1927*VLOOKUP($B1927,'4. CÀI ĐẶT'!$A$2:$H$32,5,FALSE)))</f>
        <v/>
      </c>
      <c r="I1927">
        <f>IF($B1927="","",IF(LEFT($B1927,1)="━","",VLOOKUP($B1927,'4. CÀI ĐẶT'!$A$2:$H$32,6,FALSE)))</f>
        <v/>
      </c>
      <c r="J1927" s="13">
        <f>IF($A1927="","",EOMONTH($A1927,0))</f>
        <v/>
      </c>
      <c r="K1927" s="67">
        <f>IF($B1927="",0,IF(LEFT($B1927,1)="━",0,$C1927*VLOOKUP($B1927,'4. CÀI ĐẶT'!$A$2:$H$32,7,FALSE)))</f>
        <v/>
      </c>
    </row>
    <row r="1928">
      <c r="A1928" s="8" t="n"/>
      <c r="B1928" s="9" t="n"/>
      <c r="C1928" s="65" t="n"/>
      <c r="D1928" s="9" t="n"/>
      <c r="E1928" s="66">
        <f>IF($B1928="","",IF(LEFT($B1928,1)="━","⚠️ Chọn hạng mục cụ thể",$C1928*VLOOKUP($B1928,'4. CÀI ĐẶT'!$A$2:$H$32,2,FALSE)))</f>
        <v/>
      </c>
      <c r="F1928" s="67">
        <f>IF($B1928="",0,IF(LEFT($B1928,1)="━",0,$C1928*VLOOKUP($B1928,'4. CÀI ĐẶT'!$A$2:$H$32,3,FALSE)))</f>
        <v/>
      </c>
      <c r="G1928" s="67">
        <f>IF($B1928="",0,IF(LEFT($B1928,1)="━",0,$C1928*VLOOKUP($B1928,'4. CÀI ĐẶT'!$A$2:$H$32,4,FALSE)))</f>
        <v/>
      </c>
      <c r="H1928" s="67">
        <f>IF($B1928="",0,IF(LEFT($B1928,1)="━",0,$C1928*VLOOKUP($B1928,'4. CÀI ĐẶT'!$A$2:$H$32,5,FALSE)))</f>
        <v/>
      </c>
      <c r="I1928">
        <f>IF($B1928="","",IF(LEFT($B1928,1)="━","",VLOOKUP($B1928,'4. CÀI ĐẶT'!$A$2:$H$32,6,FALSE)))</f>
        <v/>
      </c>
      <c r="J1928" s="13">
        <f>IF($A1928="","",EOMONTH($A1928,0))</f>
        <v/>
      </c>
      <c r="K1928" s="67">
        <f>IF($B1928="",0,IF(LEFT($B1928,1)="━",0,$C1928*VLOOKUP($B1928,'4. CÀI ĐẶT'!$A$2:$H$32,7,FALSE)))</f>
        <v/>
      </c>
    </row>
    <row r="1929">
      <c r="A1929" s="8" t="n"/>
      <c r="B1929" s="9" t="n"/>
      <c r="C1929" s="65" t="n"/>
      <c r="D1929" s="9" t="n"/>
      <c r="E1929" s="66">
        <f>IF($B1929="","",IF(LEFT($B1929,1)="━","⚠️ Chọn hạng mục cụ thể",$C1929*VLOOKUP($B1929,'4. CÀI ĐẶT'!$A$2:$H$32,2,FALSE)))</f>
        <v/>
      </c>
      <c r="F1929" s="67">
        <f>IF($B1929="",0,IF(LEFT($B1929,1)="━",0,$C1929*VLOOKUP($B1929,'4. CÀI ĐẶT'!$A$2:$H$32,3,FALSE)))</f>
        <v/>
      </c>
      <c r="G1929" s="67">
        <f>IF($B1929="",0,IF(LEFT($B1929,1)="━",0,$C1929*VLOOKUP($B1929,'4. CÀI ĐẶT'!$A$2:$H$32,4,FALSE)))</f>
        <v/>
      </c>
      <c r="H1929" s="67">
        <f>IF($B1929="",0,IF(LEFT($B1929,1)="━",0,$C1929*VLOOKUP($B1929,'4. CÀI ĐẶT'!$A$2:$H$32,5,FALSE)))</f>
        <v/>
      </c>
      <c r="I1929">
        <f>IF($B1929="","",IF(LEFT($B1929,1)="━","",VLOOKUP($B1929,'4. CÀI ĐẶT'!$A$2:$H$32,6,FALSE)))</f>
        <v/>
      </c>
      <c r="J1929" s="13">
        <f>IF($A1929="","",EOMONTH($A1929,0))</f>
        <v/>
      </c>
      <c r="K1929" s="67">
        <f>IF($B1929="",0,IF(LEFT($B1929,1)="━",0,$C1929*VLOOKUP($B1929,'4. CÀI ĐẶT'!$A$2:$H$32,7,FALSE)))</f>
        <v/>
      </c>
    </row>
    <row r="1930">
      <c r="A1930" s="8" t="n"/>
      <c r="B1930" s="9" t="n"/>
      <c r="C1930" s="65" t="n"/>
      <c r="D1930" s="9" t="n"/>
      <c r="E1930" s="66">
        <f>IF($B1930="","",IF(LEFT($B1930,1)="━","⚠️ Chọn hạng mục cụ thể",$C1930*VLOOKUP($B1930,'4. CÀI ĐẶT'!$A$2:$H$32,2,FALSE)))</f>
        <v/>
      </c>
      <c r="F1930" s="67">
        <f>IF($B1930="",0,IF(LEFT($B1930,1)="━",0,$C1930*VLOOKUP($B1930,'4. CÀI ĐẶT'!$A$2:$H$32,3,FALSE)))</f>
        <v/>
      </c>
      <c r="G1930" s="67">
        <f>IF($B1930="",0,IF(LEFT($B1930,1)="━",0,$C1930*VLOOKUP($B1930,'4. CÀI ĐẶT'!$A$2:$H$32,4,FALSE)))</f>
        <v/>
      </c>
      <c r="H1930" s="67">
        <f>IF($B1930="",0,IF(LEFT($B1930,1)="━",0,$C1930*VLOOKUP($B1930,'4. CÀI ĐẶT'!$A$2:$H$32,5,FALSE)))</f>
        <v/>
      </c>
      <c r="I1930">
        <f>IF($B1930="","",IF(LEFT($B1930,1)="━","",VLOOKUP($B1930,'4. CÀI ĐẶT'!$A$2:$H$32,6,FALSE)))</f>
        <v/>
      </c>
      <c r="J1930" s="13">
        <f>IF($A1930="","",EOMONTH($A1930,0))</f>
        <v/>
      </c>
      <c r="K1930" s="67">
        <f>IF($B1930="",0,IF(LEFT($B1930,1)="━",0,$C1930*VLOOKUP($B1930,'4. CÀI ĐẶT'!$A$2:$H$32,7,FALSE)))</f>
        <v/>
      </c>
    </row>
    <row r="1931">
      <c r="A1931" s="8" t="n"/>
      <c r="B1931" s="9" t="n"/>
      <c r="C1931" s="65" t="n"/>
      <c r="D1931" s="9" t="n"/>
      <c r="E1931" s="66">
        <f>IF($B1931="","",IF(LEFT($B1931,1)="━","⚠️ Chọn hạng mục cụ thể",$C1931*VLOOKUP($B1931,'4. CÀI ĐẶT'!$A$2:$H$32,2,FALSE)))</f>
        <v/>
      </c>
      <c r="F1931" s="67">
        <f>IF($B1931="",0,IF(LEFT($B1931,1)="━",0,$C1931*VLOOKUP($B1931,'4. CÀI ĐẶT'!$A$2:$H$32,3,FALSE)))</f>
        <v/>
      </c>
      <c r="G1931" s="67">
        <f>IF($B1931="",0,IF(LEFT($B1931,1)="━",0,$C1931*VLOOKUP($B1931,'4. CÀI ĐẶT'!$A$2:$H$32,4,FALSE)))</f>
        <v/>
      </c>
      <c r="H1931" s="67">
        <f>IF($B1931="",0,IF(LEFT($B1931,1)="━",0,$C1931*VLOOKUP($B1931,'4. CÀI ĐẶT'!$A$2:$H$32,5,FALSE)))</f>
        <v/>
      </c>
      <c r="I1931">
        <f>IF($B1931="","",IF(LEFT($B1931,1)="━","",VLOOKUP($B1931,'4. CÀI ĐẶT'!$A$2:$H$32,6,FALSE)))</f>
        <v/>
      </c>
      <c r="J1931" s="13">
        <f>IF($A1931="","",EOMONTH($A1931,0))</f>
        <v/>
      </c>
      <c r="K1931" s="67">
        <f>IF($B1931="",0,IF(LEFT($B1931,1)="━",0,$C1931*VLOOKUP($B1931,'4. CÀI ĐẶT'!$A$2:$H$32,7,FALSE)))</f>
        <v/>
      </c>
    </row>
    <row r="1932">
      <c r="A1932" s="8" t="n"/>
      <c r="B1932" s="9" t="n"/>
      <c r="C1932" s="65" t="n"/>
      <c r="D1932" s="9" t="n"/>
      <c r="E1932" s="66">
        <f>IF($B1932="","",IF(LEFT($B1932,1)="━","⚠️ Chọn hạng mục cụ thể",$C1932*VLOOKUP($B1932,'4. CÀI ĐẶT'!$A$2:$H$32,2,FALSE)))</f>
        <v/>
      </c>
      <c r="F1932" s="67">
        <f>IF($B1932="",0,IF(LEFT($B1932,1)="━",0,$C1932*VLOOKUP($B1932,'4. CÀI ĐẶT'!$A$2:$H$32,3,FALSE)))</f>
        <v/>
      </c>
      <c r="G1932" s="67">
        <f>IF($B1932="",0,IF(LEFT($B1932,1)="━",0,$C1932*VLOOKUP($B1932,'4. CÀI ĐẶT'!$A$2:$H$32,4,FALSE)))</f>
        <v/>
      </c>
      <c r="H1932" s="67">
        <f>IF($B1932="",0,IF(LEFT($B1932,1)="━",0,$C1932*VLOOKUP($B1932,'4. CÀI ĐẶT'!$A$2:$H$32,5,FALSE)))</f>
        <v/>
      </c>
      <c r="I1932">
        <f>IF($B1932="","",IF(LEFT($B1932,1)="━","",VLOOKUP($B1932,'4. CÀI ĐẶT'!$A$2:$H$32,6,FALSE)))</f>
        <v/>
      </c>
      <c r="J1932" s="13">
        <f>IF($A1932="","",EOMONTH($A1932,0))</f>
        <v/>
      </c>
      <c r="K1932" s="67">
        <f>IF($B1932="",0,IF(LEFT($B1932,1)="━",0,$C1932*VLOOKUP($B1932,'4. CÀI ĐẶT'!$A$2:$H$32,7,FALSE)))</f>
        <v/>
      </c>
    </row>
    <row r="1933">
      <c r="A1933" s="8" t="n"/>
      <c r="B1933" s="9" t="n"/>
      <c r="C1933" s="65" t="n"/>
      <c r="D1933" s="9" t="n"/>
      <c r="E1933" s="66">
        <f>IF($B1933="","",IF(LEFT($B1933,1)="━","⚠️ Chọn hạng mục cụ thể",$C1933*VLOOKUP($B1933,'4. CÀI ĐẶT'!$A$2:$H$32,2,FALSE)))</f>
        <v/>
      </c>
      <c r="F1933" s="67">
        <f>IF($B1933="",0,IF(LEFT($B1933,1)="━",0,$C1933*VLOOKUP($B1933,'4. CÀI ĐẶT'!$A$2:$H$32,3,FALSE)))</f>
        <v/>
      </c>
      <c r="G1933" s="67">
        <f>IF($B1933="",0,IF(LEFT($B1933,1)="━",0,$C1933*VLOOKUP($B1933,'4. CÀI ĐẶT'!$A$2:$H$32,4,FALSE)))</f>
        <v/>
      </c>
      <c r="H1933" s="67">
        <f>IF($B1933="",0,IF(LEFT($B1933,1)="━",0,$C1933*VLOOKUP($B1933,'4. CÀI ĐẶT'!$A$2:$H$32,5,FALSE)))</f>
        <v/>
      </c>
      <c r="I1933">
        <f>IF($B1933="","",IF(LEFT($B1933,1)="━","",VLOOKUP($B1933,'4. CÀI ĐẶT'!$A$2:$H$32,6,FALSE)))</f>
        <v/>
      </c>
      <c r="J1933" s="13">
        <f>IF($A1933="","",EOMONTH($A1933,0))</f>
        <v/>
      </c>
      <c r="K1933" s="67">
        <f>IF($B1933="",0,IF(LEFT($B1933,1)="━",0,$C1933*VLOOKUP($B1933,'4. CÀI ĐẶT'!$A$2:$H$32,7,FALSE)))</f>
        <v/>
      </c>
    </row>
    <row r="1934">
      <c r="A1934" s="8" t="n"/>
      <c r="B1934" s="9" t="n"/>
      <c r="C1934" s="65" t="n"/>
      <c r="D1934" s="9" t="n"/>
      <c r="E1934" s="66">
        <f>IF($B1934="","",IF(LEFT($B1934,1)="━","⚠️ Chọn hạng mục cụ thể",$C1934*VLOOKUP($B1934,'4. CÀI ĐẶT'!$A$2:$H$32,2,FALSE)))</f>
        <v/>
      </c>
      <c r="F1934" s="67">
        <f>IF($B1934="",0,IF(LEFT($B1934,1)="━",0,$C1934*VLOOKUP($B1934,'4. CÀI ĐẶT'!$A$2:$H$32,3,FALSE)))</f>
        <v/>
      </c>
      <c r="G1934" s="67">
        <f>IF($B1934="",0,IF(LEFT($B1934,1)="━",0,$C1934*VLOOKUP($B1934,'4. CÀI ĐẶT'!$A$2:$H$32,4,FALSE)))</f>
        <v/>
      </c>
      <c r="H1934" s="67">
        <f>IF($B1934="",0,IF(LEFT($B1934,1)="━",0,$C1934*VLOOKUP($B1934,'4. CÀI ĐẶT'!$A$2:$H$32,5,FALSE)))</f>
        <v/>
      </c>
      <c r="I1934">
        <f>IF($B1934="","",IF(LEFT($B1934,1)="━","",VLOOKUP($B1934,'4. CÀI ĐẶT'!$A$2:$H$32,6,FALSE)))</f>
        <v/>
      </c>
      <c r="J1934" s="13">
        <f>IF($A1934="","",EOMONTH($A1934,0))</f>
        <v/>
      </c>
      <c r="K1934" s="67">
        <f>IF($B1934="",0,IF(LEFT($B1934,1)="━",0,$C1934*VLOOKUP($B1934,'4. CÀI ĐẶT'!$A$2:$H$32,7,FALSE)))</f>
        <v/>
      </c>
    </row>
    <row r="1935">
      <c r="A1935" s="8" t="n"/>
      <c r="B1935" s="9" t="n"/>
      <c r="C1935" s="65" t="n"/>
      <c r="D1935" s="9" t="n"/>
      <c r="E1935" s="66">
        <f>IF($B1935="","",IF(LEFT($B1935,1)="━","⚠️ Chọn hạng mục cụ thể",$C1935*VLOOKUP($B1935,'4. CÀI ĐẶT'!$A$2:$H$32,2,FALSE)))</f>
        <v/>
      </c>
      <c r="F1935" s="67">
        <f>IF($B1935="",0,IF(LEFT($B1935,1)="━",0,$C1935*VLOOKUP($B1935,'4. CÀI ĐẶT'!$A$2:$H$32,3,FALSE)))</f>
        <v/>
      </c>
      <c r="G1935" s="67">
        <f>IF($B1935="",0,IF(LEFT($B1935,1)="━",0,$C1935*VLOOKUP($B1935,'4. CÀI ĐẶT'!$A$2:$H$32,4,FALSE)))</f>
        <v/>
      </c>
      <c r="H1935" s="67">
        <f>IF($B1935="",0,IF(LEFT($B1935,1)="━",0,$C1935*VLOOKUP($B1935,'4. CÀI ĐẶT'!$A$2:$H$32,5,FALSE)))</f>
        <v/>
      </c>
      <c r="I1935">
        <f>IF($B1935="","",IF(LEFT($B1935,1)="━","",VLOOKUP($B1935,'4. CÀI ĐẶT'!$A$2:$H$32,6,FALSE)))</f>
        <v/>
      </c>
      <c r="J1935" s="13">
        <f>IF($A1935="","",EOMONTH($A1935,0))</f>
        <v/>
      </c>
      <c r="K1935" s="67">
        <f>IF($B1935="",0,IF(LEFT($B1935,1)="━",0,$C1935*VLOOKUP($B1935,'4. CÀI ĐẶT'!$A$2:$H$32,7,FALSE)))</f>
        <v/>
      </c>
    </row>
    <row r="1936">
      <c r="A1936" s="8" t="n"/>
      <c r="B1936" s="9" t="n"/>
      <c r="C1936" s="65" t="n"/>
      <c r="D1936" s="9" t="n"/>
      <c r="E1936" s="66">
        <f>IF($B1936="","",IF(LEFT($B1936,1)="━","⚠️ Chọn hạng mục cụ thể",$C1936*VLOOKUP($B1936,'4. CÀI ĐẶT'!$A$2:$H$32,2,FALSE)))</f>
        <v/>
      </c>
      <c r="F1936" s="67">
        <f>IF($B1936="",0,IF(LEFT($B1936,1)="━",0,$C1936*VLOOKUP($B1936,'4. CÀI ĐẶT'!$A$2:$H$32,3,FALSE)))</f>
        <v/>
      </c>
      <c r="G1936" s="67">
        <f>IF($B1936="",0,IF(LEFT($B1936,1)="━",0,$C1936*VLOOKUP($B1936,'4. CÀI ĐẶT'!$A$2:$H$32,4,FALSE)))</f>
        <v/>
      </c>
      <c r="H1936" s="67">
        <f>IF($B1936="",0,IF(LEFT($B1936,1)="━",0,$C1936*VLOOKUP($B1936,'4. CÀI ĐẶT'!$A$2:$H$32,5,FALSE)))</f>
        <v/>
      </c>
      <c r="I1936">
        <f>IF($B1936="","",IF(LEFT($B1936,1)="━","",VLOOKUP($B1936,'4. CÀI ĐẶT'!$A$2:$H$32,6,FALSE)))</f>
        <v/>
      </c>
      <c r="J1936" s="13">
        <f>IF($A1936="","",EOMONTH($A1936,0))</f>
        <v/>
      </c>
      <c r="K1936" s="67">
        <f>IF($B1936="",0,IF(LEFT($B1936,1)="━",0,$C1936*VLOOKUP($B1936,'4. CÀI ĐẶT'!$A$2:$H$32,7,FALSE)))</f>
        <v/>
      </c>
    </row>
    <row r="1937">
      <c r="A1937" s="8" t="n"/>
      <c r="B1937" s="9" t="n"/>
      <c r="C1937" s="65" t="n"/>
      <c r="D1937" s="9" t="n"/>
      <c r="E1937" s="66">
        <f>IF($B1937="","",IF(LEFT($B1937,1)="━","⚠️ Chọn hạng mục cụ thể",$C1937*VLOOKUP($B1937,'4. CÀI ĐẶT'!$A$2:$H$32,2,FALSE)))</f>
        <v/>
      </c>
      <c r="F1937" s="67">
        <f>IF($B1937="",0,IF(LEFT($B1937,1)="━",0,$C1937*VLOOKUP($B1937,'4. CÀI ĐẶT'!$A$2:$H$32,3,FALSE)))</f>
        <v/>
      </c>
      <c r="G1937" s="67">
        <f>IF($B1937="",0,IF(LEFT($B1937,1)="━",0,$C1937*VLOOKUP($B1937,'4. CÀI ĐẶT'!$A$2:$H$32,4,FALSE)))</f>
        <v/>
      </c>
      <c r="H1937" s="67">
        <f>IF($B1937="",0,IF(LEFT($B1937,1)="━",0,$C1937*VLOOKUP($B1937,'4. CÀI ĐẶT'!$A$2:$H$32,5,FALSE)))</f>
        <v/>
      </c>
      <c r="I1937">
        <f>IF($B1937="","",IF(LEFT($B1937,1)="━","",VLOOKUP($B1937,'4. CÀI ĐẶT'!$A$2:$H$32,6,FALSE)))</f>
        <v/>
      </c>
      <c r="J1937" s="13">
        <f>IF($A1937="","",EOMONTH($A1937,0))</f>
        <v/>
      </c>
      <c r="K1937" s="67">
        <f>IF($B1937="",0,IF(LEFT($B1937,1)="━",0,$C1937*VLOOKUP($B1937,'4. CÀI ĐẶT'!$A$2:$H$32,7,FALSE)))</f>
        <v/>
      </c>
    </row>
    <row r="1938">
      <c r="A1938" s="8" t="n"/>
      <c r="B1938" s="9" t="n"/>
      <c r="C1938" s="65" t="n"/>
      <c r="D1938" s="9" t="n"/>
      <c r="E1938" s="66">
        <f>IF($B1938="","",IF(LEFT($B1938,1)="━","⚠️ Chọn hạng mục cụ thể",$C1938*VLOOKUP($B1938,'4. CÀI ĐẶT'!$A$2:$H$32,2,FALSE)))</f>
        <v/>
      </c>
      <c r="F1938" s="67">
        <f>IF($B1938="",0,IF(LEFT($B1938,1)="━",0,$C1938*VLOOKUP($B1938,'4. CÀI ĐẶT'!$A$2:$H$32,3,FALSE)))</f>
        <v/>
      </c>
      <c r="G1938" s="67">
        <f>IF($B1938="",0,IF(LEFT($B1938,1)="━",0,$C1938*VLOOKUP($B1938,'4. CÀI ĐẶT'!$A$2:$H$32,4,FALSE)))</f>
        <v/>
      </c>
      <c r="H1938" s="67">
        <f>IF($B1938="",0,IF(LEFT($B1938,1)="━",0,$C1938*VLOOKUP($B1938,'4. CÀI ĐẶT'!$A$2:$H$32,5,FALSE)))</f>
        <v/>
      </c>
      <c r="I1938">
        <f>IF($B1938="","",IF(LEFT($B1938,1)="━","",VLOOKUP($B1938,'4. CÀI ĐẶT'!$A$2:$H$32,6,FALSE)))</f>
        <v/>
      </c>
      <c r="J1938" s="13">
        <f>IF($A1938="","",EOMONTH($A1938,0))</f>
        <v/>
      </c>
      <c r="K1938" s="67">
        <f>IF($B1938="",0,IF(LEFT($B1938,1)="━",0,$C1938*VLOOKUP($B1938,'4. CÀI ĐẶT'!$A$2:$H$32,7,FALSE)))</f>
        <v/>
      </c>
    </row>
    <row r="1939">
      <c r="A1939" s="8" t="n"/>
      <c r="B1939" s="9" t="n"/>
      <c r="C1939" s="65" t="n"/>
      <c r="D1939" s="9" t="n"/>
      <c r="E1939" s="66">
        <f>IF($B1939="","",IF(LEFT($B1939,1)="━","⚠️ Chọn hạng mục cụ thể",$C1939*VLOOKUP($B1939,'4. CÀI ĐẶT'!$A$2:$H$32,2,FALSE)))</f>
        <v/>
      </c>
      <c r="F1939" s="67">
        <f>IF($B1939="",0,IF(LEFT($B1939,1)="━",0,$C1939*VLOOKUP($B1939,'4. CÀI ĐẶT'!$A$2:$H$32,3,FALSE)))</f>
        <v/>
      </c>
      <c r="G1939" s="67">
        <f>IF($B1939="",0,IF(LEFT($B1939,1)="━",0,$C1939*VLOOKUP($B1939,'4. CÀI ĐẶT'!$A$2:$H$32,4,FALSE)))</f>
        <v/>
      </c>
      <c r="H1939" s="67">
        <f>IF($B1939="",0,IF(LEFT($B1939,1)="━",0,$C1939*VLOOKUP($B1939,'4. CÀI ĐẶT'!$A$2:$H$32,5,FALSE)))</f>
        <v/>
      </c>
      <c r="I1939">
        <f>IF($B1939="","",IF(LEFT($B1939,1)="━","",VLOOKUP($B1939,'4. CÀI ĐẶT'!$A$2:$H$32,6,FALSE)))</f>
        <v/>
      </c>
      <c r="J1939" s="13">
        <f>IF($A1939="","",EOMONTH($A1939,0))</f>
        <v/>
      </c>
      <c r="K1939" s="67">
        <f>IF($B1939="",0,IF(LEFT($B1939,1)="━",0,$C1939*VLOOKUP($B1939,'4. CÀI ĐẶT'!$A$2:$H$32,7,FALSE)))</f>
        <v/>
      </c>
    </row>
    <row r="1940">
      <c r="A1940" s="8" t="n"/>
      <c r="B1940" s="9" t="n"/>
      <c r="C1940" s="65" t="n"/>
      <c r="D1940" s="9" t="n"/>
      <c r="E1940" s="66">
        <f>IF($B1940="","",IF(LEFT($B1940,1)="━","⚠️ Chọn hạng mục cụ thể",$C1940*VLOOKUP($B1940,'4. CÀI ĐẶT'!$A$2:$H$32,2,FALSE)))</f>
        <v/>
      </c>
      <c r="F1940" s="67">
        <f>IF($B1940="",0,IF(LEFT($B1940,1)="━",0,$C1940*VLOOKUP($B1940,'4. CÀI ĐẶT'!$A$2:$H$32,3,FALSE)))</f>
        <v/>
      </c>
      <c r="G1940" s="67">
        <f>IF($B1940="",0,IF(LEFT($B1940,1)="━",0,$C1940*VLOOKUP($B1940,'4. CÀI ĐẶT'!$A$2:$H$32,4,FALSE)))</f>
        <v/>
      </c>
      <c r="H1940" s="67">
        <f>IF($B1940="",0,IF(LEFT($B1940,1)="━",0,$C1940*VLOOKUP($B1940,'4. CÀI ĐẶT'!$A$2:$H$32,5,FALSE)))</f>
        <v/>
      </c>
      <c r="I1940">
        <f>IF($B1940="","",IF(LEFT($B1940,1)="━","",VLOOKUP($B1940,'4. CÀI ĐẶT'!$A$2:$H$32,6,FALSE)))</f>
        <v/>
      </c>
      <c r="J1940" s="13">
        <f>IF($A1940="","",EOMONTH($A1940,0))</f>
        <v/>
      </c>
      <c r="K1940" s="67">
        <f>IF($B1940="",0,IF(LEFT($B1940,1)="━",0,$C1940*VLOOKUP($B1940,'4. CÀI ĐẶT'!$A$2:$H$32,7,FALSE)))</f>
        <v/>
      </c>
    </row>
    <row r="1941">
      <c r="A1941" s="8" t="n"/>
      <c r="B1941" s="9" t="n"/>
      <c r="C1941" s="65" t="n"/>
      <c r="D1941" s="9" t="n"/>
      <c r="E1941" s="66">
        <f>IF($B1941="","",IF(LEFT($B1941,1)="━","⚠️ Chọn hạng mục cụ thể",$C1941*VLOOKUP($B1941,'4. CÀI ĐẶT'!$A$2:$H$32,2,FALSE)))</f>
        <v/>
      </c>
      <c r="F1941" s="67">
        <f>IF($B1941="",0,IF(LEFT($B1941,1)="━",0,$C1941*VLOOKUP($B1941,'4. CÀI ĐẶT'!$A$2:$H$32,3,FALSE)))</f>
        <v/>
      </c>
      <c r="G1941" s="67">
        <f>IF($B1941="",0,IF(LEFT($B1941,1)="━",0,$C1941*VLOOKUP($B1941,'4. CÀI ĐẶT'!$A$2:$H$32,4,FALSE)))</f>
        <v/>
      </c>
      <c r="H1941" s="67">
        <f>IF($B1941="",0,IF(LEFT($B1941,1)="━",0,$C1941*VLOOKUP($B1941,'4. CÀI ĐẶT'!$A$2:$H$32,5,FALSE)))</f>
        <v/>
      </c>
      <c r="I1941">
        <f>IF($B1941="","",IF(LEFT($B1941,1)="━","",VLOOKUP($B1941,'4. CÀI ĐẶT'!$A$2:$H$32,6,FALSE)))</f>
        <v/>
      </c>
      <c r="J1941" s="13">
        <f>IF($A1941="","",EOMONTH($A1941,0))</f>
        <v/>
      </c>
      <c r="K1941" s="67">
        <f>IF($B1941="",0,IF(LEFT($B1941,1)="━",0,$C1941*VLOOKUP($B1941,'4. CÀI ĐẶT'!$A$2:$H$32,7,FALSE)))</f>
        <v/>
      </c>
    </row>
    <row r="1942">
      <c r="A1942" s="8" t="n"/>
      <c r="B1942" s="9" t="n"/>
      <c r="C1942" s="65" t="n"/>
      <c r="D1942" s="9" t="n"/>
      <c r="E1942" s="66">
        <f>IF($B1942="","",IF(LEFT($B1942,1)="━","⚠️ Chọn hạng mục cụ thể",$C1942*VLOOKUP($B1942,'4. CÀI ĐẶT'!$A$2:$H$32,2,FALSE)))</f>
        <v/>
      </c>
      <c r="F1942" s="67">
        <f>IF($B1942="",0,IF(LEFT($B1942,1)="━",0,$C1942*VLOOKUP($B1942,'4. CÀI ĐẶT'!$A$2:$H$32,3,FALSE)))</f>
        <v/>
      </c>
      <c r="G1942" s="67">
        <f>IF($B1942="",0,IF(LEFT($B1942,1)="━",0,$C1942*VLOOKUP($B1942,'4. CÀI ĐẶT'!$A$2:$H$32,4,FALSE)))</f>
        <v/>
      </c>
      <c r="H1942" s="67">
        <f>IF($B1942="",0,IF(LEFT($B1942,1)="━",0,$C1942*VLOOKUP($B1942,'4. CÀI ĐẶT'!$A$2:$H$32,5,FALSE)))</f>
        <v/>
      </c>
      <c r="I1942">
        <f>IF($B1942="","",IF(LEFT($B1942,1)="━","",VLOOKUP($B1942,'4. CÀI ĐẶT'!$A$2:$H$32,6,FALSE)))</f>
        <v/>
      </c>
      <c r="J1942" s="13">
        <f>IF($A1942="","",EOMONTH($A1942,0))</f>
        <v/>
      </c>
      <c r="K1942" s="67">
        <f>IF($B1942="",0,IF(LEFT($B1942,1)="━",0,$C1942*VLOOKUP($B1942,'4. CÀI ĐẶT'!$A$2:$H$32,7,FALSE)))</f>
        <v/>
      </c>
    </row>
    <row r="1943">
      <c r="A1943" s="8" t="n"/>
      <c r="B1943" s="9" t="n"/>
      <c r="C1943" s="65" t="n"/>
      <c r="D1943" s="9" t="n"/>
      <c r="E1943" s="66">
        <f>IF($B1943="","",IF(LEFT($B1943,1)="━","⚠️ Chọn hạng mục cụ thể",$C1943*VLOOKUP($B1943,'4. CÀI ĐẶT'!$A$2:$H$32,2,FALSE)))</f>
        <v/>
      </c>
      <c r="F1943" s="67">
        <f>IF($B1943="",0,IF(LEFT($B1943,1)="━",0,$C1943*VLOOKUP($B1943,'4. CÀI ĐẶT'!$A$2:$H$32,3,FALSE)))</f>
        <v/>
      </c>
      <c r="G1943" s="67">
        <f>IF($B1943="",0,IF(LEFT($B1943,1)="━",0,$C1943*VLOOKUP($B1943,'4. CÀI ĐẶT'!$A$2:$H$32,4,FALSE)))</f>
        <v/>
      </c>
      <c r="H1943" s="67">
        <f>IF($B1943="",0,IF(LEFT($B1943,1)="━",0,$C1943*VLOOKUP($B1943,'4. CÀI ĐẶT'!$A$2:$H$32,5,FALSE)))</f>
        <v/>
      </c>
      <c r="I1943">
        <f>IF($B1943="","",IF(LEFT($B1943,1)="━","",VLOOKUP($B1943,'4. CÀI ĐẶT'!$A$2:$H$32,6,FALSE)))</f>
        <v/>
      </c>
      <c r="J1943" s="13">
        <f>IF($A1943="","",EOMONTH($A1943,0))</f>
        <v/>
      </c>
      <c r="K1943" s="67">
        <f>IF($B1943="",0,IF(LEFT($B1943,1)="━",0,$C1943*VLOOKUP($B1943,'4. CÀI ĐẶT'!$A$2:$H$32,7,FALSE)))</f>
        <v/>
      </c>
    </row>
    <row r="1944">
      <c r="A1944" s="8" t="n"/>
      <c r="B1944" s="9" t="n"/>
      <c r="C1944" s="65" t="n"/>
      <c r="D1944" s="9" t="n"/>
      <c r="E1944" s="66">
        <f>IF($B1944="","",IF(LEFT($B1944,1)="━","⚠️ Chọn hạng mục cụ thể",$C1944*VLOOKUP($B1944,'4. CÀI ĐẶT'!$A$2:$H$32,2,FALSE)))</f>
        <v/>
      </c>
      <c r="F1944" s="67">
        <f>IF($B1944="",0,IF(LEFT($B1944,1)="━",0,$C1944*VLOOKUP($B1944,'4. CÀI ĐẶT'!$A$2:$H$32,3,FALSE)))</f>
        <v/>
      </c>
      <c r="G1944" s="67">
        <f>IF($B1944="",0,IF(LEFT($B1944,1)="━",0,$C1944*VLOOKUP($B1944,'4. CÀI ĐẶT'!$A$2:$H$32,4,FALSE)))</f>
        <v/>
      </c>
      <c r="H1944" s="67">
        <f>IF($B1944="",0,IF(LEFT($B1944,1)="━",0,$C1944*VLOOKUP($B1944,'4. CÀI ĐẶT'!$A$2:$H$32,5,FALSE)))</f>
        <v/>
      </c>
      <c r="I1944">
        <f>IF($B1944="","",IF(LEFT($B1944,1)="━","",VLOOKUP($B1944,'4. CÀI ĐẶT'!$A$2:$H$32,6,FALSE)))</f>
        <v/>
      </c>
      <c r="J1944" s="13">
        <f>IF($A1944="","",EOMONTH($A1944,0))</f>
        <v/>
      </c>
      <c r="K1944" s="67">
        <f>IF($B1944="",0,IF(LEFT($B1944,1)="━",0,$C1944*VLOOKUP($B1944,'4. CÀI ĐẶT'!$A$2:$H$32,7,FALSE)))</f>
        <v/>
      </c>
    </row>
    <row r="1945">
      <c r="A1945" s="8" t="n"/>
      <c r="B1945" s="9" t="n"/>
      <c r="C1945" s="65" t="n"/>
      <c r="D1945" s="9" t="n"/>
      <c r="E1945" s="66">
        <f>IF($B1945="","",IF(LEFT($B1945,1)="━","⚠️ Chọn hạng mục cụ thể",$C1945*VLOOKUP($B1945,'4. CÀI ĐẶT'!$A$2:$H$32,2,FALSE)))</f>
        <v/>
      </c>
      <c r="F1945" s="67">
        <f>IF($B1945="",0,IF(LEFT($B1945,1)="━",0,$C1945*VLOOKUP($B1945,'4. CÀI ĐẶT'!$A$2:$H$32,3,FALSE)))</f>
        <v/>
      </c>
      <c r="G1945" s="67">
        <f>IF($B1945="",0,IF(LEFT($B1945,1)="━",0,$C1945*VLOOKUP($B1945,'4. CÀI ĐẶT'!$A$2:$H$32,4,FALSE)))</f>
        <v/>
      </c>
      <c r="H1945" s="67">
        <f>IF($B1945="",0,IF(LEFT($B1945,1)="━",0,$C1945*VLOOKUP($B1945,'4. CÀI ĐẶT'!$A$2:$H$32,5,FALSE)))</f>
        <v/>
      </c>
      <c r="I1945">
        <f>IF($B1945="","",IF(LEFT($B1945,1)="━","",VLOOKUP($B1945,'4. CÀI ĐẶT'!$A$2:$H$32,6,FALSE)))</f>
        <v/>
      </c>
      <c r="J1945" s="13">
        <f>IF($A1945="","",EOMONTH($A1945,0))</f>
        <v/>
      </c>
      <c r="K1945" s="67">
        <f>IF($B1945="",0,IF(LEFT($B1945,1)="━",0,$C1945*VLOOKUP($B1945,'4. CÀI ĐẶT'!$A$2:$H$32,7,FALSE)))</f>
        <v/>
      </c>
    </row>
    <row r="1946">
      <c r="A1946" s="8" t="n"/>
      <c r="B1946" s="9" t="n"/>
      <c r="C1946" s="65" t="n"/>
      <c r="D1946" s="9" t="n"/>
      <c r="E1946" s="66">
        <f>IF($B1946="","",IF(LEFT($B1946,1)="━","⚠️ Chọn hạng mục cụ thể",$C1946*VLOOKUP($B1946,'4. CÀI ĐẶT'!$A$2:$H$32,2,FALSE)))</f>
        <v/>
      </c>
      <c r="F1946" s="67">
        <f>IF($B1946="",0,IF(LEFT($B1946,1)="━",0,$C1946*VLOOKUP($B1946,'4. CÀI ĐẶT'!$A$2:$H$32,3,FALSE)))</f>
        <v/>
      </c>
      <c r="G1946" s="67">
        <f>IF($B1946="",0,IF(LEFT($B1946,1)="━",0,$C1946*VLOOKUP($B1946,'4. CÀI ĐẶT'!$A$2:$H$32,4,FALSE)))</f>
        <v/>
      </c>
      <c r="H1946" s="67">
        <f>IF($B1946="",0,IF(LEFT($B1946,1)="━",0,$C1946*VLOOKUP($B1946,'4. CÀI ĐẶT'!$A$2:$H$32,5,FALSE)))</f>
        <v/>
      </c>
      <c r="I1946">
        <f>IF($B1946="","",IF(LEFT($B1946,1)="━","",VLOOKUP($B1946,'4. CÀI ĐẶT'!$A$2:$H$32,6,FALSE)))</f>
        <v/>
      </c>
      <c r="J1946" s="13">
        <f>IF($A1946="","",EOMONTH($A1946,0))</f>
        <v/>
      </c>
      <c r="K1946" s="67">
        <f>IF($B1946="",0,IF(LEFT($B1946,1)="━",0,$C1946*VLOOKUP($B1946,'4. CÀI ĐẶT'!$A$2:$H$32,7,FALSE)))</f>
        <v/>
      </c>
    </row>
    <row r="1947">
      <c r="A1947" s="8" t="n"/>
      <c r="B1947" s="9" t="n"/>
      <c r="C1947" s="65" t="n"/>
      <c r="D1947" s="9" t="n"/>
      <c r="E1947" s="66">
        <f>IF($B1947="","",IF(LEFT($B1947,1)="━","⚠️ Chọn hạng mục cụ thể",$C1947*VLOOKUP($B1947,'4. CÀI ĐẶT'!$A$2:$H$32,2,FALSE)))</f>
        <v/>
      </c>
      <c r="F1947" s="67">
        <f>IF($B1947="",0,IF(LEFT($B1947,1)="━",0,$C1947*VLOOKUP($B1947,'4. CÀI ĐẶT'!$A$2:$H$32,3,FALSE)))</f>
        <v/>
      </c>
      <c r="G1947" s="67">
        <f>IF($B1947="",0,IF(LEFT($B1947,1)="━",0,$C1947*VLOOKUP($B1947,'4. CÀI ĐẶT'!$A$2:$H$32,4,FALSE)))</f>
        <v/>
      </c>
      <c r="H1947" s="67">
        <f>IF($B1947="",0,IF(LEFT($B1947,1)="━",0,$C1947*VLOOKUP($B1947,'4. CÀI ĐẶT'!$A$2:$H$32,5,FALSE)))</f>
        <v/>
      </c>
      <c r="I1947">
        <f>IF($B1947="","",IF(LEFT($B1947,1)="━","",VLOOKUP($B1947,'4. CÀI ĐẶT'!$A$2:$H$32,6,FALSE)))</f>
        <v/>
      </c>
      <c r="J1947" s="13">
        <f>IF($A1947="","",EOMONTH($A1947,0))</f>
        <v/>
      </c>
      <c r="K1947" s="67">
        <f>IF($B1947="",0,IF(LEFT($B1947,1)="━",0,$C1947*VLOOKUP($B1947,'4. CÀI ĐẶT'!$A$2:$H$32,7,FALSE)))</f>
        <v/>
      </c>
    </row>
    <row r="1948">
      <c r="A1948" s="8" t="n"/>
      <c r="B1948" s="9" t="n"/>
      <c r="C1948" s="65" t="n"/>
      <c r="D1948" s="9" t="n"/>
      <c r="E1948" s="66">
        <f>IF($B1948="","",IF(LEFT($B1948,1)="━","⚠️ Chọn hạng mục cụ thể",$C1948*VLOOKUP($B1948,'4. CÀI ĐẶT'!$A$2:$H$32,2,FALSE)))</f>
        <v/>
      </c>
      <c r="F1948" s="67">
        <f>IF($B1948="",0,IF(LEFT($B1948,1)="━",0,$C1948*VLOOKUP($B1948,'4. CÀI ĐẶT'!$A$2:$H$32,3,FALSE)))</f>
        <v/>
      </c>
      <c r="G1948" s="67">
        <f>IF($B1948="",0,IF(LEFT($B1948,1)="━",0,$C1948*VLOOKUP($B1948,'4. CÀI ĐẶT'!$A$2:$H$32,4,FALSE)))</f>
        <v/>
      </c>
      <c r="H1948" s="67">
        <f>IF($B1948="",0,IF(LEFT($B1948,1)="━",0,$C1948*VLOOKUP($B1948,'4. CÀI ĐẶT'!$A$2:$H$32,5,FALSE)))</f>
        <v/>
      </c>
      <c r="I1948">
        <f>IF($B1948="","",IF(LEFT($B1948,1)="━","",VLOOKUP($B1948,'4. CÀI ĐẶT'!$A$2:$H$32,6,FALSE)))</f>
        <v/>
      </c>
      <c r="J1948" s="13">
        <f>IF($A1948="","",EOMONTH($A1948,0))</f>
        <v/>
      </c>
      <c r="K1948" s="67">
        <f>IF($B1948="",0,IF(LEFT($B1948,1)="━",0,$C1948*VLOOKUP($B1948,'4. CÀI ĐẶT'!$A$2:$H$32,7,FALSE)))</f>
        <v/>
      </c>
    </row>
    <row r="1949">
      <c r="A1949" s="8" t="n"/>
      <c r="B1949" s="9" t="n"/>
      <c r="C1949" s="65" t="n"/>
      <c r="D1949" s="9" t="n"/>
      <c r="E1949" s="66">
        <f>IF($B1949="","",IF(LEFT($B1949,1)="━","⚠️ Chọn hạng mục cụ thể",$C1949*VLOOKUP($B1949,'4. CÀI ĐẶT'!$A$2:$H$32,2,FALSE)))</f>
        <v/>
      </c>
      <c r="F1949" s="67">
        <f>IF($B1949="",0,IF(LEFT($B1949,1)="━",0,$C1949*VLOOKUP($B1949,'4. CÀI ĐẶT'!$A$2:$H$32,3,FALSE)))</f>
        <v/>
      </c>
      <c r="G1949" s="67">
        <f>IF($B1949="",0,IF(LEFT($B1949,1)="━",0,$C1949*VLOOKUP($B1949,'4. CÀI ĐẶT'!$A$2:$H$32,4,FALSE)))</f>
        <v/>
      </c>
      <c r="H1949" s="67">
        <f>IF($B1949="",0,IF(LEFT($B1949,1)="━",0,$C1949*VLOOKUP($B1949,'4. CÀI ĐẶT'!$A$2:$H$32,5,FALSE)))</f>
        <v/>
      </c>
      <c r="I1949">
        <f>IF($B1949="","",IF(LEFT($B1949,1)="━","",VLOOKUP($B1949,'4. CÀI ĐẶT'!$A$2:$H$32,6,FALSE)))</f>
        <v/>
      </c>
      <c r="J1949" s="13">
        <f>IF($A1949="","",EOMONTH($A1949,0))</f>
        <v/>
      </c>
      <c r="K1949" s="67">
        <f>IF($B1949="",0,IF(LEFT($B1949,1)="━",0,$C1949*VLOOKUP($B1949,'4. CÀI ĐẶT'!$A$2:$H$32,7,FALSE)))</f>
        <v/>
      </c>
    </row>
    <row r="1950">
      <c r="A1950" s="8" t="n"/>
      <c r="B1950" s="9" t="n"/>
      <c r="C1950" s="65" t="n"/>
      <c r="D1950" s="9" t="n"/>
      <c r="E1950" s="66">
        <f>IF($B1950="","",IF(LEFT($B1950,1)="━","⚠️ Chọn hạng mục cụ thể",$C1950*VLOOKUP($B1950,'4. CÀI ĐẶT'!$A$2:$H$32,2,FALSE)))</f>
        <v/>
      </c>
      <c r="F1950" s="67">
        <f>IF($B1950="",0,IF(LEFT($B1950,1)="━",0,$C1950*VLOOKUP($B1950,'4. CÀI ĐẶT'!$A$2:$H$32,3,FALSE)))</f>
        <v/>
      </c>
      <c r="G1950" s="67">
        <f>IF($B1950="",0,IF(LEFT($B1950,1)="━",0,$C1950*VLOOKUP($B1950,'4. CÀI ĐẶT'!$A$2:$H$32,4,FALSE)))</f>
        <v/>
      </c>
      <c r="H1950" s="67">
        <f>IF($B1950="",0,IF(LEFT($B1950,1)="━",0,$C1950*VLOOKUP($B1950,'4. CÀI ĐẶT'!$A$2:$H$32,5,FALSE)))</f>
        <v/>
      </c>
      <c r="I1950">
        <f>IF($B1950="","",IF(LEFT($B1950,1)="━","",VLOOKUP($B1950,'4. CÀI ĐẶT'!$A$2:$H$32,6,FALSE)))</f>
        <v/>
      </c>
      <c r="J1950" s="13">
        <f>IF($A1950="","",EOMONTH($A1950,0))</f>
        <v/>
      </c>
      <c r="K1950" s="67">
        <f>IF($B1950="",0,IF(LEFT($B1950,1)="━",0,$C1950*VLOOKUP($B1950,'4. CÀI ĐẶT'!$A$2:$H$32,7,FALSE)))</f>
        <v/>
      </c>
    </row>
    <row r="1951">
      <c r="A1951" s="8" t="n"/>
      <c r="B1951" s="9" t="n"/>
      <c r="C1951" s="65" t="n"/>
      <c r="D1951" s="9" t="n"/>
      <c r="E1951" s="66">
        <f>IF($B1951="","",IF(LEFT($B1951,1)="━","⚠️ Chọn hạng mục cụ thể",$C1951*VLOOKUP($B1951,'4. CÀI ĐẶT'!$A$2:$H$32,2,FALSE)))</f>
        <v/>
      </c>
      <c r="F1951" s="67">
        <f>IF($B1951="",0,IF(LEFT($B1951,1)="━",0,$C1951*VLOOKUP($B1951,'4. CÀI ĐẶT'!$A$2:$H$32,3,FALSE)))</f>
        <v/>
      </c>
      <c r="G1951" s="67">
        <f>IF($B1951="",0,IF(LEFT($B1951,1)="━",0,$C1951*VLOOKUP($B1951,'4. CÀI ĐẶT'!$A$2:$H$32,4,FALSE)))</f>
        <v/>
      </c>
      <c r="H1951" s="67">
        <f>IF($B1951="",0,IF(LEFT($B1951,1)="━",0,$C1951*VLOOKUP($B1951,'4. CÀI ĐẶT'!$A$2:$H$32,5,FALSE)))</f>
        <v/>
      </c>
      <c r="I1951">
        <f>IF($B1951="","",IF(LEFT($B1951,1)="━","",VLOOKUP($B1951,'4. CÀI ĐẶT'!$A$2:$H$32,6,FALSE)))</f>
        <v/>
      </c>
      <c r="J1951" s="13">
        <f>IF($A1951="","",EOMONTH($A1951,0))</f>
        <v/>
      </c>
      <c r="K1951" s="67">
        <f>IF($B1951="",0,IF(LEFT($B1951,1)="━",0,$C1951*VLOOKUP($B1951,'4. CÀI ĐẶT'!$A$2:$H$32,7,FALSE)))</f>
        <v/>
      </c>
    </row>
    <row r="1952">
      <c r="A1952" s="8" t="n"/>
      <c r="B1952" s="9" t="n"/>
      <c r="C1952" s="65" t="n"/>
      <c r="D1952" s="9" t="n"/>
      <c r="E1952" s="66">
        <f>IF($B1952="","",IF(LEFT($B1952,1)="━","⚠️ Chọn hạng mục cụ thể",$C1952*VLOOKUP($B1952,'4. CÀI ĐẶT'!$A$2:$H$32,2,FALSE)))</f>
        <v/>
      </c>
      <c r="F1952" s="67">
        <f>IF($B1952="",0,IF(LEFT($B1952,1)="━",0,$C1952*VLOOKUP($B1952,'4. CÀI ĐẶT'!$A$2:$H$32,3,FALSE)))</f>
        <v/>
      </c>
      <c r="G1952" s="67">
        <f>IF($B1952="",0,IF(LEFT($B1952,1)="━",0,$C1952*VLOOKUP($B1952,'4. CÀI ĐẶT'!$A$2:$H$32,4,FALSE)))</f>
        <v/>
      </c>
      <c r="H1952" s="67">
        <f>IF($B1952="",0,IF(LEFT($B1952,1)="━",0,$C1952*VLOOKUP($B1952,'4. CÀI ĐẶT'!$A$2:$H$32,5,FALSE)))</f>
        <v/>
      </c>
      <c r="I1952">
        <f>IF($B1952="","",IF(LEFT($B1952,1)="━","",VLOOKUP($B1952,'4. CÀI ĐẶT'!$A$2:$H$32,6,FALSE)))</f>
        <v/>
      </c>
      <c r="J1952" s="13">
        <f>IF($A1952="","",EOMONTH($A1952,0))</f>
        <v/>
      </c>
      <c r="K1952" s="67">
        <f>IF($B1952="",0,IF(LEFT($B1952,1)="━",0,$C1952*VLOOKUP($B1952,'4. CÀI ĐẶT'!$A$2:$H$32,7,FALSE)))</f>
        <v/>
      </c>
    </row>
    <row r="1953">
      <c r="A1953" s="8" t="n"/>
      <c r="B1953" s="9" t="n"/>
      <c r="C1953" s="65" t="n"/>
      <c r="D1953" s="9" t="n"/>
      <c r="E1953" s="66">
        <f>IF($B1953="","",IF(LEFT($B1953,1)="━","⚠️ Chọn hạng mục cụ thể",$C1953*VLOOKUP($B1953,'4. CÀI ĐẶT'!$A$2:$H$32,2,FALSE)))</f>
        <v/>
      </c>
      <c r="F1953" s="67">
        <f>IF($B1953="",0,IF(LEFT($B1953,1)="━",0,$C1953*VLOOKUP($B1953,'4. CÀI ĐẶT'!$A$2:$H$32,3,FALSE)))</f>
        <v/>
      </c>
      <c r="G1953" s="67">
        <f>IF($B1953="",0,IF(LEFT($B1953,1)="━",0,$C1953*VLOOKUP($B1953,'4. CÀI ĐẶT'!$A$2:$H$32,4,FALSE)))</f>
        <v/>
      </c>
      <c r="H1953" s="67">
        <f>IF($B1953="",0,IF(LEFT($B1953,1)="━",0,$C1953*VLOOKUP($B1953,'4. CÀI ĐẶT'!$A$2:$H$32,5,FALSE)))</f>
        <v/>
      </c>
      <c r="I1953">
        <f>IF($B1953="","",IF(LEFT($B1953,1)="━","",VLOOKUP($B1953,'4. CÀI ĐẶT'!$A$2:$H$32,6,FALSE)))</f>
        <v/>
      </c>
      <c r="J1953" s="13">
        <f>IF($A1953="","",EOMONTH($A1953,0))</f>
        <v/>
      </c>
      <c r="K1953" s="67">
        <f>IF($B1953="",0,IF(LEFT($B1953,1)="━",0,$C1953*VLOOKUP($B1953,'4. CÀI ĐẶT'!$A$2:$H$32,7,FALSE)))</f>
        <v/>
      </c>
    </row>
    <row r="1954">
      <c r="A1954" s="8" t="n"/>
      <c r="B1954" s="9" t="n"/>
      <c r="C1954" s="65" t="n"/>
      <c r="D1954" s="9" t="n"/>
      <c r="E1954" s="66">
        <f>IF($B1954="","",IF(LEFT($B1954,1)="━","⚠️ Chọn hạng mục cụ thể",$C1954*VLOOKUP($B1954,'4. CÀI ĐẶT'!$A$2:$H$32,2,FALSE)))</f>
        <v/>
      </c>
      <c r="F1954" s="67">
        <f>IF($B1954="",0,IF(LEFT($B1954,1)="━",0,$C1954*VLOOKUP($B1954,'4. CÀI ĐẶT'!$A$2:$H$32,3,FALSE)))</f>
        <v/>
      </c>
      <c r="G1954" s="67">
        <f>IF($B1954="",0,IF(LEFT($B1954,1)="━",0,$C1954*VLOOKUP($B1954,'4. CÀI ĐẶT'!$A$2:$H$32,4,FALSE)))</f>
        <v/>
      </c>
      <c r="H1954" s="67">
        <f>IF($B1954="",0,IF(LEFT($B1954,1)="━",0,$C1954*VLOOKUP($B1954,'4. CÀI ĐẶT'!$A$2:$H$32,5,FALSE)))</f>
        <v/>
      </c>
      <c r="I1954">
        <f>IF($B1954="","",IF(LEFT($B1954,1)="━","",VLOOKUP($B1954,'4. CÀI ĐẶT'!$A$2:$H$32,6,FALSE)))</f>
        <v/>
      </c>
      <c r="J1954" s="13">
        <f>IF($A1954="","",EOMONTH($A1954,0))</f>
        <v/>
      </c>
      <c r="K1954" s="67">
        <f>IF($B1954="",0,IF(LEFT($B1954,1)="━",0,$C1954*VLOOKUP($B1954,'4. CÀI ĐẶT'!$A$2:$H$32,7,FALSE)))</f>
        <v/>
      </c>
    </row>
    <row r="1955">
      <c r="A1955" s="8" t="n"/>
      <c r="B1955" s="9" t="n"/>
      <c r="C1955" s="65" t="n"/>
      <c r="D1955" s="9" t="n"/>
      <c r="E1955" s="66">
        <f>IF($B1955="","",IF(LEFT($B1955,1)="━","⚠️ Chọn hạng mục cụ thể",$C1955*VLOOKUP($B1955,'4. CÀI ĐẶT'!$A$2:$H$32,2,FALSE)))</f>
        <v/>
      </c>
      <c r="F1955" s="67">
        <f>IF($B1955="",0,IF(LEFT($B1955,1)="━",0,$C1955*VLOOKUP($B1955,'4. CÀI ĐẶT'!$A$2:$H$32,3,FALSE)))</f>
        <v/>
      </c>
      <c r="G1955" s="67">
        <f>IF($B1955="",0,IF(LEFT($B1955,1)="━",0,$C1955*VLOOKUP($B1955,'4. CÀI ĐẶT'!$A$2:$H$32,4,FALSE)))</f>
        <v/>
      </c>
      <c r="H1955" s="67">
        <f>IF($B1955="",0,IF(LEFT($B1955,1)="━",0,$C1955*VLOOKUP($B1955,'4. CÀI ĐẶT'!$A$2:$H$32,5,FALSE)))</f>
        <v/>
      </c>
      <c r="I1955">
        <f>IF($B1955="","",IF(LEFT($B1955,1)="━","",VLOOKUP($B1955,'4. CÀI ĐẶT'!$A$2:$H$32,6,FALSE)))</f>
        <v/>
      </c>
      <c r="J1955" s="13">
        <f>IF($A1955="","",EOMONTH($A1955,0))</f>
        <v/>
      </c>
      <c r="K1955" s="67">
        <f>IF($B1955="",0,IF(LEFT($B1955,1)="━",0,$C1955*VLOOKUP($B1955,'4. CÀI ĐẶT'!$A$2:$H$32,7,FALSE)))</f>
        <v/>
      </c>
    </row>
    <row r="1956">
      <c r="A1956" s="8" t="n"/>
      <c r="B1956" s="9" t="n"/>
      <c r="C1956" s="65" t="n"/>
      <c r="D1956" s="9" t="n"/>
      <c r="E1956" s="66">
        <f>IF($B1956="","",IF(LEFT($B1956,1)="━","⚠️ Chọn hạng mục cụ thể",$C1956*VLOOKUP($B1956,'4. CÀI ĐẶT'!$A$2:$H$32,2,FALSE)))</f>
        <v/>
      </c>
      <c r="F1956" s="67">
        <f>IF($B1956="",0,IF(LEFT($B1956,1)="━",0,$C1956*VLOOKUP($B1956,'4. CÀI ĐẶT'!$A$2:$H$32,3,FALSE)))</f>
        <v/>
      </c>
      <c r="G1956" s="67">
        <f>IF($B1956="",0,IF(LEFT($B1956,1)="━",0,$C1956*VLOOKUP($B1956,'4. CÀI ĐẶT'!$A$2:$H$32,4,FALSE)))</f>
        <v/>
      </c>
      <c r="H1956" s="67">
        <f>IF($B1956="",0,IF(LEFT($B1956,1)="━",0,$C1956*VLOOKUP($B1956,'4. CÀI ĐẶT'!$A$2:$H$32,5,FALSE)))</f>
        <v/>
      </c>
      <c r="I1956">
        <f>IF($B1956="","",IF(LEFT($B1956,1)="━","",VLOOKUP($B1956,'4. CÀI ĐẶT'!$A$2:$H$32,6,FALSE)))</f>
        <v/>
      </c>
      <c r="J1956" s="13">
        <f>IF($A1956="","",EOMONTH($A1956,0))</f>
        <v/>
      </c>
      <c r="K1956" s="67">
        <f>IF($B1956="",0,IF(LEFT($B1956,1)="━",0,$C1956*VLOOKUP($B1956,'4. CÀI ĐẶT'!$A$2:$H$32,7,FALSE)))</f>
        <v/>
      </c>
    </row>
    <row r="1957">
      <c r="A1957" s="8" t="n"/>
      <c r="B1957" s="9" t="n"/>
      <c r="C1957" s="65" t="n"/>
      <c r="D1957" s="9" t="n"/>
      <c r="E1957" s="66">
        <f>IF($B1957="","",IF(LEFT($B1957,1)="━","⚠️ Chọn hạng mục cụ thể",$C1957*VLOOKUP($B1957,'4. CÀI ĐẶT'!$A$2:$H$32,2,FALSE)))</f>
        <v/>
      </c>
      <c r="F1957" s="67">
        <f>IF($B1957="",0,IF(LEFT($B1957,1)="━",0,$C1957*VLOOKUP($B1957,'4. CÀI ĐẶT'!$A$2:$H$32,3,FALSE)))</f>
        <v/>
      </c>
      <c r="G1957" s="67">
        <f>IF($B1957="",0,IF(LEFT($B1957,1)="━",0,$C1957*VLOOKUP($B1957,'4. CÀI ĐẶT'!$A$2:$H$32,4,FALSE)))</f>
        <v/>
      </c>
      <c r="H1957" s="67">
        <f>IF($B1957="",0,IF(LEFT($B1957,1)="━",0,$C1957*VLOOKUP($B1957,'4. CÀI ĐẶT'!$A$2:$H$32,5,FALSE)))</f>
        <v/>
      </c>
      <c r="I1957">
        <f>IF($B1957="","",IF(LEFT($B1957,1)="━","",VLOOKUP($B1957,'4. CÀI ĐẶT'!$A$2:$H$32,6,FALSE)))</f>
        <v/>
      </c>
      <c r="J1957" s="13">
        <f>IF($A1957="","",EOMONTH($A1957,0))</f>
        <v/>
      </c>
      <c r="K1957" s="67">
        <f>IF($B1957="",0,IF(LEFT($B1957,1)="━",0,$C1957*VLOOKUP($B1957,'4. CÀI ĐẶT'!$A$2:$H$32,7,FALSE)))</f>
        <v/>
      </c>
    </row>
    <row r="1958">
      <c r="A1958" s="8" t="n"/>
      <c r="B1958" s="9" t="n"/>
      <c r="C1958" s="65" t="n"/>
      <c r="D1958" s="9" t="n"/>
      <c r="E1958" s="66">
        <f>IF($B1958="","",IF(LEFT($B1958,1)="━","⚠️ Chọn hạng mục cụ thể",$C1958*VLOOKUP($B1958,'4. CÀI ĐẶT'!$A$2:$H$32,2,FALSE)))</f>
        <v/>
      </c>
      <c r="F1958" s="67">
        <f>IF($B1958="",0,IF(LEFT($B1958,1)="━",0,$C1958*VLOOKUP($B1958,'4. CÀI ĐẶT'!$A$2:$H$32,3,FALSE)))</f>
        <v/>
      </c>
      <c r="G1958" s="67">
        <f>IF($B1958="",0,IF(LEFT($B1958,1)="━",0,$C1958*VLOOKUP($B1958,'4. CÀI ĐẶT'!$A$2:$H$32,4,FALSE)))</f>
        <v/>
      </c>
      <c r="H1958" s="67">
        <f>IF($B1958="",0,IF(LEFT($B1958,1)="━",0,$C1958*VLOOKUP($B1958,'4. CÀI ĐẶT'!$A$2:$H$32,5,FALSE)))</f>
        <v/>
      </c>
      <c r="I1958">
        <f>IF($B1958="","",IF(LEFT($B1958,1)="━","",VLOOKUP($B1958,'4. CÀI ĐẶT'!$A$2:$H$32,6,FALSE)))</f>
        <v/>
      </c>
      <c r="J1958" s="13">
        <f>IF($A1958="","",EOMONTH($A1958,0))</f>
        <v/>
      </c>
      <c r="K1958" s="67">
        <f>IF($B1958="",0,IF(LEFT($B1958,1)="━",0,$C1958*VLOOKUP($B1958,'4. CÀI ĐẶT'!$A$2:$H$32,7,FALSE)))</f>
        <v/>
      </c>
    </row>
    <row r="1959">
      <c r="A1959" s="8" t="n"/>
      <c r="B1959" s="9" t="n"/>
      <c r="C1959" s="65" t="n"/>
      <c r="D1959" s="9" t="n"/>
      <c r="E1959" s="66">
        <f>IF($B1959="","",IF(LEFT($B1959,1)="━","⚠️ Chọn hạng mục cụ thể",$C1959*VLOOKUP($B1959,'4. CÀI ĐẶT'!$A$2:$H$32,2,FALSE)))</f>
        <v/>
      </c>
      <c r="F1959" s="67">
        <f>IF($B1959="",0,IF(LEFT($B1959,1)="━",0,$C1959*VLOOKUP($B1959,'4. CÀI ĐẶT'!$A$2:$H$32,3,FALSE)))</f>
        <v/>
      </c>
      <c r="G1959" s="67">
        <f>IF($B1959="",0,IF(LEFT($B1959,1)="━",0,$C1959*VLOOKUP($B1959,'4. CÀI ĐẶT'!$A$2:$H$32,4,FALSE)))</f>
        <v/>
      </c>
      <c r="H1959" s="67">
        <f>IF($B1959="",0,IF(LEFT($B1959,1)="━",0,$C1959*VLOOKUP($B1959,'4. CÀI ĐẶT'!$A$2:$H$32,5,FALSE)))</f>
        <v/>
      </c>
      <c r="I1959">
        <f>IF($B1959="","",IF(LEFT($B1959,1)="━","",VLOOKUP($B1959,'4. CÀI ĐẶT'!$A$2:$H$32,6,FALSE)))</f>
        <v/>
      </c>
      <c r="J1959" s="13">
        <f>IF($A1959="","",EOMONTH($A1959,0))</f>
        <v/>
      </c>
      <c r="K1959" s="67">
        <f>IF($B1959="",0,IF(LEFT($B1959,1)="━",0,$C1959*VLOOKUP($B1959,'4. CÀI ĐẶT'!$A$2:$H$32,7,FALSE)))</f>
        <v/>
      </c>
    </row>
    <row r="1960">
      <c r="A1960" s="8" t="n"/>
      <c r="B1960" s="9" t="n"/>
      <c r="C1960" s="65" t="n"/>
      <c r="D1960" s="9" t="n"/>
      <c r="E1960" s="66">
        <f>IF($B1960="","",IF(LEFT($B1960,1)="━","⚠️ Chọn hạng mục cụ thể",$C1960*VLOOKUP($B1960,'4. CÀI ĐẶT'!$A$2:$H$32,2,FALSE)))</f>
        <v/>
      </c>
      <c r="F1960" s="67">
        <f>IF($B1960="",0,IF(LEFT($B1960,1)="━",0,$C1960*VLOOKUP($B1960,'4. CÀI ĐẶT'!$A$2:$H$32,3,FALSE)))</f>
        <v/>
      </c>
      <c r="G1960" s="67">
        <f>IF($B1960="",0,IF(LEFT($B1960,1)="━",0,$C1960*VLOOKUP($B1960,'4. CÀI ĐẶT'!$A$2:$H$32,4,FALSE)))</f>
        <v/>
      </c>
      <c r="H1960" s="67">
        <f>IF($B1960="",0,IF(LEFT($B1960,1)="━",0,$C1960*VLOOKUP($B1960,'4. CÀI ĐẶT'!$A$2:$H$32,5,FALSE)))</f>
        <v/>
      </c>
      <c r="I1960">
        <f>IF($B1960="","",IF(LEFT($B1960,1)="━","",VLOOKUP($B1960,'4. CÀI ĐẶT'!$A$2:$H$32,6,FALSE)))</f>
        <v/>
      </c>
      <c r="J1960" s="13">
        <f>IF($A1960="","",EOMONTH($A1960,0))</f>
        <v/>
      </c>
      <c r="K1960" s="67">
        <f>IF($B1960="",0,IF(LEFT($B1960,1)="━",0,$C1960*VLOOKUP($B1960,'4. CÀI ĐẶT'!$A$2:$H$32,7,FALSE)))</f>
        <v/>
      </c>
    </row>
    <row r="1961">
      <c r="A1961" s="8" t="n"/>
      <c r="B1961" s="9" t="n"/>
      <c r="C1961" s="65" t="n"/>
      <c r="D1961" s="9" t="n"/>
      <c r="E1961" s="66">
        <f>IF($B1961="","",IF(LEFT($B1961,1)="━","⚠️ Chọn hạng mục cụ thể",$C1961*VLOOKUP($B1961,'4. CÀI ĐẶT'!$A$2:$H$32,2,FALSE)))</f>
        <v/>
      </c>
      <c r="F1961" s="67">
        <f>IF($B1961="",0,IF(LEFT($B1961,1)="━",0,$C1961*VLOOKUP($B1961,'4. CÀI ĐẶT'!$A$2:$H$32,3,FALSE)))</f>
        <v/>
      </c>
      <c r="G1961" s="67">
        <f>IF($B1961="",0,IF(LEFT($B1961,1)="━",0,$C1961*VLOOKUP($B1961,'4. CÀI ĐẶT'!$A$2:$H$32,4,FALSE)))</f>
        <v/>
      </c>
      <c r="H1961" s="67">
        <f>IF($B1961="",0,IF(LEFT($B1961,1)="━",0,$C1961*VLOOKUP($B1961,'4. CÀI ĐẶT'!$A$2:$H$32,5,FALSE)))</f>
        <v/>
      </c>
      <c r="I1961">
        <f>IF($B1961="","",IF(LEFT($B1961,1)="━","",VLOOKUP($B1961,'4. CÀI ĐẶT'!$A$2:$H$32,6,FALSE)))</f>
        <v/>
      </c>
      <c r="J1961" s="13">
        <f>IF($A1961="","",EOMONTH($A1961,0))</f>
        <v/>
      </c>
      <c r="K1961" s="67">
        <f>IF($B1961="",0,IF(LEFT($B1961,1)="━",0,$C1961*VLOOKUP($B1961,'4. CÀI ĐẶT'!$A$2:$H$32,7,FALSE)))</f>
        <v/>
      </c>
    </row>
    <row r="1962">
      <c r="A1962" s="8" t="n"/>
      <c r="B1962" s="9" t="n"/>
      <c r="C1962" s="65" t="n"/>
      <c r="D1962" s="9" t="n"/>
      <c r="E1962" s="66">
        <f>IF($B1962="","",IF(LEFT($B1962,1)="━","⚠️ Chọn hạng mục cụ thể",$C1962*VLOOKUP($B1962,'4. CÀI ĐẶT'!$A$2:$H$32,2,FALSE)))</f>
        <v/>
      </c>
      <c r="F1962" s="67">
        <f>IF($B1962="",0,IF(LEFT($B1962,1)="━",0,$C1962*VLOOKUP($B1962,'4. CÀI ĐẶT'!$A$2:$H$32,3,FALSE)))</f>
        <v/>
      </c>
      <c r="G1962" s="67">
        <f>IF($B1962="",0,IF(LEFT($B1962,1)="━",0,$C1962*VLOOKUP($B1962,'4. CÀI ĐẶT'!$A$2:$H$32,4,FALSE)))</f>
        <v/>
      </c>
      <c r="H1962" s="67">
        <f>IF($B1962="",0,IF(LEFT($B1962,1)="━",0,$C1962*VLOOKUP($B1962,'4. CÀI ĐẶT'!$A$2:$H$32,5,FALSE)))</f>
        <v/>
      </c>
      <c r="I1962">
        <f>IF($B1962="","",IF(LEFT($B1962,1)="━","",VLOOKUP($B1962,'4. CÀI ĐẶT'!$A$2:$H$32,6,FALSE)))</f>
        <v/>
      </c>
      <c r="J1962" s="13">
        <f>IF($A1962="","",EOMONTH($A1962,0))</f>
        <v/>
      </c>
      <c r="K1962" s="67">
        <f>IF($B1962="",0,IF(LEFT($B1962,1)="━",0,$C1962*VLOOKUP($B1962,'4. CÀI ĐẶT'!$A$2:$H$32,7,FALSE)))</f>
        <v/>
      </c>
    </row>
    <row r="1963">
      <c r="A1963" s="8" t="n"/>
      <c r="B1963" s="9" t="n"/>
      <c r="C1963" s="65" t="n"/>
      <c r="D1963" s="9" t="n"/>
      <c r="E1963" s="66">
        <f>IF($B1963="","",IF(LEFT($B1963,1)="━","⚠️ Chọn hạng mục cụ thể",$C1963*VLOOKUP($B1963,'4. CÀI ĐẶT'!$A$2:$H$32,2,FALSE)))</f>
        <v/>
      </c>
      <c r="F1963" s="67">
        <f>IF($B1963="",0,IF(LEFT($B1963,1)="━",0,$C1963*VLOOKUP($B1963,'4. CÀI ĐẶT'!$A$2:$H$32,3,FALSE)))</f>
        <v/>
      </c>
      <c r="G1963" s="67">
        <f>IF($B1963="",0,IF(LEFT($B1963,1)="━",0,$C1963*VLOOKUP($B1963,'4. CÀI ĐẶT'!$A$2:$H$32,4,FALSE)))</f>
        <v/>
      </c>
      <c r="H1963" s="67">
        <f>IF($B1963="",0,IF(LEFT($B1963,1)="━",0,$C1963*VLOOKUP($B1963,'4. CÀI ĐẶT'!$A$2:$H$32,5,FALSE)))</f>
        <v/>
      </c>
      <c r="I1963">
        <f>IF($B1963="","",IF(LEFT($B1963,1)="━","",VLOOKUP($B1963,'4. CÀI ĐẶT'!$A$2:$H$32,6,FALSE)))</f>
        <v/>
      </c>
      <c r="J1963" s="13">
        <f>IF($A1963="","",EOMONTH($A1963,0))</f>
        <v/>
      </c>
      <c r="K1963" s="67">
        <f>IF($B1963="",0,IF(LEFT($B1963,1)="━",0,$C1963*VLOOKUP($B1963,'4. CÀI ĐẶT'!$A$2:$H$32,7,FALSE)))</f>
        <v/>
      </c>
    </row>
    <row r="1964">
      <c r="A1964" s="8" t="n"/>
      <c r="B1964" s="9" t="n"/>
      <c r="C1964" s="65" t="n"/>
      <c r="D1964" s="9" t="n"/>
      <c r="E1964" s="66">
        <f>IF($B1964="","",IF(LEFT($B1964,1)="━","⚠️ Chọn hạng mục cụ thể",$C1964*VLOOKUP($B1964,'4. CÀI ĐẶT'!$A$2:$H$32,2,FALSE)))</f>
        <v/>
      </c>
      <c r="F1964" s="67">
        <f>IF($B1964="",0,IF(LEFT($B1964,1)="━",0,$C1964*VLOOKUP($B1964,'4. CÀI ĐẶT'!$A$2:$H$32,3,FALSE)))</f>
        <v/>
      </c>
      <c r="G1964" s="67">
        <f>IF($B1964="",0,IF(LEFT($B1964,1)="━",0,$C1964*VLOOKUP($B1964,'4. CÀI ĐẶT'!$A$2:$H$32,4,FALSE)))</f>
        <v/>
      </c>
      <c r="H1964" s="67">
        <f>IF($B1964="",0,IF(LEFT($B1964,1)="━",0,$C1964*VLOOKUP($B1964,'4. CÀI ĐẶT'!$A$2:$H$32,5,FALSE)))</f>
        <v/>
      </c>
      <c r="I1964">
        <f>IF($B1964="","",IF(LEFT($B1964,1)="━","",VLOOKUP($B1964,'4. CÀI ĐẶT'!$A$2:$H$32,6,FALSE)))</f>
        <v/>
      </c>
      <c r="J1964" s="13">
        <f>IF($A1964="","",EOMONTH($A1964,0))</f>
        <v/>
      </c>
      <c r="K1964" s="67">
        <f>IF($B1964="",0,IF(LEFT($B1964,1)="━",0,$C1964*VLOOKUP($B1964,'4. CÀI ĐẶT'!$A$2:$H$32,7,FALSE)))</f>
        <v/>
      </c>
    </row>
    <row r="1965">
      <c r="A1965" s="8" t="n"/>
      <c r="B1965" s="9" t="n"/>
      <c r="C1965" s="65" t="n"/>
      <c r="D1965" s="9" t="n"/>
      <c r="E1965" s="66">
        <f>IF($B1965="","",IF(LEFT($B1965,1)="━","⚠️ Chọn hạng mục cụ thể",$C1965*VLOOKUP($B1965,'4. CÀI ĐẶT'!$A$2:$H$32,2,FALSE)))</f>
        <v/>
      </c>
      <c r="F1965" s="67">
        <f>IF($B1965="",0,IF(LEFT($B1965,1)="━",0,$C1965*VLOOKUP($B1965,'4. CÀI ĐẶT'!$A$2:$H$32,3,FALSE)))</f>
        <v/>
      </c>
      <c r="G1965" s="67">
        <f>IF($B1965="",0,IF(LEFT($B1965,1)="━",0,$C1965*VLOOKUP($B1965,'4. CÀI ĐẶT'!$A$2:$H$32,4,FALSE)))</f>
        <v/>
      </c>
      <c r="H1965" s="67">
        <f>IF($B1965="",0,IF(LEFT($B1965,1)="━",0,$C1965*VLOOKUP($B1965,'4. CÀI ĐẶT'!$A$2:$H$32,5,FALSE)))</f>
        <v/>
      </c>
      <c r="I1965">
        <f>IF($B1965="","",IF(LEFT($B1965,1)="━","",VLOOKUP($B1965,'4. CÀI ĐẶT'!$A$2:$H$32,6,FALSE)))</f>
        <v/>
      </c>
      <c r="J1965" s="13">
        <f>IF($A1965="","",EOMONTH($A1965,0))</f>
        <v/>
      </c>
      <c r="K1965" s="67">
        <f>IF($B1965="",0,IF(LEFT($B1965,1)="━",0,$C1965*VLOOKUP($B1965,'4. CÀI ĐẶT'!$A$2:$H$32,7,FALSE)))</f>
        <v/>
      </c>
    </row>
    <row r="1966">
      <c r="A1966" s="8" t="n"/>
      <c r="B1966" s="9" t="n"/>
      <c r="C1966" s="65" t="n"/>
      <c r="D1966" s="9" t="n"/>
      <c r="E1966" s="66">
        <f>IF($B1966="","",IF(LEFT($B1966,1)="━","⚠️ Chọn hạng mục cụ thể",$C1966*VLOOKUP($B1966,'4. CÀI ĐẶT'!$A$2:$H$32,2,FALSE)))</f>
        <v/>
      </c>
      <c r="F1966" s="67">
        <f>IF($B1966="",0,IF(LEFT($B1966,1)="━",0,$C1966*VLOOKUP($B1966,'4. CÀI ĐẶT'!$A$2:$H$32,3,FALSE)))</f>
        <v/>
      </c>
      <c r="G1966" s="67">
        <f>IF($B1966="",0,IF(LEFT($B1966,1)="━",0,$C1966*VLOOKUP($B1966,'4. CÀI ĐẶT'!$A$2:$H$32,4,FALSE)))</f>
        <v/>
      </c>
      <c r="H1966" s="67">
        <f>IF($B1966="",0,IF(LEFT($B1966,1)="━",0,$C1966*VLOOKUP($B1966,'4. CÀI ĐẶT'!$A$2:$H$32,5,FALSE)))</f>
        <v/>
      </c>
      <c r="I1966">
        <f>IF($B1966="","",IF(LEFT($B1966,1)="━","",VLOOKUP($B1966,'4. CÀI ĐẶT'!$A$2:$H$32,6,FALSE)))</f>
        <v/>
      </c>
      <c r="J1966" s="13">
        <f>IF($A1966="","",EOMONTH($A1966,0))</f>
        <v/>
      </c>
      <c r="K1966" s="67">
        <f>IF($B1966="",0,IF(LEFT($B1966,1)="━",0,$C1966*VLOOKUP($B1966,'4. CÀI ĐẶT'!$A$2:$H$32,7,FALSE)))</f>
        <v/>
      </c>
    </row>
    <row r="1967">
      <c r="A1967" s="8" t="n"/>
      <c r="B1967" s="9" t="n"/>
      <c r="C1967" s="65" t="n"/>
      <c r="D1967" s="9" t="n"/>
      <c r="E1967" s="66">
        <f>IF($B1967="","",IF(LEFT($B1967,1)="━","⚠️ Chọn hạng mục cụ thể",$C1967*VLOOKUP($B1967,'4. CÀI ĐẶT'!$A$2:$H$32,2,FALSE)))</f>
        <v/>
      </c>
      <c r="F1967" s="67">
        <f>IF($B1967="",0,IF(LEFT($B1967,1)="━",0,$C1967*VLOOKUP($B1967,'4. CÀI ĐẶT'!$A$2:$H$32,3,FALSE)))</f>
        <v/>
      </c>
      <c r="G1967" s="67">
        <f>IF($B1967="",0,IF(LEFT($B1967,1)="━",0,$C1967*VLOOKUP($B1967,'4. CÀI ĐẶT'!$A$2:$H$32,4,FALSE)))</f>
        <v/>
      </c>
      <c r="H1967" s="67">
        <f>IF($B1967="",0,IF(LEFT($B1967,1)="━",0,$C1967*VLOOKUP($B1967,'4. CÀI ĐẶT'!$A$2:$H$32,5,FALSE)))</f>
        <v/>
      </c>
      <c r="I1967">
        <f>IF($B1967="","",IF(LEFT($B1967,1)="━","",VLOOKUP($B1967,'4. CÀI ĐẶT'!$A$2:$H$32,6,FALSE)))</f>
        <v/>
      </c>
      <c r="J1967" s="13">
        <f>IF($A1967="","",EOMONTH($A1967,0))</f>
        <v/>
      </c>
      <c r="K1967" s="67">
        <f>IF($B1967="",0,IF(LEFT($B1967,1)="━",0,$C1967*VLOOKUP($B1967,'4. CÀI ĐẶT'!$A$2:$H$32,7,FALSE)))</f>
        <v/>
      </c>
    </row>
    <row r="1968">
      <c r="A1968" s="8" t="n"/>
      <c r="B1968" s="9" t="n"/>
      <c r="C1968" s="65" t="n"/>
      <c r="D1968" s="9" t="n"/>
      <c r="E1968" s="66">
        <f>IF($B1968="","",IF(LEFT($B1968,1)="━","⚠️ Chọn hạng mục cụ thể",$C1968*VLOOKUP($B1968,'4. CÀI ĐẶT'!$A$2:$H$32,2,FALSE)))</f>
        <v/>
      </c>
      <c r="F1968" s="67">
        <f>IF($B1968="",0,IF(LEFT($B1968,1)="━",0,$C1968*VLOOKUP($B1968,'4. CÀI ĐẶT'!$A$2:$H$32,3,FALSE)))</f>
        <v/>
      </c>
      <c r="G1968" s="67">
        <f>IF($B1968="",0,IF(LEFT($B1968,1)="━",0,$C1968*VLOOKUP($B1968,'4. CÀI ĐẶT'!$A$2:$H$32,4,FALSE)))</f>
        <v/>
      </c>
      <c r="H1968" s="67">
        <f>IF($B1968="",0,IF(LEFT($B1968,1)="━",0,$C1968*VLOOKUP($B1968,'4. CÀI ĐẶT'!$A$2:$H$32,5,FALSE)))</f>
        <v/>
      </c>
      <c r="I1968">
        <f>IF($B1968="","",IF(LEFT($B1968,1)="━","",VLOOKUP($B1968,'4. CÀI ĐẶT'!$A$2:$H$32,6,FALSE)))</f>
        <v/>
      </c>
      <c r="J1968" s="13">
        <f>IF($A1968="","",EOMONTH($A1968,0))</f>
        <v/>
      </c>
      <c r="K1968" s="67">
        <f>IF($B1968="",0,IF(LEFT($B1968,1)="━",0,$C1968*VLOOKUP($B1968,'4. CÀI ĐẶT'!$A$2:$H$32,7,FALSE)))</f>
        <v/>
      </c>
    </row>
    <row r="1969">
      <c r="A1969" s="8" t="n"/>
      <c r="B1969" s="9" t="n"/>
      <c r="C1969" s="65" t="n"/>
      <c r="D1969" s="9" t="n"/>
      <c r="E1969" s="66">
        <f>IF($B1969="","",IF(LEFT($B1969,1)="━","⚠️ Chọn hạng mục cụ thể",$C1969*VLOOKUP($B1969,'4. CÀI ĐẶT'!$A$2:$H$32,2,FALSE)))</f>
        <v/>
      </c>
      <c r="F1969" s="67">
        <f>IF($B1969="",0,IF(LEFT($B1969,1)="━",0,$C1969*VLOOKUP($B1969,'4. CÀI ĐẶT'!$A$2:$H$32,3,FALSE)))</f>
        <v/>
      </c>
      <c r="G1969" s="67">
        <f>IF($B1969="",0,IF(LEFT($B1969,1)="━",0,$C1969*VLOOKUP($B1969,'4. CÀI ĐẶT'!$A$2:$H$32,4,FALSE)))</f>
        <v/>
      </c>
      <c r="H1969" s="67">
        <f>IF($B1969="",0,IF(LEFT($B1969,1)="━",0,$C1969*VLOOKUP($B1969,'4. CÀI ĐẶT'!$A$2:$H$32,5,FALSE)))</f>
        <v/>
      </c>
      <c r="I1969">
        <f>IF($B1969="","",IF(LEFT($B1969,1)="━","",VLOOKUP($B1969,'4. CÀI ĐẶT'!$A$2:$H$32,6,FALSE)))</f>
        <v/>
      </c>
      <c r="J1969" s="13">
        <f>IF($A1969="","",EOMONTH($A1969,0))</f>
        <v/>
      </c>
      <c r="K1969" s="67">
        <f>IF($B1969="",0,IF(LEFT($B1969,1)="━",0,$C1969*VLOOKUP($B1969,'4. CÀI ĐẶT'!$A$2:$H$32,7,FALSE)))</f>
        <v/>
      </c>
    </row>
    <row r="1970">
      <c r="A1970" s="8" t="n"/>
      <c r="B1970" s="9" t="n"/>
      <c r="C1970" s="65" t="n"/>
      <c r="D1970" s="9" t="n"/>
      <c r="E1970" s="66">
        <f>IF($B1970="","",IF(LEFT($B1970,1)="━","⚠️ Chọn hạng mục cụ thể",$C1970*VLOOKUP($B1970,'4. CÀI ĐẶT'!$A$2:$H$32,2,FALSE)))</f>
        <v/>
      </c>
      <c r="F1970" s="67">
        <f>IF($B1970="",0,IF(LEFT($B1970,1)="━",0,$C1970*VLOOKUP($B1970,'4. CÀI ĐẶT'!$A$2:$H$32,3,FALSE)))</f>
        <v/>
      </c>
      <c r="G1970" s="67">
        <f>IF($B1970="",0,IF(LEFT($B1970,1)="━",0,$C1970*VLOOKUP($B1970,'4. CÀI ĐẶT'!$A$2:$H$32,4,FALSE)))</f>
        <v/>
      </c>
      <c r="H1970" s="67">
        <f>IF($B1970="",0,IF(LEFT($B1970,1)="━",0,$C1970*VLOOKUP($B1970,'4. CÀI ĐẶT'!$A$2:$H$32,5,FALSE)))</f>
        <v/>
      </c>
      <c r="I1970">
        <f>IF($B1970="","",IF(LEFT($B1970,1)="━","",VLOOKUP($B1970,'4. CÀI ĐẶT'!$A$2:$H$32,6,FALSE)))</f>
        <v/>
      </c>
      <c r="J1970" s="13">
        <f>IF($A1970="","",EOMONTH($A1970,0))</f>
        <v/>
      </c>
      <c r="K1970" s="67">
        <f>IF($B1970="",0,IF(LEFT($B1970,1)="━",0,$C1970*VLOOKUP($B1970,'4. CÀI ĐẶT'!$A$2:$H$32,7,FALSE)))</f>
        <v/>
      </c>
    </row>
    <row r="1971">
      <c r="A1971" s="8" t="n"/>
      <c r="B1971" s="9" t="n"/>
      <c r="C1971" s="65" t="n"/>
      <c r="D1971" s="9" t="n"/>
      <c r="E1971" s="66">
        <f>IF($B1971="","",IF(LEFT($B1971,1)="━","⚠️ Chọn hạng mục cụ thể",$C1971*VLOOKUP($B1971,'4. CÀI ĐẶT'!$A$2:$H$32,2,FALSE)))</f>
        <v/>
      </c>
      <c r="F1971" s="67">
        <f>IF($B1971="",0,IF(LEFT($B1971,1)="━",0,$C1971*VLOOKUP($B1971,'4. CÀI ĐẶT'!$A$2:$H$32,3,FALSE)))</f>
        <v/>
      </c>
      <c r="G1971" s="67">
        <f>IF($B1971="",0,IF(LEFT($B1971,1)="━",0,$C1971*VLOOKUP($B1971,'4. CÀI ĐẶT'!$A$2:$H$32,4,FALSE)))</f>
        <v/>
      </c>
      <c r="H1971" s="67">
        <f>IF($B1971="",0,IF(LEFT($B1971,1)="━",0,$C1971*VLOOKUP($B1971,'4. CÀI ĐẶT'!$A$2:$H$32,5,FALSE)))</f>
        <v/>
      </c>
      <c r="I1971">
        <f>IF($B1971="","",IF(LEFT($B1971,1)="━","",VLOOKUP($B1971,'4. CÀI ĐẶT'!$A$2:$H$32,6,FALSE)))</f>
        <v/>
      </c>
      <c r="J1971" s="13">
        <f>IF($A1971="","",EOMONTH($A1971,0))</f>
        <v/>
      </c>
      <c r="K1971" s="67">
        <f>IF($B1971="",0,IF(LEFT($B1971,1)="━",0,$C1971*VLOOKUP($B1971,'4. CÀI ĐẶT'!$A$2:$H$32,7,FALSE)))</f>
        <v/>
      </c>
    </row>
    <row r="1972">
      <c r="A1972" s="8" t="n"/>
      <c r="B1972" s="9" t="n"/>
      <c r="C1972" s="65" t="n"/>
      <c r="D1972" s="9" t="n"/>
      <c r="E1972" s="66">
        <f>IF($B1972="","",IF(LEFT($B1972,1)="━","⚠️ Chọn hạng mục cụ thể",$C1972*VLOOKUP($B1972,'4. CÀI ĐẶT'!$A$2:$H$32,2,FALSE)))</f>
        <v/>
      </c>
      <c r="F1972" s="67">
        <f>IF($B1972="",0,IF(LEFT($B1972,1)="━",0,$C1972*VLOOKUP($B1972,'4. CÀI ĐẶT'!$A$2:$H$32,3,FALSE)))</f>
        <v/>
      </c>
      <c r="G1972" s="67">
        <f>IF($B1972="",0,IF(LEFT($B1972,1)="━",0,$C1972*VLOOKUP($B1972,'4. CÀI ĐẶT'!$A$2:$H$32,4,FALSE)))</f>
        <v/>
      </c>
      <c r="H1972" s="67">
        <f>IF($B1972="",0,IF(LEFT($B1972,1)="━",0,$C1972*VLOOKUP($B1972,'4. CÀI ĐẶT'!$A$2:$H$32,5,FALSE)))</f>
        <v/>
      </c>
      <c r="I1972">
        <f>IF($B1972="","",IF(LEFT($B1972,1)="━","",VLOOKUP($B1972,'4. CÀI ĐẶT'!$A$2:$H$32,6,FALSE)))</f>
        <v/>
      </c>
      <c r="J1972" s="13">
        <f>IF($A1972="","",EOMONTH($A1972,0))</f>
        <v/>
      </c>
      <c r="K1972" s="67">
        <f>IF($B1972="",0,IF(LEFT($B1972,1)="━",0,$C1972*VLOOKUP($B1972,'4. CÀI ĐẶT'!$A$2:$H$32,7,FALSE)))</f>
        <v/>
      </c>
    </row>
    <row r="1973">
      <c r="A1973" s="8" t="n"/>
      <c r="B1973" s="9" t="n"/>
      <c r="C1973" s="65" t="n"/>
      <c r="D1973" s="9" t="n"/>
      <c r="E1973" s="66">
        <f>IF($B1973="","",IF(LEFT($B1973,1)="━","⚠️ Chọn hạng mục cụ thể",$C1973*VLOOKUP($B1973,'4. CÀI ĐẶT'!$A$2:$H$32,2,FALSE)))</f>
        <v/>
      </c>
      <c r="F1973" s="67">
        <f>IF($B1973="",0,IF(LEFT($B1973,1)="━",0,$C1973*VLOOKUP($B1973,'4. CÀI ĐẶT'!$A$2:$H$32,3,FALSE)))</f>
        <v/>
      </c>
      <c r="G1973" s="67">
        <f>IF($B1973="",0,IF(LEFT($B1973,1)="━",0,$C1973*VLOOKUP($B1973,'4. CÀI ĐẶT'!$A$2:$H$32,4,FALSE)))</f>
        <v/>
      </c>
      <c r="H1973" s="67">
        <f>IF($B1973="",0,IF(LEFT($B1973,1)="━",0,$C1973*VLOOKUP($B1973,'4. CÀI ĐẶT'!$A$2:$H$32,5,FALSE)))</f>
        <v/>
      </c>
      <c r="I1973">
        <f>IF($B1973="","",IF(LEFT($B1973,1)="━","",VLOOKUP($B1973,'4. CÀI ĐẶT'!$A$2:$H$32,6,FALSE)))</f>
        <v/>
      </c>
      <c r="J1973" s="13">
        <f>IF($A1973="","",EOMONTH($A1973,0))</f>
        <v/>
      </c>
      <c r="K1973" s="67">
        <f>IF($B1973="",0,IF(LEFT($B1973,1)="━",0,$C1973*VLOOKUP($B1973,'4. CÀI ĐẶT'!$A$2:$H$32,7,FALSE)))</f>
        <v/>
      </c>
    </row>
    <row r="1974">
      <c r="A1974" s="8" t="n"/>
      <c r="B1974" s="9" t="n"/>
      <c r="C1974" s="65" t="n"/>
      <c r="D1974" s="9" t="n"/>
      <c r="E1974" s="66">
        <f>IF($B1974="","",IF(LEFT($B1974,1)="━","⚠️ Chọn hạng mục cụ thể",$C1974*VLOOKUP($B1974,'4. CÀI ĐẶT'!$A$2:$H$32,2,FALSE)))</f>
        <v/>
      </c>
      <c r="F1974" s="67">
        <f>IF($B1974="",0,IF(LEFT($B1974,1)="━",0,$C1974*VLOOKUP($B1974,'4. CÀI ĐẶT'!$A$2:$H$32,3,FALSE)))</f>
        <v/>
      </c>
      <c r="G1974" s="67">
        <f>IF($B1974="",0,IF(LEFT($B1974,1)="━",0,$C1974*VLOOKUP($B1974,'4. CÀI ĐẶT'!$A$2:$H$32,4,FALSE)))</f>
        <v/>
      </c>
      <c r="H1974" s="67">
        <f>IF($B1974="",0,IF(LEFT($B1974,1)="━",0,$C1974*VLOOKUP($B1974,'4. CÀI ĐẶT'!$A$2:$H$32,5,FALSE)))</f>
        <v/>
      </c>
      <c r="I1974">
        <f>IF($B1974="","",IF(LEFT($B1974,1)="━","",VLOOKUP($B1974,'4. CÀI ĐẶT'!$A$2:$H$32,6,FALSE)))</f>
        <v/>
      </c>
      <c r="J1974" s="13">
        <f>IF($A1974="","",EOMONTH($A1974,0))</f>
        <v/>
      </c>
      <c r="K1974" s="67">
        <f>IF($B1974="",0,IF(LEFT($B1974,1)="━",0,$C1974*VLOOKUP($B1974,'4. CÀI ĐẶT'!$A$2:$H$32,7,FALSE)))</f>
        <v/>
      </c>
    </row>
    <row r="1975">
      <c r="A1975" s="8" t="n"/>
      <c r="B1975" s="9" t="n"/>
      <c r="C1975" s="65" t="n"/>
      <c r="D1975" s="9" t="n"/>
      <c r="E1975" s="66">
        <f>IF($B1975="","",IF(LEFT($B1975,1)="━","⚠️ Chọn hạng mục cụ thể",$C1975*VLOOKUP($B1975,'4. CÀI ĐẶT'!$A$2:$H$32,2,FALSE)))</f>
        <v/>
      </c>
      <c r="F1975" s="67">
        <f>IF($B1975="",0,IF(LEFT($B1975,1)="━",0,$C1975*VLOOKUP($B1975,'4. CÀI ĐẶT'!$A$2:$H$32,3,FALSE)))</f>
        <v/>
      </c>
      <c r="G1975" s="67">
        <f>IF($B1975="",0,IF(LEFT($B1975,1)="━",0,$C1975*VLOOKUP($B1975,'4. CÀI ĐẶT'!$A$2:$H$32,4,FALSE)))</f>
        <v/>
      </c>
      <c r="H1975" s="67">
        <f>IF($B1975="",0,IF(LEFT($B1975,1)="━",0,$C1975*VLOOKUP($B1975,'4. CÀI ĐẶT'!$A$2:$H$32,5,FALSE)))</f>
        <v/>
      </c>
      <c r="I1975">
        <f>IF($B1975="","",IF(LEFT($B1975,1)="━","",VLOOKUP($B1975,'4. CÀI ĐẶT'!$A$2:$H$32,6,FALSE)))</f>
        <v/>
      </c>
      <c r="J1975" s="13">
        <f>IF($A1975="","",EOMONTH($A1975,0))</f>
        <v/>
      </c>
      <c r="K1975" s="67">
        <f>IF($B1975="",0,IF(LEFT($B1975,1)="━",0,$C1975*VLOOKUP($B1975,'4. CÀI ĐẶT'!$A$2:$H$32,7,FALSE)))</f>
        <v/>
      </c>
    </row>
    <row r="1976">
      <c r="A1976" s="8" t="n"/>
      <c r="B1976" s="9" t="n"/>
      <c r="C1976" s="65" t="n"/>
      <c r="D1976" s="9" t="n"/>
      <c r="E1976" s="66">
        <f>IF($B1976="","",IF(LEFT($B1976,1)="━","⚠️ Chọn hạng mục cụ thể",$C1976*VLOOKUP($B1976,'4. CÀI ĐẶT'!$A$2:$H$32,2,FALSE)))</f>
        <v/>
      </c>
      <c r="F1976" s="67">
        <f>IF($B1976="",0,IF(LEFT($B1976,1)="━",0,$C1976*VLOOKUP($B1976,'4. CÀI ĐẶT'!$A$2:$H$32,3,FALSE)))</f>
        <v/>
      </c>
      <c r="G1976" s="67">
        <f>IF($B1976="",0,IF(LEFT($B1976,1)="━",0,$C1976*VLOOKUP($B1976,'4. CÀI ĐẶT'!$A$2:$H$32,4,FALSE)))</f>
        <v/>
      </c>
      <c r="H1976" s="67">
        <f>IF($B1976="",0,IF(LEFT($B1976,1)="━",0,$C1976*VLOOKUP($B1976,'4. CÀI ĐẶT'!$A$2:$H$32,5,FALSE)))</f>
        <v/>
      </c>
      <c r="I1976">
        <f>IF($B1976="","",IF(LEFT($B1976,1)="━","",VLOOKUP($B1976,'4. CÀI ĐẶT'!$A$2:$H$32,6,FALSE)))</f>
        <v/>
      </c>
      <c r="J1976" s="13">
        <f>IF($A1976="","",EOMONTH($A1976,0))</f>
        <v/>
      </c>
      <c r="K1976" s="67">
        <f>IF($B1976="",0,IF(LEFT($B1976,1)="━",0,$C1976*VLOOKUP($B1976,'4. CÀI ĐẶT'!$A$2:$H$32,7,FALSE)))</f>
        <v/>
      </c>
    </row>
    <row r="1977">
      <c r="A1977" s="8" t="n"/>
      <c r="B1977" s="9" t="n"/>
      <c r="C1977" s="65" t="n"/>
      <c r="D1977" s="9" t="n"/>
      <c r="E1977" s="66">
        <f>IF($B1977="","",IF(LEFT($B1977,1)="━","⚠️ Chọn hạng mục cụ thể",$C1977*VLOOKUP($B1977,'4. CÀI ĐẶT'!$A$2:$H$32,2,FALSE)))</f>
        <v/>
      </c>
      <c r="F1977" s="67">
        <f>IF($B1977="",0,IF(LEFT($B1977,1)="━",0,$C1977*VLOOKUP($B1977,'4. CÀI ĐẶT'!$A$2:$H$32,3,FALSE)))</f>
        <v/>
      </c>
      <c r="G1977" s="67">
        <f>IF($B1977="",0,IF(LEFT($B1977,1)="━",0,$C1977*VLOOKUP($B1977,'4. CÀI ĐẶT'!$A$2:$H$32,4,FALSE)))</f>
        <v/>
      </c>
      <c r="H1977" s="67">
        <f>IF($B1977="",0,IF(LEFT($B1977,1)="━",0,$C1977*VLOOKUP($B1977,'4. CÀI ĐẶT'!$A$2:$H$32,5,FALSE)))</f>
        <v/>
      </c>
      <c r="I1977">
        <f>IF($B1977="","",IF(LEFT($B1977,1)="━","",VLOOKUP($B1977,'4. CÀI ĐẶT'!$A$2:$H$32,6,FALSE)))</f>
        <v/>
      </c>
      <c r="J1977" s="13">
        <f>IF($A1977="","",EOMONTH($A1977,0))</f>
        <v/>
      </c>
      <c r="K1977" s="67">
        <f>IF($B1977="",0,IF(LEFT($B1977,1)="━",0,$C1977*VLOOKUP($B1977,'4. CÀI ĐẶT'!$A$2:$H$32,7,FALSE)))</f>
        <v/>
      </c>
    </row>
    <row r="1978">
      <c r="A1978" s="8" t="n"/>
      <c r="B1978" s="9" t="n"/>
      <c r="C1978" s="65" t="n"/>
      <c r="D1978" s="9" t="n"/>
      <c r="E1978" s="66">
        <f>IF($B1978="","",IF(LEFT($B1978,1)="━","⚠️ Chọn hạng mục cụ thể",$C1978*VLOOKUP($B1978,'4. CÀI ĐẶT'!$A$2:$H$32,2,FALSE)))</f>
        <v/>
      </c>
      <c r="F1978" s="67">
        <f>IF($B1978="",0,IF(LEFT($B1978,1)="━",0,$C1978*VLOOKUP($B1978,'4. CÀI ĐẶT'!$A$2:$H$32,3,FALSE)))</f>
        <v/>
      </c>
      <c r="G1978" s="67">
        <f>IF($B1978="",0,IF(LEFT($B1978,1)="━",0,$C1978*VLOOKUP($B1978,'4. CÀI ĐẶT'!$A$2:$H$32,4,FALSE)))</f>
        <v/>
      </c>
      <c r="H1978" s="67">
        <f>IF($B1978="",0,IF(LEFT($B1978,1)="━",0,$C1978*VLOOKUP($B1978,'4. CÀI ĐẶT'!$A$2:$H$32,5,FALSE)))</f>
        <v/>
      </c>
      <c r="I1978">
        <f>IF($B1978="","",IF(LEFT($B1978,1)="━","",VLOOKUP($B1978,'4. CÀI ĐẶT'!$A$2:$H$32,6,FALSE)))</f>
        <v/>
      </c>
      <c r="J1978" s="13">
        <f>IF($A1978="","",EOMONTH($A1978,0))</f>
        <v/>
      </c>
      <c r="K1978" s="67">
        <f>IF($B1978="",0,IF(LEFT($B1978,1)="━",0,$C1978*VLOOKUP($B1978,'4. CÀI ĐẶT'!$A$2:$H$32,7,FALSE)))</f>
        <v/>
      </c>
    </row>
    <row r="1979">
      <c r="A1979" s="8" t="n"/>
      <c r="B1979" s="9" t="n"/>
      <c r="C1979" s="65" t="n"/>
      <c r="D1979" s="9" t="n"/>
      <c r="E1979" s="66">
        <f>IF($B1979="","",IF(LEFT($B1979,1)="━","⚠️ Chọn hạng mục cụ thể",$C1979*VLOOKUP($B1979,'4. CÀI ĐẶT'!$A$2:$H$32,2,FALSE)))</f>
        <v/>
      </c>
      <c r="F1979" s="67">
        <f>IF($B1979="",0,IF(LEFT($B1979,1)="━",0,$C1979*VLOOKUP($B1979,'4. CÀI ĐẶT'!$A$2:$H$32,3,FALSE)))</f>
        <v/>
      </c>
      <c r="G1979" s="67">
        <f>IF($B1979="",0,IF(LEFT($B1979,1)="━",0,$C1979*VLOOKUP($B1979,'4. CÀI ĐẶT'!$A$2:$H$32,4,FALSE)))</f>
        <v/>
      </c>
      <c r="H1979" s="67">
        <f>IF($B1979="",0,IF(LEFT($B1979,1)="━",0,$C1979*VLOOKUP($B1979,'4. CÀI ĐẶT'!$A$2:$H$32,5,FALSE)))</f>
        <v/>
      </c>
      <c r="I1979">
        <f>IF($B1979="","",IF(LEFT($B1979,1)="━","",VLOOKUP($B1979,'4. CÀI ĐẶT'!$A$2:$H$32,6,FALSE)))</f>
        <v/>
      </c>
      <c r="J1979" s="13">
        <f>IF($A1979="","",EOMONTH($A1979,0))</f>
        <v/>
      </c>
      <c r="K1979" s="67">
        <f>IF($B1979="",0,IF(LEFT($B1979,1)="━",0,$C1979*VLOOKUP($B1979,'4. CÀI ĐẶT'!$A$2:$H$32,7,FALSE)))</f>
        <v/>
      </c>
    </row>
    <row r="1980">
      <c r="A1980" s="8" t="n"/>
      <c r="B1980" s="9" t="n"/>
      <c r="C1980" s="65" t="n"/>
      <c r="D1980" s="9" t="n"/>
      <c r="E1980" s="66">
        <f>IF($B1980="","",IF(LEFT($B1980,1)="━","⚠️ Chọn hạng mục cụ thể",$C1980*VLOOKUP($B1980,'4. CÀI ĐẶT'!$A$2:$H$32,2,FALSE)))</f>
        <v/>
      </c>
      <c r="F1980" s="67">
        <f>IF($B1980="",0,IF(LEFT($B1980,1)="━",0,$C1980*VLOOKUP($B1980,'4. CÀI ĐẶT'!$A$2:$H$32,3,FALSE)))</f>
        <v/>
      </c>
      <c r="G1980" s="67">
        <f>IF($B1980="",0,IF(LEFT($B1980,1)="━",0,$C1980*VLOOKUP($B1980,'4. CÀI ĐẶT'!$A$2:$H$32,4,FALSE)))</f>
        <v/>
      </c>
      <c r="H1980" s="67">
        <f>IF($B1980="",0,IF(LEFT($B1980,1)="━",0,$C1980*VLOOKUP($B1980,'4. CÀI ĐẶT'!$A$2:$H$32,5,FALSE)))</f>
        <v/>
      </c>
      <c r="I1980">
        <f>IF($B1980="","",IF(LEFT($B1980,1)="━","",VLOOKUP($B1980,'4. CÀI ĐẶT'!$A$2:$H$32,6,FALSE)))</f>
        <v/>
      </c>
      <c r="J1980" s="13">
        <f>IF($A1980="","",EOMONTH($A1980,0))</f>
        <v/>
      </c>
      <c r="K1980" s="67">
        <f>IF($B1980="",0,IF(LEFT($B1980,1)="━",0,$C1980*VLOOKUP($B1980,'4. CÀI ĐẶT'!$A$2:$H$32,7,FALSE)))</f>
        <v/>
      </c>
    </row>
    <row r="1981">
      <c r="A1981" s="8" t="n"/>
      <c r="B1981" s="9" t="n"/>
      <c r="C1981" s="65" t="n"/>
      <c r="D1981" s="9" t="n"/>
      <c r="E1981" s="66">
        <f>IF($B1981="","",IF(LEFT($B1981,1)="━","⚠️ Chọn hạng mục cụ thể",$C1981*VLOOKUP($B1981,'4. CÀI ĐẶT'!$A$2:$H$32,2,FALSE)))</f>
        <v/>
      </c>
      <c r="F1981" s="67">
        <f>IF($B1981="",0,IF(LEFT($B1981,1)="━",0,$C1981*VLOOKUP($B1981,'4. CÀI ĐẶT'!$A$2:$H$32,3,FALSE)))</f>
        <v/>
      </c>
      <c r="G1981" s="67">
        <f>IF($B1981="",0,IF(LEFT($B1981,1)="━",0,$C1981*VLOOKUP($B1981,'4. CÀI ĐẶT'!$A$2:$H$32,4,FALSE)))</f>
        <v/>
      </c>
      <c r="H1981" s="67">
        <f>IF($B1981="",0,IF(LEFT($B1981,1)="━",0,$C1981*VLOOKUP($B1981,'4. CÀI ĐẶT'!$A$2:$H$32,5,FALSE)))</f>
        <v/>
      </c>
      <c r="I1981">
        <f>IF($B1981="","",IF(LEFT($B1981,1)="━","",VLOOKUP($B1981,'4. CÀI ĐẶT'!$A$2:$H$32,6,FALSE)))</f>
        <v/>
      </c>
      <c r="J1981" s="13">
        <f>IF($A1981="","",EOMONTH($A1981,0))</f>
        <v/>
      </c>
      <c r="K1981" s="67">
        <f>IF($B1981="",0,IF(LEFT($B1981,1)="━",0,$C1981*VLOOKUP($B1981,'4. CÀI ĐẶT'!$A$2:$H$32,7,FALSE)))</f>
        <v/>
      </c>
    </row>
    <row r="1982">
      <c r="A1982" s="8" t="n"/>
      <c r="B1982" s="9" t="n"/>
      <c r="C1982" s="65" t="n"/>
      <c r="D1982" s="9" t="n"/>
      <c r="E1982" s="66">
        <f>IF($B1982="","",IF(LEFT($B1982,1)="━","⚠️ Chọn hạng mục cụ thể",$C1982*VLOOKUP($B1982,'4. CÀI ĐẶT'!$A$2:$H$32,2,FALSE)))</f>
        <v/>
      </c>
      <c r="F1982" s="67">
        <f>IF($B1982="",0,IF(LEFT($B1982,1)="━",0,$C1982*VLOOKUP($B1982,'4. CÀI ĐẶT'!$A$2:$H$32,3,FALSE)))</f>
        <v/>
      </c>
      <c r="G1982" s="67">
        <f>IF($B1982="",0,IF(LEFT($B1982,1)="━",0,$C1982*VLOOKUP($B1982,'4. CÀI ĐẶT'!$A$2:$H$32,4,FALSE)))</f>
        <v/>
      </c>
      <c r="H1982" s="67">
        <f>IF($B1982="",0,IF(LEFT($B1982,1)="━",0,$C1982*VLOOKUP($B1982,'4. CÀI ĐẶT'!$A$2:$H$32,5,FALSE)))</f>
        <v/>
      </c>
      <c r="I1982">
        <f>IF($B1982="","",IF(LEFT($B1982,1)="━","",VLOOKUP($B1982,'4. CÀI ĐẶT'!$A$2:$H$32,6,FALSE)))</f>
        <v/>
      </c>
      <c r="J1982" s="13">
        <f>IF($A1982="","",EOMONTH($A1982,0))</f>
        <v/>
      </c>
      <c r="K1982" s="67">
        <f>IF($B1982="",0,IF(LEFT($B1982,1)="━",0,$C1982*VLOOKUP($B1982,'4. CÀI ĐẶT'!$A$2:$H$32,7,FALSE)))</f>
        <v/>
      </c>
    </row>
    <row r="1983">
      <c r="A1983" s="8" t="n"/>
      <c r="B1983" s="9" t="n"/>
      <c r="C1983" s="65" t="n"/>
      <c r="D1983" s="9" t="n"/>
      <c r="E1983" s="66">
        <f>IF($B1983="","",IF(LEFT($B1983,1)="━","⚠️ Chọn hạng mục cụ thể",$C1983*VLOOKUP($B1983,'4. CÀI ĐẶT'!$A$2:$H$32,2,FALSE)))</f>
        <v/>
      </c>
      <c r="F1983" s="67">
        <f>IF($B1983="",0,IF(LEFT($B1983,1)="━",0,$C1983*VLOOKUP($B1983,'4. CÀI ĐẶT'!$A$2:$H$32,3,FALSE)))</f>
        <v/>
      </c>
      <c r="G1983" s="67">
        <f>IF($B1983="",0,IF(LEFT($B1983,1)="━",0,$C1983*VLOOKUP($B1983,'4. CÀI ĐẶT'!$A$2:$H$32,4,FALSE)))</f>
        <v/>
      </c>
      <c r="H1983" s="67">
        <f>IF($B1983="",0,IF(LEFT($B1983,1)="━",0,$C1983*VLOOKUP($B1983,'4. CÀI ĐẶT'!$A$2:$H$32,5,FALSE)))</f>
        <v/>
      </c>
      <c r="I1983">
        <f>IF($B1983="","",IF(LEFT($B1983,1)="━","",VLOOKUP($B1983,'4. CÀI ĐẶT'!$A$2:$H$32,6,FALSE)))</f>
        <v/>
      </c>
      <c r="J1983" s="13">
        <f>IF($A1983="","",EOMONTH($A1983,0))</f>
        <v/>
      </c>
      <c r="K1983" s="67">
        <f>IF($B1983="",0,IF(LEFT($B1983,1)="━",0,$C1983*VLOOKUP($B1983,'4. CÀI ĐẶT'!$A$2:$H$32,7,FALSE)))</f>
        <v/>
      </c>
    </row>
    <row r="1984">
      <c r="A1984" s="8" t="n"/>
      <c r="B1984" s="9" t="n"/>
      <c r="C1984" s="65" t="n"/>
      <c r="D1984" s="9" t="n"/>
      <c r="E1984" s="66">
        <f>IF($B1984="","",IF(LEFT($B1984,1)="━","⚠️ Chọn hạng mục cụ thể",$C1984*VLOOKUP($B1984,'4. CÀI ĐẶT'!$A$2:$H$32,2,FALSE)))</f>
        <v/>
      </c>
      <c r="F1984" s="67">
        <f>IF($B1984="",0,IF(LEFT($B1984,1)="━",0,$C1984*VLOOKUP($B1984,'4. CÀI ĐẶT'!$A$2:$H$32,3,FALSE)))</f>
        <v/>
      </c>
      <c r="G1984" s="67">
        <f>IF($B1984="",0,IF(LEFT($B1984,1)="━",0,$C1984*VLOOKUP($B1984,'4. CÀI ĐẶT'!$A$2:$H$32,4,FALSE)))</f>
        <v/>
      </c>
      <c r="H1984" s="67">
        <f>IF($B1984="",0,IF(LEFT($B1984,1)="━",0,$C1984*VLOOKUP($B1984,'4. CÀI ĐẶT'!$A$2:$H$32,5,FALSE)))</f>
        <v/>
      </c>
      <c r="I1984">
        <f>IF($B1984="","",IF(LEFT($B1984,1)="━","",VLOOKUP($B1984,'4. CÀI ĐẶT'!$A$2:$H$32,6,FALSE)))</f>
        <v/>
      </c>
      <c r="J1984" s="13">
        <f>IF($A1984="","",EOMONTH($A1984,0))</f>
        <v/>
      </c>
      <c r="K1984" s="67">
        <f>IF($B1984="",0,IF(LEFT($B1984,1)="━",0,$C1984*VLOOKUP($B1984,'4. CÀI ĐẶT'!$A$2:$H$32,7,FALSE)))</f>
        <v/>
      </c>
    </row>
    <row r="1985">
      <c r="A1985" s="8" t="n"/>
      <c r="B1985" s="9" t="n"/>
      <c r="C1985" s="65" t="n"/>
      <c r="D1985" s="9" t="n"/>
      <c r="E1985" s="66">
        <f>IF($B1985="","",IF(LEFT($B1985,1)="━","⚠️ Chọn hạng mục cụ thể",$C1985*VLOOKUP($B1985,'4. CÀI ĐẶT'!$A$2:$H$32,2,FALSE)))</f>
        <v/>
      </c>
      <c r="F1985" s="67">
        <f>IF($B1985="",0,IF(LEFT($B1985,1)="━",0,$C1985*VLOOKUP($B1985,'4. CÀI ĐẶT'!$A$2:$H$32,3,FALSE)))</f>
        <v/>
      </c>
      <c r="G1985" s="67">
        <f>IF($B1985="",0,IF(LEFT($B1985,1)="━",0,$C1985*VLOOKUP($B1985,'4. CÀI ĐẶT'!$A$2:$H$32,4,FALSE)))</f>
        <v/>
      </c>
      <c r="H1985" s="67">
        <f>IF($B1985="",0,IF(LEFT($B1985,1)="━",0,$C1985*VLOOKUP($B1985,'4. CÀI ĐẶT'!$A$2:$H$32,5,FALSE)))</f>
        <v/>
      </c>
      <c r="I1985">
        <f>IF($B1985="","",IF(LEFT($B1985,1)="━","",VLOOKUP($B1985,'4. CÀI ĐẶT'!$A$2:$H$32,6,FALSE)))</f>
        <v/>
      </c>
      <c r="J1985" s="13">
        <f>IF($A1985="","",EOMONTH($A1985,0))</f>
        <v/>
      </c>
      <c r="K1985" s="67">
        <f>IF($B1985="",0,IF(LEFT($B1985,1)="━",0,$C1985*VLOOKUP($B1985,'4. CÀI ĐẶT'!$A$2:$H$32,7,FALSE)))</f>
        <v/>
      </c>
    </row>
    <row r="1986">
      <c r="A1986" s="8" t="n"/>
      <c r="B1986" s="9" t="n"/>
      <c r="C1986" s="65" t="n"/>
      <c r="D1986" s="9" t="n"/>
      <c r="E1986" s="66">
        <f>IF($B1986="","",IF(LEFT($B1986,1)="━","⚠️ Chọn hạng mục cụ thể",$C1986*VLOOKUP($B1986,'4. CÀI ĐẶT'!$A$2:$H$32,2,FALSE)))</f>
        <v/>
      </c>
      <c r="F1986" s="67">
        <f>IF($B1986="",0,IF(LEFT($B1986,1)="━",0,$C1986*VLOOKUP($B1986,'4. CÀI ĐẶT'!$A$2:$H$32,3,FALSE)))</f>
        <v/>
      </c>
      <c r="G1986" s="67">
        <f>IF($B1986="",0,IF(LEFT($B1986,1)="━",0,$C1986*VLOOKUP($B1986,'4. CÀI ĐẶT'!$A$2:$H$32,4,FALSE)))</f>
        <v/>
      </c>
      <c r="H1986" s="67">
        <f>IF($B1986="",0,IF(LEFT($B1986,1)="━",0,$C1986*VLOOKUP($B1986,'4. CÀI ĐẶT'!$A$2:$H$32,5,FALSE)))</f>
        <v/>
      </c>
      <c r="I1986">
        <f>IF($B1986="","",IF(LEFT($B1986,1)="━","",VLOOKUP($B1986,'4. CÀI ĐẶT'!$A$2:$H$32,6,FALSE)))</f>
        <v/>
      </c>
      <c r="J1986" s="13">
        <f>IF($A1986="","",EOMONTH($A1986,0))</f>
        <v/>
      </c>
      <c r="K1986" s="67">
        <f>IF($B1986="",0,IF(LEFT($B1986,1)="━",0,$C1986*VLOOKUP($B1986,'4. CÀI ĐẶT'!$A$2:$H$32,7,FALSE)))</f>
        <v/>
      </c>
    </row>
    <row r="1987">
      <c r="A1987" s="8" t="n"/>
      <c r="B1987" s="9" t="n"/>
      <c r="C1987" s="65" t="n"/>
      <c r="D1987" s="9" t="n"/>
      <c r="E1987" s="66">
        <f>IF($B1987="","",IF(LEFT($B1987,1)="━","⚠️ Chọn hạng mục cụ thể",$C1987*VLOOKUP($B1987,'4. CÀI ĐẶT'!$A$2:$H$32,2,FALSE)))</f>
        <v/>
      </c>
      <c r="F1987" s="67">
        <f>IF($B1987="",0,IF(LEFT($B1987,1)="━",0,$C1987*VLOOKUP($B1987,'4. CÀI ĐẶT'!$A$2:$H$32,3,FALSE)))</f>
        <v/>
      </c>
      <c r="G1987" s="67">
        <f>IF($B1987="",0,IF(LEFT($B1987,1)="━",0,$C1987*VLOOKUP($B1987,'4. CÀI ĐẶT'!$A$2:$H$32,4,FALSE)))</f>
        <v/>
      </c>
      <c r="H1987" s="67">
        <f>IF($B1987="",0,IF(LEFT($B1987,1)="━",0,$C1987*VLOOKUP($B1987,'4. CÀI ĐẶT'!$A$2:$H$32,5,FALSE)))</f>
        <v/>
      </c>
      <c r="I1987">
        <f>IF($B1987="","",IF(LEFT($B1987,1)="━","",VLOOKUP($B1987,'4. CÀI ĐẶT'!$A$2:$H$32,6,FALSE)))</f>
        <v/>
      </c>
      <c r="J1987" s="13">
        <f>IF($A1987="","",EOMONTH($A1987,0))</f>
        <v/>
      </c>
      <c r="K1987" s="67">
        <f>IF($B1987="",0,IF(LEFT($B1987,1)="━",0,$C1987*VLOOKUP($B1987,'4. CÀI ĐẶT'!$A$2:$H$32,7,FALSE)))</f>
        <v/>
      </c>
    </row>
    <row r="1988">
      <c r="A1988" s="8" t="n"/>
      <c r="B1988" s="9" t="n"/>
      <c r="C1988" s="65" t="n"/>
      <c r="D1988" s="9" t="n"/>
      <c r="E1988" s="66">
        <f>IF($B1988="","",IF(LEFT($B1988,1)="━","⚠️ Chọn hạng mục cụ thể",$C1988*VLOOKUP($B1988,'4. CÀI ĐẶT'!$A$2:$H$32,2,FALSE)))</f>
        <v/>
      </c>
      <c r="F1988" s="67">
        <f>IF($B1988="",0,IF(LEFT($B1988,1)="━",0,$C1988*VLOOKUP($B1988,'4. CÀI ĐẶT'!$A$2:$H$32,3,FALSE)))</f>
        <v/>
      </c>
      <c r="G1988" s="67">
        <f>IF($B1988="",0,IF(LEFT($B1988,1)="━",0,$C1988*VLOOKUP($B1988,'4. CÀI ĐẶT'!$A$2:$H$32,4,FALSE)))</f>
        <v/>
      </c>
      <c r="H1988" s="67">
        <f>IF($B1988="",0,IF(LEFT($B1988,1)="━",0,$C1988*VLOOKUP($B1988,'4. CÀI ĐẶT'!$A$2:$H$32,5,FALSE)))</f>
        <v/>
      </c>
      <c r="I1988">
        <f>IF($B1988="","",IF(LEFT($B1988,1)="━","",VLOOKUP($B1988,'4. CÀI ĐẶT'!$A$2:$H$32,6,FALSE)))</f>
        <v/>
      </c>
      <c r="J1988" s="13">
        <f>IF($A1988="","",EOMONTH($A1988,0))</f>
        <v/>
      </c>
      <c r="K1988" s="67">
        <f>IF($B1988="",0,IF(LEFT($B1988,1)="━",0,$C1988*VLOOKUP($B1988,'4. CÀI ĐẶT'!$A$2:$H$32,7,FALSE)))</f>
        <v/>
      </c>
    </row>
    <row r="1989">
      <c r="A1989" s="8" t="n"/>
      <c r="B1989" s="9" t="n"/>
      <c r="C1989" s="65" t="n"/>
      <c r="D1989" s="9" t="n"/>
      <c r="E1989" s="66">
        <f>IF($B1989="","",IF(LEFT($B1989,1)="━","⚠️ Chọn hạng mục cụ thể",$C1989*VLOOKUP($B1989,'4. CÀI ĐẶT'!$A$2:$H$32,2,FALSE)))</f>
        <v/>
      </c>
      <c r="F1989" s="67">
        <f>IF($B1989="",0,IF(LEFT($B1989,1)="━",0,$C1989*VLOOKUP($B1989,'4. CÀI ĐẶT'!$A$2:$H$32,3,FALSE)))</f>
        <v/>
      </c>
      <c r="G1989" s="67">
        <f>IF($B1989="",0,IF(LEFT($B1989,1)="━",0,$C1989*VLOOKUP($B1989,'4. CÀI ĐẶT'!$A$2:$H$32,4,FALSE)))</f>
        <v/>
      </c>
      <c r="H1989" s="67">
        <f>IF($B1989="",0,IF(LEFT($B1989,1)="━",0,$C1989*VLOOKUP($B1989,'4. CÀI ĐẶT'!$A$2:$H$32,5,FALSE)))</f>
        <v/>
      </c>
      <c r="I1989">
        <f>IF($B1989="","",IF(LEFT($B1989,1)="━","",VLOOKUP($B1989,'4. CÀI ĐẶT'!$A$2:$H$32,6,FALSE)))</f>
        <v/>
      </c>
      <c r="J1989" s="13">
        <f>IF($A1989="","",EOMONTH($A1989,0))</f>
        <v/>
      </c>
      <c r="K1989" s="67">
        <f>IF($B1989="",0,IF(LEFT($B1989,1)="━",0,$C1989*VLOOKUP($B1989,'4. CÀI ĐẶT'!$A$2:$H$32,7,FALSE)))</f>
        <v/>
      </c>
    </row>
    <row r="1990">
      <c r="A1990" s="8" t="n"/>
      <c r="B1990" s="9" t="n"/>
      <c r="C1990" s="65" t="n"/>
      <c r="D1990" s="9" t="n"/>
      <c r="E1990" s="66">
        <f>IF($B1990="","",IF(LEFT($B1990,1)="━","⚠️ Chọn hạng mục cụ thể",$C1990*VLOOKUP($B1990,'4. CÀI ĐẶT'!$A$2:$H$32,2,FALSE)))</f>
        <v/>
      </c>
      <c r="F1990" s="67">
        <f>IF($B1990="",0,IF(LEFT($B1990,1)="━",0,$C1990*VLOOKUP($B1990,'4. CÀI ĐẶT'!$A$2:$H$32,3,FALSE)))</f>
        <v/>
      </c>
      <c r="G1990" s="67">
        <f>IF($B1990="",0,IF(LEFT($B1990,1)="━",0,$C1990*VLOOKUP($B1990,'4. CÀI ĐẶT'!$A$2:$H$32,4,FALSE)))</f>
        <v/>
      </c>
      <c r="H1990" s="67">
        <f>IF($B1990="",0,IF(LEFT($B1990,1)="━",0,$C1990*VLOOKUP($B1990,'4. CÀI ĐẶT'!$A$2:$H$32,5,FALSE)))</f>
        <v/>
      </c>
      <c r="I1990">
        <f>IF($B1990="","",IF(LEFT($B1990,1)="━","",VLOOKUP($B1990,'4. CÀI ĐẶT'!$A$2:$H$32,6,FALSE)))</f>
        <v/>
      </c>
      <c r="J1990" s="13">
        <f>IF($A1990="","",EOMONTH($A1990,0))</f>
        <v/>
      </c>
      <c r="K1990" s="67">
        <f>IF($B1990="",0,IF(LEFT($B1990,1)="━",0,$C1990*VLOOKUP($B1990,'4. CÀI ĐẶT'!$A$2:$H$32,7,FALSE)))</f>
        <v/>
      </c>
    </row>
    <row r="1991">
      <c r="A1991" s="8" t="n"/>
      <c r="B1991" s="9" t="n"/>
      <c r="C1991" s="65" t="n"/>
      <c r="D1991" s="9" t="n"/>
      <c r="E1991" s="66">
        <f>IF($B1991="","",IF(LEFT($B1991,1)="━","⚠️ Chọn hạng mục cụ thể",$C1991*VLOOKUP($B1991,'4. CÀI ĐẶT'!$A$2:$H$32,2,FALSE)))</f>
        <v/>
      </c>
      <c r="F1991" s="67">
        <f>IF($B1991="",0,IF(LEFT($B1991,1)="━",0,$C1991*VLOOKUP($B1991,'4. CÀI ĐẶT'!$A$2:$H$32,3,FALSE)))</f>
        <v/>
      </c>
      <c r="G1991" s="67">
        <f>IF($B1991="",0,IF(LEFT($B1991,1)="━",0,$C1991*VLOOKUP($B1991,'4. CÀI ĐẶT'!$A$2:$H$32,4,FALSE)))</f>
        <v/>
      </c>
      <c r="H1991" s="67">
        <f>IF($B1991="",0,IF(LEFT($B1991,1)="━",0,$C1991*VLOOKUP($B1991,'4. CÀI ĐẶT'!$A$2:$H$32,5,FALSE)))</f>
        <v/>
      </c>
      <c r="I1991">
        <f>IF($B1991="","",IF(LEFT($B1991,1)="━","",VLOOKUP($B1991,'4. CÀI ĐẶT'!$A$2:$H$32,6,FALSE)))</f>
        <v/>
      </c>
      <c r="J1991" s="13">
        <f>IF($A1991="","",EOMONTH($A1991,0))</f>
        <v/>
      </c>
      <c r="K1991" s="67">
        <f>IF($B1991="",0,IF(LEFT($B1991,1)="━",0,$C1991*VLOOKUP($B1991,'4. CÀI ĐẶT'!$A$2:$H$32,7,FALSE)))</f>
        <v/>
      </c>
    </row>
    <row r="1992">
      <c r="A1992" s="8" t="n"/>
      <c r="B1992" s="9" t="n"/>
      <c r="C1992" s="65" t="n"/>
      <c r="D1992" s="9" t="n"/>
      <c r="E1992" s="66">
        <f>IF($B1992="","",IF(LEFT($B1992,1)="━","⚠️ Chọn hạng mục cụ thể",$C1992*VLOOKUP($B1992,'4. CÀI ĐẶT'!$A$2:$H$32,2,FALSE)))</f>
        <v/>
      </c>
      <c r="F1992" s="67">
        <f>IF($B1992="",0,IF(LEFT($B1992,1)="━",0,$C1992*VLOOKUP($B1992,'4. CÀI ĐẶT'!$A$2:$H$32,3,FALSE)))</f>
        <v/>
      </c>
      <c r="G1992" s="67">
        <f>IF($B1992="",0,IF(LEFT($B1992,1)="━",0,$C1992*VLOOKUP($B1992,'4. CÀI ĐẶT'!$A$2:$H$32,4,FALSE)))</f>
        <v/>
      </c>
      <c r="H1992" s="67">
        <f>IF($B1992="",0,IF(LEFT($B1992,1)="━",0,$C1992*VLOOKUP($B1992,'4. CÀI ĐẶT'!$A$2:$H$32,5,FALSE)))</f>
        <v/>
      </c>
      <c r="I1992">
        <f>IF($B1992="","",IF(LEFT($B1992,1)="━","",VLOOKUP($B1992,'4. CÀI ĐẶT'!$A$2:$H$32,6,FALSE)))</f>
        <v/>
      </c>
      <c r="J1992" s="13">
        <f>IF($A1992="","",EOMONTH($A1992,0))</f>
        <v/>
      </c>
      <c r="K1992" s="67">
        <f>IF($B1992="",0,IF(LEFT($B1992,1)="━",0,$C1992*VLOOKUP($B1992,'4. CÀI ĐẶT'!$A$2:$H$32,7,FALSE)))</f>
        <v/>
      </c>
    </row>
    <row r="1993">
      <c r="A1993" s="8" t="n"/>
      <c r="B1993" s="9" t="n"/>
      <c r="C1993" s="65" t="n"/>
      <c r="D1993" s="9" t="n"/>
      <c r="E1993" s="66">
        <f>IF($B1993="","",IF(LEFT($B1993,1)="━","⚠️ Chọn hạng mục cụ thể",$C1993*VLOOKUP($B1993,'4. CÀI ĐẶT'!$A$2:$H$32,2,FALSE)))</f>
        <v/>
      </c>
      <c r="F1993" s="67">
        <f>IF($B1993="",0,IF(LEFT($B1993,1)="━",0,$C1993*VLOOKUP($B1993,'4. CÀI ĐẶT'!$A$2:$H$32,3,FALSE)))</f>
        <v/>
      </c>
      <c r="G1993" s="67">
        <f>IF($B1993="",0,IF(LEFT($B1993,1)="━",0,$C1993*VLOOKUP($B1993,'4. CÀI ĐẶT'!$A$2:$H$32,4,FALSE)))</f>
        <v/>
      </c>
      <c r="H1993" s="67">
        <f>IF($B1993="",0,IF(LEFT($B1993,1)="━",0,$C1993*VLOOKUP($B1993,'4. CÀI ĐẶT'!$A$2:$H$32,5,FALSE)))</f>
        <v/>
      </c>
      <c r="I1993">
        <f>IF($B1993="","",IF(LEFT($B1993,1)="━","",VLOOKUP($B1993,'4. CÀI ĐẶT'!$A$2:$H$32,6,FALSE)))</f>
        <v/>
      </c>
      <c r="J1993" s="13">
        <f>IF($A1993="","",EOMONTH($A1993,0))</f>
        <v/>
      </c>
      <c r="K1993" s="67">
        <f>IF($B1993="",0,IF(LEFT($B1993,1)="━",0,$C1993*VLOOKUP($B1993,'4. CÀI ĐẶT'!$A$2:$H$32,7,FALSE)))</f>
        <v/>
      </c>
    </row>
    <row r="1994">
      <c r="A1994" s="8" t="n"/>
      <c r="B1994" s="9" t="n"/>
      <c r="C1994" s="65" t="n"/>
      <c r="D1994" s="9" t="n"/>
      <c r="E1994" s="66">
        <f>IF($B1994="","",IF(LEFT($B1994,1)="━","⚠️ Chọn hạng mục cụ thể",$C1994*VLOOKUP($B1994,'4. CÀI ĐẶT'!$A$2:$H$32,2,FALSE)))</f>
        <v/>
      </c>
      <c r="F1994" s="67">
        <f>IF($B1994="",0,IF(LEFT($B1994,1)="━",0,$C1994*VLOOKUP($B1994,'4. CÀI ĐẶT'!$A$2:$H$32,3,FALSE)))</f>
        <v/>
      </c>
      <c r="G1994" s="67">
        <f>IF($B1994="",0,IF(LEFT($B1994,1)="━",0,$C1994*VLOOKUP($B1994,'4. CÀI ĐẶT'!$A$2:$H$32,4,FALSE)))</f>
        <v/>
      </c>
      <c r="H1994" s="67">
        <f>IF($B1994="",0,IF(LEFT($B1994,1)="━",0,$C1994*VLOOKUP($B1994,'4. CÀI ĐẶT'!$A$2:$H$32,5,FALSE)))</f>
        <v/>
      </c>
      <c r="I1994">
        <f>IF($B1994="","",IF(LEFT($B1994,1)="━","",VLOOKUP($B1994,'4. CÀI ĐẶT'!$A$2:$H$32,6,FALSE)))</f>
        <v/>
      </c>
      <c r="J1994" s="13">
        <f>IF($A1994="","",EOMONTH($A1994,0))</f>
        <v/>
      </c>
      <c r="K1994" s="67">
        <f>IF($B1994="",0,IF(LEFT($B1994,1)="━",0,$C1994*VLOOKUP($B1994,'4. CÀI ĐẶT'!$A$2:$H$32,7,FALSE)))</f>
        <v/>
      </c>
    </row>
    <row r="1995">
      <c r="A1995" s="8" t="n"/>
      <c r="B1995" s="9" t="n"/>
      <c r="C1995" s="65" t="n"/>
      <c r="D1995" s="9" t="n"/>
      <c r="E1995" s="66">
        <f>IF($B1995="","",IF(LEFT($B1995,1)="━","⚠️ Chọn hạng mục cụ thể",$C1995*VLOOKUP($B1995,'4. CÀI ĐẶT'!$A$2:$H$32,2,FALSE)))</f>
        <v/>
      </c>
      <c r="F1995" s="67">
        <f>IF($B1995="",0,IF(LEFT($B1995,1)="━",0,$C1995*VLOOKUP($B1995,'4. CÀI ĐẶT'!$A$2:$H$32,3,FALSE)))</f>
        <v/>
      </c>
      <c r="G1995" s="67">
        <f>IF($B1995="",0,IF(LEFT($B1995,1)="━",0,$C1995*VLOOKUP($B1995,'4. CÀI ĐẶT'!$A$2:$H$32,4,FALSE)))</f>
        <v/>
      </c>
      <c r="H1995" s="67">
        <f>IF($B1995="",0,IF(LEFT($B1995,1)="━",0,$C1995*VLOOKUP($B1995,'4. CÀI ĐẶT'!$A$2:$H$32,5,FALSE)))</f>
        <v/>
      </c>
      <c r="I1995">
        <f>IF($B1995="","",IF(LEFT($B1995,1)="━","",VLOOKUP($B1995,'4. CÀI ĐẶT'!$A$2:$H$32,6,FALSE)))</f>
        <v/>
      </c>
      <c r="J1995" s="13">
        <f>IF($A1995="","",EOMONTH($A1995,0))</f>
        <v/>
      </c>
      <c r="K1995" s="67">
        <f>IF($B1995="",0,IF(LEFT($B1995,1)="━",0,$C1995*VLOOKUP($B1995,'4. CÀI ĐẶT'!$A$2:$H$32,7,FALSE)))</f>
        <v/>
      </c>
    </row>
    <row r="1996">
      <c r="A1996" s="8" t="n"/>
      <c r="B1996" s="9" t="n"/>
      <c r="C1996" s="65" t="n"/>
      <c r="D1996" s="9" t="n"/>
      <c r="E1996" s="66">
        <f>IF($B1996="","",IF(LEFT($B1996,1)="━","⚠️ Chọn hạng mục cụ thể",$C1996*VLOOKUP($B1996,'4. CÀI ĐẶT'!$A$2:$H$32,2,FALSE)))</f>
        <v/>
      </c>
      <c r="F1996" s="67">
        <f>IF($B1996="",0,IF(LEFT($B1996,1)="━",0,$C1996*VLOOKUP($B1996,'4. CÀI ĐẶT'!$A$2:$H$32,3,FALSE)))</f>
        <v/>
      </c>
      <c r="G1996" s="67">
        <f>IF($B1996="",0,IF(LEFT($B1996,1)="━",0,$C1996*VLOOKUP($B1996,'4. CÀI ĐẶT'!$A$2:$H$32,4,FALSE)))</f>
        <v/>
      </c>
      <c r="H1996" s="67">
        <f>IF($B1996="",0,IF(LEFT($B1996,1)="━",0,$C1996*VLOOKUP($B1996,'4. CÀI ĐẶT'!$A$2:$H$32,5,FALSE)))</f>
        <v/>
      </c>
      <c r="I1996">
        <f>IF($B1996="","",IF(LEFT($B1996,1)="━","",VLOOKUP($B1996,'4. CÀI ĐẶT'!$A$2:$H$32,6,FALSE)))</f>
        <v/>
      </c>
      <c r="J1996" s="13">
        <f>IF($A1996="","",EOMONTH($A1996,0))</f>
        <v/>
      </c>
      <c r="K1996" s="67">
        <f>IF($B1996="",0,IF(LEFT($B1996,1)="━",0,$C1996*VLOOKUP($B1996,'4. CÀI ĐẶT'!$A$2:$H$32,7,FALSE)))</f>
        <v/>
      </c>
    </row>
    <row r="1997">
      <c r="A1997" s="8" t="n"/>
      <c r="B1997" s="9" t="n"/>
      <c r="C1997" s="65" t="n"/>
      <c r="D1997" s="9" t="n"/>
      <c r="E1997" s="66">
        <f>IF($B1997="","",IF(LEFT($B1997,1)="━","⚠️ Chọn hạng mục cụ thể",$C1997*VLOOKUP($B1997,'4. CÀI ĐẶT'!$A$2:$H$32,2,FALSE)))</f>
        <v/>
      </c>
      <c r="F1997" s="67">
        <f>IF($B1997="",0,IF(LEFT($B1997,1)="━",0,$C1997*VLOOKUP($B1997,'4. CÀI ĐẶT'!$A$2:$H$32,3,FALSE)))</f>
        <v/>
      </c>
      <c r="G1997" s="67">
        <f>IF($B1997="",0,IF(LEFT($B1997,1)="━",0,$C1997*VLOOKUP($B1997,'4. CÀI ĐẶT'!$A$2:$H$32,4,FALSE)))</f>
        <v/>
      </c>
      <c r="H1997" s="67">
        <f>IF($B1997="",0,IF(LEFT($B1997,1)="━",0,$C1997*VLOOKUP($B1997,'4. CÀI ĐẶT'!$A$2:$H$32,5,FALSE)))</f>
        <v/>
      </c>
      <c r="I1997">
        <f>IF($B1997="","",IF(LEFT($B1997,1)="━","",VLOOKUP($B1997,'4. CÀI ĐẶT'!$A$2:$H$32,6,FALSE)))</f>
        <v/>
      </c>
      <c r="J1997" s="13">
        <f>IF($A1997="","",EOMONTH($A1997,0))</f>
        <v/>
      </c>
      <c r="K1997" s="67">
        <f>IF($B1997="",0,IF(LEFT($B1997,1)="━",0,$C1997*VLOOKUP($B1997,'4. CÀI ĐẶT'!$A$2:$H$32,7,FALSE)))</f>
        <v/>
      </c>
    </row>
    <row r="1998">
      <c r="A1998" s="8" t="n"/>
      <c r="B1998" s="9" t="n"/>
      <c r="C1998" s="65" t="n"/>
      <c r="D1998" s="9" t="n"/>
      <c r="E1998" s="66">
        <f>IF($B1998="","",IF(LEFT($B1998,1)="━","⚠️ Chọn hạng mục cụ thể",$C1998*VLOOKUP($B1998,'4. CÀI ĐẶT'!$A$2:$H$32,2,FALSE)))</f>
        <v/>
      </c>
      <c r="F1998" s="67">
        <f>IF($B1998="",0,IF(LEFT($B1998,1)="━",0,$C1998*VLOOKUP($B1998,'4. CÀI ĐẶT'!$A$2:$H$32,3,FALSE)))</f>
        <v/>
      </c>
      <c r="G1998" s="67">
        <f>IF($B1998="",0,IF(LEFT($B1998,1)="━",0,$C1998*VLOOKUP($B1998,'4. CÀI ĐẶT'!$A$2:$H$32,4,FALSE)))</f>
        <v/>
      </c>
      <c r="H1998" s="67">
        <f>IF($B1998="",0,IF(LEFT($B1998,1)="━",0,$C1998*VLOOKUP($B1998,'4. CÀI ĐẶT'!$A$2:$H$32,5,FALSE)))</f>
        <v/>
      </c>
      <c r="I1998">
        <f>IF($B1998="","",IF(LEFT($B1998,1)="━","",VLOOKUP($B1998,'4. CÀI ĐẶT'!$A$2:$H$32,6,FALSE)))</f>
        <v/>
      </c>
      <c r="J1998" s="13">
        <f>IF($A1998="","",EOMONTH($A1998,0))</f>
        <v/>
      </c>
      <c r="K1998" s="67">
        <f>IF($B1998="",0,IF(LEFT($B1998,1)="━",0,$C1998*VLOOKUP($B1998,'4. CÀI ĐẶT'!$A$2:$H$32,7,FALSE)))</f>
        <v/>
      </c>
    </row>
    <row r="1999">
      <c r="A1999" s="8" t="n"/>
      <c r="B1999" s="9" t="n"/>
      <c r="C1999" s="65" t="n"/>
      <c r="D1999" s="9" t="n"/>
      <c r="E1999" s="66">
        <f>IF($B1999="","",IF(LEFT($B1999,1)="━","⚠️ Chọn hạng mục cụ thể",$C1999*VLOOKUP($B1999,'4. CÀI ĐẶT'!$A$2:$H$32,2,FALSE)))</f>
        <v/>
      </c>
      <c r="F1999" s="67">
        <f>IF($B1999="",0,IF(LEFT($B1999,1)="━",0,$C1999*VLOOKUP($B1999,'4. CÀI ĐẶT'!$A$2:$H$32,3,FALSE)))</f>
        <v/>
      </c>
      <c r="G1999" s="67">
        <f>IF($B1999="",0,IF(LEFT($B1999,1)="━",0,$C1999*VLOOKUP($B1999,'4. CÀI ĐẶT'!$A$2:$H$32,4,FALSE)))</f>
        <v/>
      </c>
      <c r="H1999" s="67">
        <f>IF($B1999="",0,IF(LEFT($B1999,1)="━",0,$C1999*VLOOKUP($B1999,'4. CÀI ĐẶT'!$A$2:$H$32,5,FALSE)))</f>
        <v/>
      </c>
      <c r="I1999">
        <f>IF($B1999="","",IF(LEFT($B1999,1)="━","",VLOOKUP($B1999,'4. CÀI ĐẶT'!$A$2:$H$32,6,FALSE)))</f>
        <v/>
      </c>
      <c r="J1999" s="13">
        <f>IF($A1999="","",EOMONTH($A1999,0))</f>
        <v/>
      </c>
      <c r="K1999" s="67">
        <f>IF($B1999="",0,IF(LEFT($B1999,1)="━",0,$C1999*VLOOKUP($B1999,'4. CÀI ĐẶT'!$A$2:$H$32,7,FALSE)))</f>
        <v/>
      </c>
    </row>
    <row r="2000">
      <c r="A2000" s="8" t="n"/>
      <c r="B2000" s="9" t="n"/>
      <c r="C2000" s="65" t="n"/>
      <c r="D2000" s="9" t="n"/>
      <c r="E2000" s="66">
        <f>IF($B2000="","",IF(LEFT($B2000,1)="━","⚠️ Chọn hạng mục cụ thể",$C2000*VLOOKUP($B2000,'4. CÀI ĐẶT'!$A$2:$H$32,2,FALSE)))</f>
        <v/>
      </c>
      <c r="F2000" s="67">
        <f>IF($B2000="",0,IF(LEFT($B2000,1)="━",0,$C2000*VLOOKUP($B2000,'4. CÀI ĐẶT'!$A$2:$H$32,3,FALSE)))</f>
        <v/>
      </c>
      <c r="G2000" s="67">
        <f>IF($B2000="",0,IF(LEFT($B2000,1)="━",0,$C2000*VLOOKUP($B2000,'4. CÀI ĐẶT'!$A$2:$H$32,4,FALSE)))</f>
        <v/>
      </c>
      <c r="H2000" s="67">
        <f>IF($B2000="",0,IF(LEFT($B2000,1)="━",0,$C2000*VLOOKUP($B2000,'4. CÀI ĐẶT'!$A$2:$H$32,5,FALSE)))</f>
        <v/>
      </c>
      <c r="I2000">
        <f>IF($B2000="","",IF(LEFT($B2000,1)="━","",VLOOKUP($B2000,'4. CÀI ĐẶT'!$A$2:$H$32,6,FALSE)))</f>
        <v/>
      </c>
      <c r="J2000" s="13">
        <f>IF($A2000="","",EOMONTH($A2000,0))</f>
        <v/>
      </c>
      <c r="K2000" s="67">
        <f>IF($B2000="",0,IF(LEFT($B2000,1)="━",0,$C2000*VLOOKUP($B2000,'4. CÀI ĐẶT'!$A$2:$H$32,7,FALSE)))</f>
        <v/>
      </c>
    </row>
    <row r="2001">
      <c r="A2001" s="8" t="n"/>
      <c r="B2001" s="9" t="n"/>
      <c r="C2001" s="65" t="n"/>
      <c r="D2001" s="9" t="n"/>
      <c r="E2001" s="66">
        <f>IF($B2001="","",IF(LEFT($B2001,1)="━","⚠️ Chọn hạng mục cụ thể",$C2001*VLOOKUP($B2001,'4. CÀI ĐẶT'!$A$2:$H$32,2,FALSE)))</f>
        <v/>
      </c>
      <c r="F2001" s="67">
        <f>IF($B2001="",0,IF(LEFT($B2001,1)="━",0,$C2001*VLOOKUP($B2001,'4. CÀI ĐẶT'!$A$2:$H$32,3,FALSE)))</f>
        <v/>
      </c>
      <c r="G2001" s="67">
        <f>IF($B2001="",0,IF(LEFT($B2001,1)="━",0,$C2001*VLOOKUP($B2001,'4. CÀI ĐẶT'!$A$2:$H$32,4,FALSE)))</f>
        <v/>
      </c>
      <c r="H2001" s="67">
        <f>IF($B2001="",0,IF(LEFT($B2001,1)="━",0,$C2001*VLOOKUP($B2001,'4. CÀI ĐẶT'!$A$2:$H$32,5,FALSE)))</f>
        <v/>
      </c>
      <c r="I2001">
        <f>IF($B2001="","",IF(LEFT($B2001,1)="━","",VLOOKUP($B2001,'4. CÀI ĐẶT'!$A$2:$H$32,6,FALSE)))</f>
        <v/>
      </c>
      <c r="J2001" s="13">
        <f>IF($A2001="","",EOMONTH($A2001,0))</f>
        <v/>
      </c>
      <c r="K2001" s="67">
        <f>IF($B2001="",0,IF(LEFT($B2001,1)="━",0,$C2001*VLOOKUP($B2001,'4. CÀI ĐẶT'!$A$2:$H$32,7,FALSE)))</f>
        <v/>
      </c>
    </row>
    <row r="2002">
      <c r="A2002" s="8" t="n"/>
      <c r="B2002" s="9" t="n"/>
      <c r="C2002" s="65" t="n"/>
      <c r="D2002" s="9" t="n"/>
      <c r="E2002" s="66">
        <f>IF($B2002="","",IF(LEFT($B2002,1)="━","⚠️ Chọn hạng mục cụ thể",$C2002*VLOOKUP($B2002,'4. CÀI ĐẶT'!$A$2:$H$32,2,FALSE)))</f>
        <v/>
      </c>
      <c r="F2002" s="67">
        <f>IF($B2002="",0,IF(LEFT($B2002,1)="━",0,$C2002*VLOOKUP($B2002,'4. CÀI ĐẶT'!$A$2:$H$32,3,FALSE)))</f>
        <v/>
      </c>
      <c r="G2002" s="67">
        <f>IF($B2002="",0,IF(LEFT($B2002,1)="━",0,$C2002*VLOOKUP($B2002,'4. CÀI ĐẶT'!$A$2:$H$32,4,FALSE)))</f>
        <v/>
      </c>
      <c r="H2002" s="67">
        <f>IF($B2002="",0,IF(LEFT($B2002,1)="━",0,$C2002*VLOOKUP($B2002,'4. CÀI ĐẶT'!$A$2:$H$32,5,FALSE)))</f>
        <v/>
      </c>
      <c r="I2002">
        <f>IF($B2002="","",IF(LEFT($B2002,1)="━","",VLOOKUP($B2002,'4. CÀI ĐẶT'!$A$2:$H$32,6,FALSE)))</f>
        <v/>
      </c>
      <c r="J2002" s="13">
        <f>IF($A2002="","",EOMONTH($A2002,0))</f>
        <v/>
      </c>
      <c r="K2002" s="67">
        <f>IF($B2002="",0,IF(LEFT($B2002,1)="━",0,$C2002*VLOOKUP($B2002,'4. CÀI ĐẶT'!$A$2:$H$32,7,FALSE)))</f>
        <v/>
      </c>
    </row>
    <row r="2003">
      <c r="A2003" s="8" t="n"/>
      <c r="B2003" s="9" t="n"/>
      <c r="C2003" s="65" t="n"/>
      <c r="D2003" s="9" t="n"/>
      <c r="E2003" s="66">
        <f>IF($B2003="","",IF(LEFT($B2003,1)="━","⚠️ Chọn hạng mục cụ thể",$C2003*VLOOKUP($B2003,'4. CÀI ĐẶT'!$A$2:$H$32,2,FALSE)))</f>
        <v/>
      </c>
      <c r="F2003" s="67">
        <f>IF($B2003="",0,IF(LEFT($B2003,1)="━",0,$C2003*VLOOKUP($B2003,'4. CÀI ĐẶT'!$A$2:$H$32,3,FALSE)))</f>
        <v/>
      </c>
      <c r="G2003" s="67">
        <f>IF($B2003="",0,IF(LEFT($B2003,1)="━",0,$C2003*VLOOKUP($B2003,'4. CÀI ĐẶT'!$A$2:$H$32,4,FALSE)))</f>
        <v/>
      </c>
      <c r="H2003" s="67">
        <f>IF($B2003="",0,IF(LEFT($B2003,1)="━",0,$C2003*VLOOKUP($B2003,'4. CÀI ĐẶT'!$A$2:$H$32,5,FALSE)))</f>
        <v/>
      </c>
      <c r="I2003">
        <f>IF($B2003="","",IF(LEFT($B2003,1)="━","",VLOOKUP($B2003,'4. CÀI ĐẶT'!$A$2:$H$32,6,FALSE)))</f>
        <v/>
      </c>
      <c r="J2003" s="13">
        <f>IF($A2003="","",EOMONTH($A2003,0))</f>
        <v/>
      </c>
      <c r="K2003" s="67">
        <f>IF($B2003="",0,IF(LEFT($B2003,1)="━",0,$C2003*VLOOKUP($B2003,'4. CÀI ĐẶT'!$A$2:$H$32,7,FALSE)))</f>
        <v/>
      </c>
    </row>
    <row r="2004">
      <c r="A2004" s="8" t="n"/>
      <c r="B2004" s="9" t="n"/>
      <c r="C2004" s="65" t="n"/>
      <c r="D2004" s="9" t="n"/>
      <c r="E2004" s="66">
        <f>IF($B2004="","",IF(LEFT($B2004,1)="━","⚠️ Chọn hạng mục cụ thể",$C2004*VLOOKUP($B2004,'4. CÀI ĐẶT'!$A$2:$H$32,2,FALSE)))</f>
        <v/>
      </c>
      <c r="F2004" s="67">
        <f>IF($B2004="",0,IF(LEFT($B2004,1)="━",0,$C2004*VLOOKUP($B2004,'4. CÀI ĐẶT'!$A$2:$H$32,3,FALSE)))</f>
        <v/>
      </c>
      <c r="G2004" s="67">
        <f>IF($B2004="",0,IF(LEFT($B2004,1)="━",0,$C2004*VLOOKUP($B2004,'4. CÀI ĐẶT'!$A$2:$H$32,4,FALSE)))</f>
        <v/>
      </c>
      <c r="H2004" s="67">
        <f>IF($B2004="",0,IF(LEFT($B2004,1)="━",0,$C2004*VLOOKUP($B2004,'4. CÀI ĐẶT'!$A$2:$H$32,5,FALSE)))</f>
        <v/>
      </c>
      <c r="I2004">
        <f>IF($B2004="","",IF(LEFT($B2004,1)="━","",VLOOKUP($B2004,'4. CÀI ĐẶT'!$A$2:$H$32,6,FALSE)))</f>
        <v/>
      </c>
      <c r="J2004" s="13">
        <f>IF($A2004="","",EOMONTH($A2004,0))</f>
        <v/>
      </c>
      <c r="K2004" s="67">
        <f>IF($B2004="",0,IF(LEFT($B2004,1)="━",0,$C2004*VLOOKUP($B2004,'4. CÀI ĐẶT'!$A$2:$H$32,7,FALSE)))</f>
        <v/>
      </c>
    </row>
  </sheetData>
  <mergeCells count="4">
    <mergeCell ref="A3:F3"/>
    <mergeCell ref="E2:F2"/>
    <mergeCell ref="A1:F1"/>
    <mergeCell ref="A2:C2"/>
  </mergeCells>
  <conditionalFormatting sqref="E5:E2004">
    <cfRule type="cellIs" priority="1" operator="lessThan" dxfId="0">
      <formula>0</formula>
    </cfRule>
    <cfRule type="cellIs" priority="2" operator="greaterThan" dxfId="1">
      <formula>0</formula>
    </cfRule>
  </conditionalFormatting>
  <conditionalFormatting sqref="B5:B2004">
    <cfRule type="expression" priority="3" dxfId="2">
      <formula>LEFT($B5,1)="━"</formula>
    </cfRule>
  </conditionalFormatting>
  <dataValidations count="2">
    <dataValidation sqref="D2" showDropDown="0" showInputMessage="0" showErrorMessage="0" allowBlank="1" prompt="Chọn Có hoặc Không" type="list">
      <formula1>"Có,Không"</formula1>
    </dataValidation>
    <dataValidation sqref="B5:B2004" showDropDown="0" showInputMessage="0" showErrorMessage="0" allowBlank="1" prompt="Bấm ▼ chọn hạng mục (dòng ━━ là tiêu đề nhóm)" type="list">
      <formula1>DANH_MUC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24"/>
  <sheetViews>
    <sheetView showGridLines="0" workbookViewId="0">
      <pane ySplit="2" topLeftCell="A3" activePane="bottomLeft" state="frozen"/>
      <selection pane="bottomLeft" activeCell="A1" sqref="A1"/>
    </sheetView>
  </sheetViews>
  <sheetFormatPr baseColWidth="8" defaultRowHeight="15"/>
  <cols>
    <col width="2" customWidth="1" min="1" max="1"/>
    <col width="32" customWidth="1" min="2" max="2"/>
    <col width="24" customWidth="1" min="3" max="3"/>
    <col width="4" customWidth="1" min="4" max="4"/>
    <col width="2" customWidth="1" min="5" max="5"/>
    <col hidden="1" width="13" customWidth="1" min="8" max="8"/>
  </cols>
  <sheetData>
    <row r="1" ht="44" customHeight="1">
      <c r="B1" s="14">
        <f>" 🩺 Kiểm Tra Nhanh Sức Khỏe Dòng Tiền Spa · Tháng "&amp;TEXT(TODAY(),"mm/yyyy")</f>
        <v/>
      </c>
      <c r="H1" s="16">
        <f>'4. CÀI ĐẶT'!$B$52</f>
        <v/>
      </c>
    </row>
    <row r="2" ht="24" customHeight="1">
      <c r="B2" s="17" t="inlineStr">
        <is>
          <t>Chị đã nhập tương đối đầy đủ thu – chi tháng này chưa? →</t>
        </is>
      </c>
      <c r="D2" s="19" t="inlineStr">
        <is>
          <t>Tương đối đầy đủ</t>
        </is>
      </c>
    </row>
    <row r="3" ht="8" customHeight="1"/>
    <row r="4" ht="30" customHeight="1">
      <c r="B4" s="20">
        <f>'4. CÀI ĐẶT'!$C$52&amp;"   TÌNH TRẠNG CHUNG"</f>
        <v/>
      </c>
    </row>
    <row r="5" ht="50" customHeight="1">
      <c r="B5" s="22">
        <f>'4. CÀI ĐẶT'!$B$53</f>
        <v/>
      </c>
    </row>
    <row r="6" ht="10" customHeight="1"/>
    <row r="7" ht="24" customHeight="1">
      <c r="B7" s="24" t="inlineStr">
        <is>
          <t>BỐN ĐIỀU CẦN BIẾT VỀ THÁNG NÀY</t>
        </is>
      </c>
    </row>
    <row r="8" ht="28" customHeight="1">
      <c r="B8" s="26" t="inlineStr">
        <is>
          <t>① Tiền đã THU về</t>
        </is>
      </c>
      <c r="C8" s="68">
        <f>'4. CÀI ĐẶT'!$B$42</f>
        <v/>
      </c>
      <c r="D8" s="28" t="n"/>
    </row>
    <row r="9" ht="28" customHeight="1">
      <c r="B9" s="26" t="inlineStr">
        <is>
          <t>② Tiền đã CHI ra</t>
        </is>
      </c>
      <c r="C9" s="68">
        <f>'4. CÀI ĐẶT'!$B$43</f>
        <v/>
      </c>
      <c r="D9" s="28" t="n"/>
    </row>
    <row r="10" ht="28" customHeight="1">
      <c r="B10" s="26" t="inlineStr">
        <is>
          <t>③ Tháng này đang DƯ hay HỤT</t>
        </is>
      </c>
      <c r="C10" s="29">
        <f>IF('4. CÀI ĐẶT'!$B$39=0,"—",IF('4. CÀI ĐẶT'!$B$44&gt;0,"Dư "&amp;TEXT('4. CÀI ĐẶT'!$B$44,"#,##0")&amp;" đ",IF('4. CÀI ĐẶT'!$B$44&lt;0,"Hụt "&amp;TEXT(-'4. CÀI ĐẶT'!$B$44,"#,##0")&amp;" đ","Hòa")))</f>
        <v/>
      </c>
      <c r="D10" s="28" t="n"/>
    </row>
    <row r="11" ht="28" customHeight="1">
      <c r="B11" s="26" t="inlineStr">
        <is>
          <t>④ Nguy cơ từ tiền gói của khách</t>
        </is>
      </c>
      <c r="C11" s="30">
        <f>'4. CÀI ĐẶT'!$B$50</f>
        <v/>
      </c>
      <c r="D11" s="28" t="n"/>
    </row>
    <row r="12" ht="16" customHeight="1">
      <c r="B12" s="31">
        <f>'4. CÀI ĐẶT'!$B$57</f>
        <v/>
      </c>
    </row>
    <row r="13" ht="8" customHeight="1"/>
    <row r="14" ht="30" customHeight="1">
      <c r="B14" s="33">
        <f>'4. CÀI ĐẶT'!$B$55</f>
        <v/>
      </c>
    </row>
    <row r="15" ht="24" customHeight="1">
      <c r="B15" s="24" t="inlineStr">
        <is>
          <t>👉 VIỆC NÊN LÀM</t>
        </is>
      </c>
    </row>
    <row r="16" ht="40" customHeight="1">
      <c r="B16" s="35">
        <f>'4. CÀI ĐẶT'!$B$54</f>
        <v/>
      </c>
      <c r="C16" s="69" t="n"/>
      <c r="D16" s="70" t="n"/>
    </row>
    <row r="17" ht="10" customHeight="1"/>
    <row r="18" ht="26" customHeight="1">
      <c r="B18" s="37" t="inlineStr">
        <is>
          <t>🌿 Chị đã THẤY dấu hiệu. Muốn biết VÌ SAO &amp; sửa từ đâu?</t>
        </is>
      </c>
    </row>
    <row r="19" ht="22" customHeight="1">
      <c r="B19" s="38" t="inlineStr">
        <is>
          <t>Đăng ký Chẩn Đoán Sức Khỏe Spa cùng Đàm Thanh Hoa:</t>
        </is>
      </c>
    </row>
    <row r="20" ht="24" customHeight="1">
      <c r="B20" s="39" t="inlineStr">
        <is>
          <t>🔗 Link đăng ký:</t>
        </is>
      </c>
      <c r="C20" s="40" t="inlineStr">
        <is>
          <t>(điền vào đây)</t>
        </is>
      </c>
      <c r="D20" s="70" t="n"/>
    </row>
    <row r="21" ht="24" customHeight="1">
      <c r="B21" s="39" t="inlineStr">
        <is>
          <t>📱 Mã QR:</t>
        </is>
      </c>
      <c r="C21" s="40" t="inlineStr">
        <is>
          <t>(điền vào đây)</t>
        </is>
      </c>
      <c r="D21" s="70" t="n"/>
    </row>
    <row r="22" ht="24" customHeight="1">
      <c r="B22" s="39" t="inlineStr">
        <is>
          <t>🌐 Website / Zalo:</t>
        </is>
      </c>
      <c r="C22" s="40" t="inlineStr">
        <is>
          <t>(điền vào đây)</t>
        </is>
      </c>
      <c r="D22" s="70" t="n"/>
    </row>
    <row r="23" ht="8" customHeight="1"/>
    <row r="24" ht="20" customHeight="1">
      <c r="B24" s="41" t="inlineStr">
        <is>
          <t>Giải Pháp Đàm Hoa · Đàm Thị Thanh Hoa — 15 năm nghề spa, 6 chi nhánh.</t>
        </is>
      </c>
    </row>
  </sheetData>
  <mergeCells count="15">
    <mergeCell ref="C20:D20"/>
    <mergeCell ref="B19:D19"/>
    <mergeCell ref="B5:D5"/>
    <mergeCell ref="B2:C2"/>
    <mergeCell ref="B14:D14"/>
    <mergeCell ref="C21:D21"/>
    <mergeCell ref="B15:D15"/>
    <mergeCell ref="B1:D1"/>
    <mergeCell ref="B4:D4"/>
    <mergeCell ref="B18:D18"/>
    <mergeCell ref="C22:D22"/>
    <mergeCell ref="B12:D12"/>
    <mergeCell ref="B7:D7"/>
    <mergeCell ref="B24:D24"/>
    <mergeCell ref="B16:D16"/>
  </mergeCells>
  <conditionalFormatting sqref="B4">
    <cfRule type="expression" priority="1" dxfId="3" stopIfTrue="0">
      <formula>$H$1=3</formula>
    </cfRule>
    <cfRule type="expression" priority="2" dxfId="4" stopIfTrue="0">
      <formula>$H$1=2</formula>
    </cfRule>
    <cfRule type="expression" priority="3" dxfId="5" stopIfTrue="0">
      <formula>$H$1=1</formula>
    </cfRule>
    <cfRule type="expression" priority="4" dxfId="6" stopIfTrue="0">
      <formula>$H$1=4</formula>
    </cfRule>
  </conditionalFormatting>
  <conditionalFormatting sqref="C4">
    <cfRule type="expression" priority="5" dxfId="3" stopIfTrue="0">
      <formula>$H$1=3</formula>
    </cfRule>
    <cfRule type="expression" priority="6" dxfId="4" stopIfTrue="0">
      <formula>$H$1=2</formula>
    </cfRule>
    <cfRule type="expression" priority="7" dxfId="5" stopIfTrue="0">
      <formula>$H$1=1</formula>
    </cfRule>
    <cfRule type="expression" priority="8" dxfId="6" stopIfTrue="0">
      <formula>$H$1=4</formula>
    </cfRule>
  </conditionalFormatting>
  <conditionalFormatting sqref="D4">
    <cfRule type="expression" priority="9" dxfId="3" stopIfTrue="0">
      <formula>$H$1=3</formula>
    </cfRule>
    <cfRule type="expression" priority="10" dxfId="4" stopIfTrue="0">
      <formula>$H$1=2</formula>
    </cfRule>
    <cfRule type="expression" priority="11" dxfId="5" stopIfTrue="0">
      <formula>$H$1=1</formula>
    </cfRule>
    <cfRule type="expression" priority="12" dxfId="6" stopIfTrue="0">
      <formula>$H$1=4</formula>
    </cfRule>
  </conditionalFormatting>
  <conditionalFormatting sqref="C10">
    <cfRule type="expression" priority="13" dxfId="7">
      <formula>LEFT('4. CÀI ĐẶT'!$B$44&amp;"",1)="-"</formula>
    </cfRule>
  </conditionalFormatting>
  <dataValidations count="1">
    <dataValidation sqref="D2" showDropDown="0" showInputMessage="0" showErrorMessage="0" allowBlank="1" prompt="Đang nhập dở thì để 'Chưa'" type="list">
      <formula1>"Chưa,Tương đối đầy đủ"</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32"/>
  <sheetViews>
    <sheetView showGridLines="0" workbookViewId="0">
      <selection activeCell="A1" sqref="A1"/>
    </sheetView>
  </sheetViews>
  <sheetFormatPr baseColWidth="8" defaultRowHeight="15"/>
  <cols>
    <col width="2" customWidth="1" min="1" max="1"/>
    <col width="4" customWidth="1" min="2" max="2"/>
    <col width="98" customWidth="1" min="3" max="3"/>
  </cols>
  <sheetData>
    <row r="1" ht="34" customHeight="1">
      <c r="B1" s="1" t="inlineStr">
        <is>
          <t>3️⃣  HƯỚNG DẪN  —  đọc 1 phút là dùng được</t>
        </is>
      </c>
    </row>
    <row r="3" ht="24" customHeight="1">
      <c r="B3" s="23" t="n"/>
      <c r="C3" s="42" t="inlineStr">
        <is>
          <t>DÙNG 5 BƯỚC</t>
        </is>
      </c>
    </row>
    <row r="4" ht="20" customHeight="1">
      <c r="B4" s="43" t="inlineStr">
        <is>
          <t>1</t>
        </is>
      </c>
      <c r="C4" s="44" t="inlineStr">
        <is>
          <t>Bấm File → Tạo bản sao (bản của riêng chị).</t>
        </is>
      </c>
    </row>
    <row r="5" ht="20" customHeight="1">
      <c r="B5" s="43" t="inlineStr">
        <is>
          <t>2</t>
        </is>
      </c>
      <c r="C5" s="44" t="inlineStr">
        <is>
          <t>Trả lời 1 câu ở đầu tab Nhập: spa có bán gói/liệu trình trả trước không (Có/Không).</t>
        </is>
      </c>
    </row>
    <row r="6" ht="20" customHeight="1">
      <c r="B6" s="43" t="inlineStr">
        <is>
          <t>3</t>
        </is>
      </c>
      <c r="C6" s="44" t="inlineStr">
        <is>
          <t>Nhập thu – chi: trong ngày hoặc 2–3 lần mỗi tuần. Bỏ một ngày cũng không sao, cứ nhập bù.</t>
        </is>
      </c>
    </row>
    <row r="7" ht="20" customHeight="1">
      <c r="B7" s="43" t="inlineStr">
        <is>
          <t>4</t>
        </is>
      </c>
      <c r="C7" s="44" t="inlineStr">
        <is>
          <t>Nếu có bán gói: mỗi tuần thêm 1 dòng “Giá trị dịch vụ gói đã làm trong tuần” (xem ví dụ dưới).</t>
        </is>
      </c>
    </row>
    <row r="8" ht="20" customHeight="1">
      <c r="B8" s="43" t="inlineStr">
        <is>
          <t>5</t>
        </is>
      </c>
      <c r="C8" s="44" t="inlineStr">
        <is>
          <t>Mở Dashboard: gạt “đã nhập tương đối đầy đủ chưa?” rồi đọc 4 số + đèn + việc nên làm.</t>
        </is>
      </c>
    </row>
    <row r="10" ht="24" customHeight="1">
      <c r="C10" s="45" t="inlineStr">
        <is>
          <t>NHẬP THẾ NÀO</t>
        </is>
      </c>
    </row>
    <row r="11" ht="20" customHeight="1">
      <c r="B11" s="43" t="inlineStr">
        <is>
          <t>•</t>
        </is>
      </c>
      <c r="C11" s="44" t="inlineStr">
        <is>
          <t>Mỗi việc thu/ra = 1 dòng: NGÀY · HẠNG MỤC (bấm ▼) · SỐ TIỀN (luôn số dương). Ghi chú tuỳ ý.</t>
        </is>
      </c>
    </row>
    <row r="12" ht="32" customHeight="1">
      <c r="B12" s="46" t="inlineStr">
        <is>
          <t>•</t>
        </is>
      </c>
      <c r="C12" s="47" t="inlineStr">
        <is>
          <t>Danh sách chia sẵn 6 nhóm. Dòng có gạch ━━ chỉ là TÊN NHÓM — chọn hạng mục bên dưới, đừng chọn dòng gạch (chọn nhầm bảng sẽ báo đỏ).</t>
        </is>
      </c>
    </row>
    <row r="14" ht="24" customHeight="1">
      <c r="C14" s="45" t="inlineStr">
        <is>
          <t>VÍ DỤ NHẬP GÓI ĐÃ LÀM (mỗi tuần 1 dòng)</t>
        </is>
      </c>
    </row>
    <row r="15" ht="20" customHeight="1">
      <c r="B15" s="43" t="inlineStr">
        <is>
          <t>•</t>
        </is>
      </c>
      <c r="C15" s="44" t="inlineStr">
        <is>
          <t>Khách mua gói 10 buổi giá 10 triệu → mỗi buổi 1 triệu. Tuần này chị làm 3 buổi → nhập 3 triệu.</t>
        </is>
      </c>
    </row>
    <row r="16" ht="20" customHeight="1">
      <c r="B16" s="43" t="inlineStr">
        <is>
          <t>•</t>
        </is>
      </c>
      <c r="C16" s="44" t="inlineStr">
        <is>
          <t>Nhiều khách thì cộng tổng giá trị các buổi đã làm trong tuần, nhập 1 dòng. Không cần nhập từng khách, từng buổi.</t>
        </is>
      </c>
    </row>
    <row r="18" ht="24" customHeight="1">
      <c r="C18" s="45" t="inlineStr">
        <is>
          <t>BỐN Ô TRÊN DASHBOARD</t>
        </is>
      </c>
    </row>
    <row r="19" ht="18" customHeight="1">
      <c r="C19" s="48" t="inlineStr">
        <is>
          <t>① Tiền đã thu về — tiền thật đã vào két tháng này.  ② Tiền đã chi ra — tiền thật đã ra.</t>
        </is>
      </c>
    </row>
    <row r="20" ht="18" customHeight="1">
      <c r="C20" s="48" t="inlineStr">
        <is>
          <t>③ Dư hay hụt = thu − chi. Đây là câu hỏi về TIỀN MẶT trong tháng.</t>
        </is>
      </c>
    </row>
    <row r="21" ht="18" customHeight="1">
      <c r="C21" s="48" t="inlineStr">
        <is>
          <t>④ Nguy cơ tiền gói — spa có đang tiêu vào tiền khách trả trước cho dịch vụ chưa làm không.</t>
        </is>
      </c>
    </row>
    <row r="22" ht="30" customHeight="1">
      <c r="B22" s="23" t="n"/>
      <c r="C22" s="49" t="inlineStr">
        <is>
          <t>Lưu ý: “còn tiền trong két” và “dịch vụ có lãi” là hai việc khác nhau. Muốn biết spa có thật sự lãi không, đó là phần của bản Chẩn Đoán Sức Khỏe Spa.</t>
        </is>
      </c>
    </row>
    <row r="24" ht="24" customHeight="1">
      <c r="C24" s="45" t="inlineStr">
        <is>
          <t>ĐÈN &amp; KẾT LUẬN</t>
        </is>
      </c>
    </row>
    <row r="25" ht="20" customHeight="1">
      <c r="B25" s="43" t="inlineStr">
        <is>
          <t>•</t>
        </is>
      </c>
      <c r="C25" s="50" t="inlineStr">
        <is>
          <t>🟢 Ổn · 🟡 Cần chú ý · 🔴 Nguy hiểm · ⏳ Tạm tính (chưa xác nhận đủ) · ⚪ Chưa đủ dữ liệu.</t>
        </is>
      </c>
    </row>
    <row r="26" ht="20" customHeight="1">
      <c r="B26" s="43" t="inlineStr">
        <is>
          <t>•</t>
        </is>
      </c>
      <c r="C26" s="44" t="inlineStr">
        <is>
          <t>Bảng chỉ bật đèn xanh/vàng/đỏ khi chị đã bấm “Tương đối đầy đủ”. Nhập thử vài dòng thì chỉ là “tạm tính”.</t>
        </is>
      </c>
    </row>
    <row r="27" ht="20" customHeight="1">
      <c r="B27" s="43" t="inlineStr">
        <is>
          <t>•</t>
        </is>
      </c>
      <c r="C27" s="44" t="inlineStr">
        <is>
          <t>“Chưa đủ dữ liệu” KHÁC với “an toàn”. Thiếu dữ liệu thì bảng không kết luận spa khỏe.</t>
        </is>
      </c>
    </row>
    <row r="29" ht="24" customHeight="1">
      <c r="C29" s="45" t="inlineStr">
        <is>
          <t>GẮN CHẨN ĐOÁN + GIỚI HẠN</t>
        </is>
      </c>
    </row>
    <row r="30" ht="30" customHeight="1">
      <c r="C30" s="48" t="inlineStr">
        <is>
          <t>Cuối Dashboard có 3 ô vàng: dán Link đăng ký, Mã QR, Website/Zalo trước khi gửi khách. Bảng có sẵn 2000 dòng; gần đầy sẽ được nhắc tạo bản sao mới.</t>
        </is>
      </c>
    </row>
    <row r="32" ht="24" customHeight="1">
      <c r="B32" s="23" t="n"/>
      <c r="C32" s="51" t="inlineStr">
        <is>
          <t>Giải Pháp Đàm Hoa · Đàm Thị Thanh Hoa — 15 năm nghề spa, 6 chi nhánh. Đây là bản mình đang dùng thật.</t>
        </is>
      </c>
    </row>
  </sheetData>
  <mergeCells count="1">
    <mergeCell ref="B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46" customWidth="1" min="1" max="1"/>
    <col width="10" customWidth="1" min="2" max="2"/>
    <col width="9" customWidth="1" min="3" max="3"/>
    <col width="9" customWidth="1" min="4" max="4"/>
    <col width="10" customWidth="1" min="5" max="5"/>
    <col width="10" customWidth="1" min="6" max="6"/>
    <col width="14" customWidth="1" min="7" max="7"/>
    <col width="60" customWidth="1" min="8" max="8"/>
  </cols>
  <sheetData>
    <row r="1">
      <c r="A1" s="52" t="inlineStr">
        <is>
          <t>Hạng mục</t>
        </is>
      </c>
      <c r="B1" s="52" t="inlineStr">
        <is>
          <t>Hệ số TIỀN</t>
        </is>
      </c>
      <c r="C1" s="52" t="inlineStr">
        <is>
          <t>Hệ số DT</t>
        </is>
      </c>
      <c r="D1" s="52" t="inlineStr">
        <is>
          <t>Hệ số CP</t>
        </is>
      </c>
      <c r="E1" s="52" t="inlineStr">
        <is>
          <t>Hệ số QUỸ</t>
        </is>
      </c>
      <c r="F1" s="52" t="inlineStr">
        <is>
          <t>Nhóm CP</t>
        </is>
      </c>
      <c r="G1" s="52" t="inlineStr">
        <is>
          <t>Thu/Chi tháng</t>
        </is>
      </c>
      <c r="H1" s="52" t="inlineStr">
        <is>
          <t>Giải thích</t>
        </is>
      </c>
    </row>
    <row r="2">
      <c r="A2" s="53" t="inlineStr">
        <is>
          <t>━━━━━  💰 TIỀN THU  ━━━━━</t>
        </is>
      </c>
      <c r="B2" s="54" t="n">
        <v>0</v>
      </c>
      <c r="C2" s="54" t="n">
        <v>0</v>
      </c>
      <c r="D2" s="54" t="n">
        <v>0</v>
      </c>
      <c r="E2" s="54" t="n">
        <v>0</v>
      </c>
      <c r="F2" s="53" t="inlineStr">
        <is>
          <t>—</t>
        </is>
      </c>
      <c r="G2" s="54" t="n">
        <v>0</v>
      </c>
      <c r="H2" s="53" t="inlineStr"/>
    </row>
    <row r="3">
      <c r="A3" s="55" t="inlineStr">
        <is>
          <t>💰 Khách lẻ trả tiền ngay</t>
        </is>
      </c>
      <c r="B3" s="56" t="n">
        <v>1</v>
      </c>
      <c r="C3" s="56" t="n">
        <v>1</v>
      </c>
      <c r="D3" s="56" t="n">
        <v>0</v>
      </c>
      <c r="E3" s="56" t="n">
        <v>0</v>
      </c>
      <c r="F3" s="55" t="inlineStr">
        <is>
          <t>—</t>
        </is>
      </c>
      <c r="G3" s="56" t="n">
        <v>1</v>
      </c>
      <c r="H3" s="55" t="inlineStr">
        <is>
          <t>Vừa vào két, vừa là doanh thu thật.</t>
        </is>
      </c>
    </row>
    <row r="4">
      <c r="A4" s="55" t="inlineStr">
        <is>
          <t>💰 Bán sản phẩm / mỹ phẩm</t>
        </is>
      </c>
      <c r="B4" s="56" t="n">
        <v>1</v>
      </c>
      <c r="C4" s="56" t="n">
        <v>1</v>
      </c>
      <c r="D4" s="56" t="n">
        <v>0</v>
      </c>
      <c r="E4" s="56" t="n">
        <v>0</v>
      </c>
      <c r="F4" s="55" t="inlineStr">
        <is>
          <t>—</t>
        </is>
      </c>
      <c r="G4" s="56" t="n">
        <v>1</v>
      </c>
      <c r="H4" s="55" t="inlineStr">
        <is>
          <t>Bán lẻ, giao hàng luôn.</t>
        </is>
      </c>
    </row>
    <row r="5">
      <c r="A5" s="55" t="inlineStr">
        <is>
          <t>💰 Khách trả nợ cũ</t>
        </is>
      </c>
      <c r="B5" s="56" t="n">
        <v>1</v>
      </c>
      <c r="C5" s="56" t="n">
        <v>0</v>
      </c>
      <c r="D5" s="56" t="n">
        <v>0</v>
      </c>
      <c r="E5" s="56" t="n">
        <v>0</v>
      </c>
      <c r="F5" s="55" t="inlineStr">
        <is>
          <t>—</t>
        </is>
      </c>
      <c r="G5" s="56" t="n">
        <v>1</v>
      </c>
      <c r="H5" s="55" t="inlineStr">
        <is>
          <t>Tiền vào két; doanh thu đã ghi từ lúc làm dịch vụ.</t>
        </is>
      </c>
    </row>
    <row r="6">
      <c r="A6" s="53" t="inlineStr">
        <is>
          <t>━━━━━  🏠 TIỀN CHI CỐ ĐỊNH  ━━━━━</t>
        </is>
      </c>
      <c r="B6" s="54" t="n">
        <v>0</v>
      </c>
      <c r="C6" s="54" t="n">
        <v>0</v>
      </c>
      <c r="D6" s="54" t="n">
        <v>0</v>
      </c>
      <c r="E6" s="54" t="n">
        <v>0</v>
      </c>
      <c r="F6" s="53" t="inlineStr">
        <is>
          <t>—</t>
        </is>
      </c>
      <c r="G6" s="54" t="n">
        <v>0</v>
      </c>
      <c r="H6" s="53" t="inlineStr"/>
    </row>
    <row r="7">
      <c r="A7" s="55" t="inlineStr">
        <is>
          <t>🏠 Thuê mặt bằng</t>
        </is>
      </c>
      <c r="B7" s="56" t="n">
        <v>-1</v>
      </c>
      <c r="C7" s="56" t="n">
        <v>0</v>
      </c>
      <c r="D7" s="56" t="n">
        <v>1</v>
      </c>
      <c r="E7" s="56" t="n">
        <v>0</v>
      </c>
      <c r="F7" s="55" t="inlineStr">
        <is>
          <t>Cố định</t>
        </is>
      </c>
      <c r="G7" s="56" t="n">
        <v>-1</v>
      </c>
      <c r="H7" s="55" t="inlineStr">
        <is>
          <t>Vắng khách vẫn phải trả.</t>
        </is>
      </c>
    </row>
    <row r="8">
      <c r="A8" s="55" t="inlineStr">
        <is>
          <t>👩 Lương cứng nhân viên</t>
        </is>
      </c>
      <c r="B8" s="56" t="n">
        <v>-1</v>
      </c>
      <c r="C8" s="56" t="n">
        <v>0</v>
      </c>
      <c r="D8" s="56" t="n">
        <v>1</v>
      </c>
      <c r="E8" s="56" t="n">
        <v>0</v>
      </c>
      <c r="F8" s="55" t="inlineStr">
        <is>
          <t>Cố định</t>
        </is>
      </c>
      <c r="G8" s="56" t="n">
        <v>-1</v>
      </c>
      <c r="H8" s="55" t="inlineStr">
        <is>
          <t>Lương cố định.</t>
        </is>
      </c>
    </row>
    <row r="9">
      <c r="A9" s="55" t="inlineStr">
        <is>
          <t>💡 Điện · nước · internet</t>
        </is>
      </c>
      <c r="B9" s="56" t="n">
        <v>-1</v>
      </c>
      <c r="C9" s="56" t="n">
        <v>0</v>
      </c>
      <c r="D9" s="56" t="n">
        <v>1</v>
      </c>
      <c r="E9" s="56" t="n">
        <v>0</v>
      </c>
      <c r="F9" s="55" t="inlineStr">
        <is>
          <t>Cố định</t>
        </is>
      </c>
      <c r="G9" s="56" t="n">
        <v>-1</v>
      </c>
      <c r="H9" s="55" t="inlineStr"/>
    </row>
    <row r="10">
      <c r="A10" s="55" t="inlineStr">
        <is>
          <t>📣 Quảng cáo · marketing</t>
        </is>
      </c>
      <c r="B10" s="56" t="n">
        <v>-1</v>
      </c>
      <c r="C10" s="56" t="n">
        <v>0</v>
      </c>
      <c r="D10" s="56" t="n">
        <v>1</v>
      </c>
      <c r="E10" s="56" t="n">
        <v>0</v>
      </c>
      <c r="F10" s="55" t="inlineStr">
        <is>
          <t>Cố định</t>
        </is>
      </c>
      <c r="G10" s="56" t="n">
        <v>-1</v>
      </c>
      <c r="H10" s="55" t="inlineStr"/>
    </row>
    <row r="11">
      <c r="A11" s="55" t="inlineStr">
        <is>
          <t>📱 Phần mềm · điện thoại · phí khác</t>
        </is>
      </c>
      <c r="B11" s="56" t="n">
        <v>-1</v>
      </c>
      <c r="C11" s="56" t="n">
        <v>0</v>
      </c>
      <c r="D11" s="56" t="n">
        <v>1</v>
      </c>
      <c r="E11" s="56" t="n">
        <v>0</v>
      </c>
      <c r="F11" s="55" t="inlineStr">
        <is>
          <t>Cố định</t>
        </is>
      </c>
      <c r="G11" s="56" t="n">
        <v>-1</v>
      </c>
      <c r="H11" s="55" t="inlineStr"/>
    </row>
    <row r="12">
      <c r="A12" s="55" t="inlineStr">
        <is>
          <t>🔧 Sửa chữa · bảo trì nhỏ</t>
        </is>
      </c>
      <c r="B12" s="56" t="n">
        <v>-1</v>
      </c>
      <c r="C12" s="56" t="n">
        <v>0</v>
      </c>
      <c r="D12" s="56" t="n">
        <v>1</v>
      </c>
      <c r="E12" s="56" t="n">
        <v>0</v>
      </c>
      <c r="F12" s="55" t="inlineStr">
        <is>
          <t>Cố định</t>
        </is>
      </c>
      <c r="G12" s="56" t="n">
        <v>-1</v>
      </c>
      <c r="H12" s="55" t="inlineStr"/>
    </row>
    <row r="13">
      <c r="A13" s="55" t="inlineStr">
        <is>
          <t>📋 Thuế · phí · bảo hiểm</t>
        </is>
      </c>
      <c r="B13" s="56" t="n">
        <v>-1</v>
      </c>
      <c r="C13" s="56" t="n">
        <v>0</v>
      </c>
      <c r="D13" s="56" t="n">
        <v>1</v>
      </c>
      <c r="E13" s="56" t="n">
        <v>0</v>
      </c>
      <c r="F13" s="55" t="inlineStr">
        <is>
          <t>Cố định</t>
        </is>
      </c>
      <c r="G13" s="56" t="n">
        <v>-1</v>
      </c>
      <c r="H13" s="55" t="inlineStr"/>
    </row>
    <row r="14">
      <c r="A14" s="55" t="inlineStr">
        <is>
          <t>🏦 Lãi vay phải trả</t>
        </is>
      </c>
      <c r="B14" s="56" t="n">
        <v>-1</v>
      </c>
      <c r="C14" s="56" t="n">
        <v>0</v>
      </c>
      <c r="D14" s="56" t="n">
        <v>1</v>
      </c>
      <c r="E14" s="56" t="n">
        <v>0</v>
      </c>
      <c r="F14" s="55" t="inlineStr">
        <is>
          <t>Cố định</t>
        </is>
      </c>
      <c r="G14" s="56" t="n">
        <v>-1</v>
      </c>
      <c r="H14" s="55" t="inlineStr">
        <is>
          <t>Chỉ phần lãi. Gốc chọn 'Trả nợ gốc'.</t>
        </is>
      </c>
    </row>
    <row r="15">
      <c r="A15" s="53" t="inlineStr">
        <is>
          <t>━━━━━  🧴 TIỀN CHI THEO KHÁCH  ━━━━━</t>
        </is>
      </c>
      <c r="B15" s="54" t="n">
        <v>0</v>
      </c>
      <c r="C15" s="54" t="n">
        <v>0</v>
      </c>
      <c r="D15" s="54" t="n">
        <v>0</v>
      </c>
      <c r="E15" s="54" t="n">
        <v>0</v>
      </c>
      <c r="F15" s="53" t="inlineStr">
        <is>
          <t>—</t>
        </is>
      </c>
      <c r="G15" s="54" t="n">
        <v>0</v>
      </c>
      <c r="H15" s="53" t="inlineStr"/>
    </row>
    <row r="16">
      <c r="A16" s="55" t="inlineStr">
        <is>
          <t>🧴 Mỹ phẩm · vật tư cho khách</t>
        </is>
      </c>
      <c r="B16" s="56" t="n">
        <v>-1</v>
      </c>
      <c r="C16" s="56" t="n">
        <v>0</v>
      </c>
      <c r="D16" s="56" t="n">
        <v>1</v>
      </c>
      <c r="E16" s="56" t="n">
        <v>0</v>
      </c>
      <c r="F16" s="55" t="inlineStr">
        <is>
          <t>Biến đổi</t>
        </is>
      </c>
      <c r="G16" s="56" t="n">
        <v>-1</v>
      </c>
      <c r="H16" s="55" t="inlineStr">
        <is>
          <t>Càng đông khách càng tốn.</t>
        </is>
      </c>
    </row>
    <row r="17">
      <c r="A17" s="55" t="inlineStr">
        <is>
          <t>💵 Hoa hồng · thưởng theo doanh số</t>
        </is>
      </c>
      <c r="B17" s="56" t="n">
        <v>-1</v>
      </c>
      <c r="C17" s="56" t="n">
        <v>0</v>
      </c>
      <c r="D17" s="56" t="n">
        <v>1</v>
      </c>
      <c r="E17" s="56" t="n">
        <v>0</v>
      </c>
      <c r="F17" s="55" t="inlineStr">
        <is>
          <t>Biến đổi</t>
        </is>
      </c>
      <c r="G17" s="56" t="n">
        <v>-1</v>
      </c>
      <c r="H17" s="55" t="inlineStr"/>
    </row>
    <row r="18">
      <c r="A18" s="55" t="inlineStr">
        <is>
          <t>📦 Nhập hàng về bán lại</t>
        </is>
      </c>
      <c r="B18" s="56" t="n">
        <v>-1</v>
      </c>
      <c r="C18" s="56" t="n">
        <v>0</v>
      </c>
      <c r="D18" s="56" t="n">
        <v>1</v>
      </c>
      <c r="E18" s="56" t="n">
        <v>0</v>
      </c>
      <c r="F18" s="55" t="inlineStr">
        <is>
          <t>Biến đổi</t>
        </is>
      </c>
      <c r="G18" s="56" t="n">
        <v>-1</v>
      </c>
      <c r="H18" s="55" t="inlineStr">
        <is>
          <t>Giá vốn hàng bán.</t>
        </is>
      </c>
    </row>
    <row r="19">
      <c r="A19" s="55" t="inlineStr">
        <is>
          <t>🚕 Chi phí khác theo khách</t>
        </is>
      </c>
      <c r="B19" s="56" t="n">
        <v>-1</v>
      </c>
      <c r="C19" s="56" t="n">
        <v>0</v>
      </c>
      <c r="D19" s="56" t="n">
        <v>1</v>
      </c>
      <c r="E19" s="56" t="n">
        <v>0</v>
      </c>
      <c r="F19" s="55" t="inlineStr">
        <is>
          <t>Biến đổi</t>
        </is>
      </c>
      <c r="G19" s="56" t="n">
        <v>-1</v>
      </c>
      <c r="H19" s="55" t="inlineStr"/>
    </row>
    <row r="20">
      <c r="A20" s="53" t="inlineStr">
        <is>
          <t>━━━━━  🎟️ GÓI TRẢ TRƯỚC  ━━━━━</t>
        </is>
      </c>
      <c r="B20" s="54" t="n">
        <v>0</v>
      </c>
      <c r="C20" s="54" t="n">
        <v>0</v>
      </c>
      <c r="D20" s="54" t="n">
        <v>0</v>
      </c>
      <c r="E20" s="54" t="n">
        <v>0</v>
      </c>
      <c r="F20" s="53" t="inlineStr">
        <is>
          <t>—</t>
        </is>
      </c>
      <c r="G20" s="54" t="n">
        <v>0</v>
      </c>
      <c r="H20" s="53" t="inlineStr"/>
    </row>
    <row r="21">
      <c r="A21" s="55" t="inlineStr">
        <is>
          <t>🎟️ Bán gói trả trước</t>
        </is>
      </c>
      <c r="B21" s="56" t="n">
        <v>1</v>
      </c>
      <c r="C21" s="56" t="n">
        <v>0</v>
      </c>
      <c r="D21" s="56" t="n">
        <v>0</v>
      </c>
      <c r="E21" s="56" t="n">
        <v>1</v>
      </c>
      <c r="F21" s="55" t="inlineStr">
        <is>
          <t>—</t>
        </is>
      </c>
      <c r="G21" s="56" t="n">
        <v>1</v>
      </c>
      <c r="H21" s="55" t="inlineStr">
        <is>
          <t>⚠️ Tiền vào nhưng chưa phải của chị — đang nợ khách số buổi.</t>
        </is>
      </c>
    </row>
    <row r="22">
      <c r="A22" s="55" t="inlineStr">
        <is>
          <t>✅ Giá trị dịch vụ gói đã làm trong tuần</t>
        </is>
      </c>
      <c r="B22" s="56" t="n">
        <v>0</v>
      </c>
      <c r="C22" s="56" t="n">
        <v>1</v>
      </c>
      <c r="D22" s="56" t="n">
        <v>0</v>
      </c>
      <c r="E22" s="56" t="n">
        <v>-1</v>
      </c>
      <c r="F22" s="55" t="inlineStr">
        <is>
          <t>—</t>
        </is>
      </c>
      <c r="G22" s="56" t="n">
        <v>0</v>
      </c>
      <c r="H22" s="55" t="inlineStr">
        <is>
          <t>Mỗi tuần 1 dòng: tổng giá trị buổi gói đã làm trong tuần.</t>
        </is>
      </c>
    </row>
    <row r="23">
      <c r="A23" s="55" t="inlineStr">
        <is>
          <t>↩️ Hoàn tiền gói cho khách</t>
        </is>
      </c>
      <c r="B23" s="56" t="n">
        <v>-1</v>
      </c>
      <c r="C23" s="56" t="n">
        <v>0</v>
      </c>
      <c r="D23" s="56" t="n">
        <v>0</v>
      </c>
      <c r="E23" s="56" t="n">
        <v>-1</v>
      </c>
      <c r="F23" s="55" t="inlineStr">
        <is>
          <t>—</t>
        </is>
      </c>
      <c r="G23" s="56" t="n">
        <v>-1</v>
      </c>
      <c r="H23" s="55" t="inlineStr">
        <is>
          <t>Trả lại tiền VÀ xoá phần buổi còn nợ.</t>
        </is>
      </c>
    </row>
    <row r="24">
      <c r="A24" s="53" t="inlineStr">
        <is>
          <t>━━━━━  🏦 VỐN · VAY · ĐẦU TƯ  ━━━━━</t>
        </is>
      </c>
      <c r="B24" s="54" t="n">
        <v>0</v>
      </c>
      <c r="C24" s="54" t="n">
        <v>0</v>
      </c>
      <c r="D24" s="54" t="n">
        <v>0</v>
      </c>
      <c r="E24" s="54" t="n">
        <v>0</v>
      </c>
      <c r="F24" s="53" t="inlineStr">
        <is>
          <t>—</t>
        </is>
      </c>
      <c r="G24" s="54" t="n">
        <v>0</v>
      </c>
      <c r="H24" s="53" t="inlineStr"/>
    </row>
    <row r="25">
      <c r="A25" s="55" t="inlineStr">
        <is>
          <t>🏦 Vay tiền / mượn tiền</t>
        </is>
      </c>
      <c r="B25" s="56" t="n">
        <v>1</v>
      </c>
      <c r="C25" s="56" t="n">
        <v>0</v>
      </c>
      <c r="D25" s="56" t="n">
        <v>0</v>
      </c>
      <c r="E25" s="56" t="n">
        <v>0</v>
      </c>
      <c r="F25" s="55" t="inlineStr">
        <is>
          <t>—</t>
        </is>
      </c>
      <c r="G25" s="56" t="n">
        <v>1</v>
      </c>
      <c r="H25" s="55" t="inlineStr">
        <is>
          <t>Vào két nhưng không phải doanh thu.</t>
        </is>
      </c>
    </row>
    <row r="26">
      <c r="A26" s="55" t="inlineStr">
        <is>
          <t>👑 Chủ bỏ thêm vốn vào</t>
        </is>
      </c>
      <c r="B26" s="56" t="n">
        <v>1</v>
      </c>
      <c r="C26" s="56" t="n">
        <v>0</v>
      </c>
      <c r="D26" s="56" t="n">
        <v>0</v>
      </c>
      <c r="E26" s="56" t="n">
        <v>0</v>
      </c>
      <c r="F26" s="55" t="inlineStr">
        <is>
          <t>—</t>
        </is>
      </c>
      <c r="G26" s="56" t="n">
        <v>1</v>
      </c>
      <c r="H26" s="55" t="inlineStr">
        <is>
          <t>Tiền chủ bơm vào.</t>
        </is>
      </c>
    </row>
    <row r="27">
      <c r="A27" s="55" t="inlineStr">
        <is>
          <t>🏦 Trả nợ gốc</t>
        </is>
      </c>
      <c r="B27" s="56" t="n">
        <v>-1</v>
      </c>
      <c r="C27" s="56" t="n">
        <v>0</v>
      </c>
      <c r="D27" s="56" t="n">
        <v>0</v>
      </c>
      <c r="E27" s="56" t="n">
        <v>0</v>
      </c>
      <c r="F27" s="55" t="inlineStr">
        <is>
          <t>—</t>
        </is>
      </c>
      <c r="G27" s="56" t="n">
        <v>-1</v>
      </c>
      <c r="H27" s="55" t="inlineStr">
        <is>
          <t>Ra khỏi két nhưng không phải chi phí.</t>
        </is>
      </c>
    </row>
    <row r="28">
      <c r="A28" s="55" t="inlineStr">
        <is>
          <t>👑 Chủ rút tiền tiêu riêng</t>
        </is>
      </c>
      <c r="B28" s="56" t="n">
        <v>-1</v>
      </c>
      <c r="C28" s="56" t="n">
        <v>0</v>
      </c>
      <c r="D28" s="56" t="n">
        <v>0</v>
      </c>
      <c r="E28" s="56" t="n">
        <v>0</v>
      </c>
      <c r="F28" s="55" t="inlineStr">
        <is>
          <t>—</t>
        </is>
      </c>
      <c r="G28" s="56" t="n">
        <v>-1</v>
      </c>
      <c r="H28" s="55" t="inlineStr">
        <is>
          <t>Tiền chị lấy về, không phải chi phí spa.</t>
        </is>
      </c>
    </row>
    <row r="29">
      <c r="A29" s="55" t="inlineStr">
        <is>
          <t>🪑 Mua máy móc · đầu tư lớn</t>
        </is>
      </c>
      <c r="B29" s="56" t="n">
        <v>-1</v>
      </c>
      <c r="C29" s="56" t="n">
        <v>0</v>
      </c>
      <c r="D29" s="56" t="n">
        <v>0</v>
      </c>
      <c r="E29" s="56" t="n">
        <v>0</v>
      </c>
      <c r="F29" s="55" t="inlineStr">
        <is>
          <t>—</t>
        </is>
      </c>
      <c r="G29" s="56" t="n">
        <v>-1</v>
      </c>
      <c r="H29" s="55" t="inlineStr">
        <is>
          <t>Máy dùng nhiều năm, không tính hết vào 1 tháng.</t>
        </is>
      </c>
    </row>
    <row r="30">
      <c r="A30" s="53" t="inlineStr">
        <is>
          <t>━━━━━  📝 GIAO DỊCH KHÁC  ━━━━━</t>
        </is>
      </c>
      <c r="B30" s="54" t="n">
        <v>0</v>
      </c>
      <c r="C30" s="54" t="n">
        <v>0</v>
      </c>
      <c r="D30" s="54" t="n">
        <v>0</v>
      </c>
      <c r="E30" s="54" t="n">
        <v>0</v>
      </c>
      <c r="F30" s="53" t="inlineStr">
        <is>
          <t>—</t>
        </is>
      </c>
      <c r="G30" s="54" t="n">
        <v>0</v>
      </c>
      <c r="H30" s="53" t="inlineStr"/>
    </row>
    <row r="31">
      <c r="A31" s="55" t="inlineStr">
        <is>
          <t>⚙️ Số dư đầu kỳ (tiền đang có sẵn)</t>
        </is>
      </c>
      <c r="B31" s="56" t="n">
        <v>1</v>
      </c>
      <c r="C31" s="56" t="n">
        <v>0</v>
      </c>
      <c r="D31" s="56" t="n">
        <v>0</v>
      </c>
      <c r="E31" s="56" t="n">
        <v>0</v>
      </c>
      <c r="F31" s="55" t="inlineStr">
        <is>
          <t>—</t>
        </is>
      </c>
      <c r="G31" s="56" t="n">
        <v>0</v>
      </c>
      <c r="H31" s="55" t="inlineStr">
        <is>
          <t>Nhập 1 lần lúc bắt đầu. Không phải doanh thu, không tính thu tháng.</t>
        </is>
      </c>
    </row>
    <row r="32">
      <c r="A32" s="55" t="inlineStr">
        <is>
          <t>✅ Đã làm dịch vụ — khách còn nợ tiền</t>
        </is>
      </c>
      <c r="B32" s="56" t="n">
        <v>0</v>
      </c>
      <c r="C32" s="56" t="n">
        <v>1</v>
      </c>
      <c r="D32" s="56" t="n">
        <v>0</v>
      </c>
      <c r="E32" s="56" t="n">
        <v>0</v>
      </c>
      <c r="F32" s="55" t="inlineStr">
        <is>
          <t>—</t>
        </is>
      </c>
      <c r="G32" s="56" t="n">
        <v>0</v>
      </c>
      <c r="H32" s="55" t="inlineStr">
        <is>
          <t>Có doanh thu mà chưa có tiền. Khách trả thì chọn 'Khách trả nợ cũ'.</t>
        </is>
      </c>
    </row>
    <row r="34">
      <c r="A34" s="57" t="inlineStr">
        <is>
          <t>▼ KHỐI TÍNH TOÁN — tự động</t>
        </is>
      </c>
    </row>
    <row r="35">
      <c r="A35" s="55" t="inlineStr">
        <is>
          <t>Tháng này</t>
        </is>
      </c>
      <c r="B35" s="58">
        <f>EOMONTH(TODAY(),0)</f>
        <v/>
      </c>
    </row>
    <row r="36">
      <c r="A36" s="55" t="inlineStr">
        <is>
          <t>Tiền trong két (lũy kế)</t>
        </is>
      </c>
      <c r="B36" s="71">
        <f>SUM('1. NHẬP DỮ LIỆU'!$E$5:$E$2004)</f>
        <v/>
      </c>
    </row>
    <row r="37">
      <c r="A37" s="55" t="inlineStr">
        <is>
          <t>Quỹ gói còn nợ (lũy kế)</t>
        </is>
      </c>
      <c r="B37" s="71">
        <f>SUM('1. NHẬP DỮ LIỆU'!$H$5:$H$2004)</f>
        <v/>
      </c>
    </row>
    <row r="38">
      <c r="A38" s="55" t="inlineStr">
        <is>
          <t>Tiền thật sự (ngầm)</t>
        </is>
      </c>
      <c r="B38" s="72">
        <f>B36-B37</f>
        <v/>
      </c>
    </row>
    <row r="39">
      <c r="A39" s="55" t="inlineStr">
        <is>
          <t>Có giao dịch nào chưa (1/0)</t>
        </is>
      </c>
      <c r="B39" s="61">
        <f>IF(COUNT('1. NHẬP DỮ LIỆU'!$C$5:$C$2004)=0,0,1)</f>
        <v/>
      </c>
    </row>
    <row r="40">
      <c r="A40" s="55" t="inlineStr">
        <is>
          <t>Số dòng chọn nhầm tiêu đề</t>
        </is>
      </c>
      <c r="B40" s="61">
        <f>SUMPRODUCT(--(LEFT('1. NHẬP DỮ LIỆU'!$B$5:$B$2004,1)="━"),--('1. NHẬP DỮ LIỆU'!$C$5:$C$2004&lt;&gt;""))</f>
        <v/>
      </c>
    </row>
    <row r="41">
      <c r="A41" s="55" t="inlineStr">
        <is>
          <t>Số dòng đã dùng</t>
        </is>
      </c>
      <c r="B41" s="61">
        <f>COUNTA('1. NHẬP DỮ LIỆU'!$B$5:$B$2004)</f>
        <v/>
      </c>
    </row>
    <row r="42">
      <c r="A42" s="55" t="inlineStr">
        <is>
          <t>Tiền đã thu về (tháng)</t>
        </is>
      </c>
      <c r="B42" s="71">
        <f>SUMIFS('1. NHẬP DỮ LIỆU'!$K$5:$K$2004,'1. NHẬP DỮ LIỆU'!$J$5:$J$2004,$B$35,'1. NHẬP DỮ LIỆU'!$K$5:$K$2004,"&gt;0")</f>
        <v/>
      </c>
    </row>
    <row r="43">
      <c r="A43" s="55" t="inlineStr">
        <is>
          <t>Tiền đã chi ra (tháng)</t>
        </is>
      </c>
      <c r="B43" s="71">
        <f>-SUMIFS('1. NHẬP DỮ LIỆU'!$K$5:$K$2004,'1. NHẬP DỮ LIỆU'!$J$5:$J$2004,$B$35,'1. NHẬP DỮ LIỆU'!$K$5:$K$2004,"&lt;0")</f>
        <v/>
      </c>
    </row>
    <row r="44">
      <c r="A44" s="55" t="inlineStr">
        <is>
          <t>Dư / hụt tháng (=thu-chi)</t>
        </is>
      </c>
      <c r="B44" s="71">
        <f>B42-B43</f>
        <v/>
      </c>
    </row>
    <row r="45">
      <c r="A45" s="55" t="inlineStr">
        <is>
          <t>Doanh thu thực (ngầm)</t>
        </is>
      </c>
      <c r="B45" s="72">
        <f>SUMIFS('1. NHẬP DỮ LIỆU'!$F$5:$F$2004,'1. NHẬP DỮ LIỆU'!$J$5:$J$2004,$B$35)</f>
        <v/>
      </c>
    </row>
    <row r="46">
      <c r="A46" s="55" t="inlineStr">
        <is>
          <t>Chi phí thật (ngầm)</t>
        </is>
      </c>
      <c r="B46" s="72">
        <f>SUMIFS('1. NHẬP DỮ LIỆU'!$G$5:$G$2004,'1. NHẬP DỮ LIỆU'!$J$5:$J$2004,$B$35)</f>
        <v/>
      </c>
    </row>
    <row r="47">
      <c r="A47" s="55" t="inlineStr">
        <is>
          <t>Lãi/lỗ dịch vụ (ngầm)</t>
        </is>
      </c>
      <c r="B47" s="72">
        <f>B45-B46</f>
        <v/>
      </c>
    </row>
    <row r="48">
      <c r="A48" s="55" t="inlineStr">
        <is>
          <t>Mã gói (0-5)</t>
        </is>
      </c>
      <c r="B48" s="62">
        <f>IF('1. NHẬP DỮ LIỆU'!$D$2="",0,IF('1. NHẬP DỮ LIỆU'!$D$2="Không",1,IF(SUMPRODUCT(--('1. NHẬP DỮ LIỆU'!$H$5:$H$2004&lt;&gt;0))=0,2,IF($B$37&lt;=0,3,IF($B$36&gt;=$B$37,3,IF($B$36&gt;=$B$37/2,4,5))))))</f>
        <v/>
      </c>
    </row>
    <row r="49">
      <c r="A49" s="55" t="inlineStr">
        <is>
          <t>Đã xác nhận đủ (1/0)</t>
        </is>
      </c>
      <c r="B49" s="61">
        <f>IF('2. DASHBOARD'!$D$2="Tương đối đầy đủ",1,0)</f>
        <v/>
      </c>
    </row>
    <row r="50">
      <c r="A50" s="55" t="inlineStr">
        <is>
          <t>Ô④ nguy cơ gói</t>
        </is>
      </c>
      <c r="B50" s="55">
        <f>IF($B$48=0,"Chưa xác định — chị chưa cho biết spa có bán gói không.",IF($B$48=1,"Spa của chị không bán gói trả trước.",IF($B$48=2,"Chưa đủ dữ liệu để đánh giá.",IF($B$49=0,IF(OR($B$48=4,$B$48=5),"Có dấu hiệu cần kiểm tra — kết quả đang tạm tính.","Chưa đủ dữ liệu để đánh giá."),IF($B$48=5,"Nguy cơ tiền gói: Cao.",IF($B$48=4,"Nguy cơ tiền gói: Cần chú ý.","Chưa thấy dấu hiệu rủi ro từ dữ liệu đã nhập."))))))</f>
        <v/>
      </c>
    </row>
    <row r="51">
      <c r="A51" s="55" t="inlineStr">
        <is>
          <t>Mã đèn tổng</t>
        </is>
      </c>
      <c r="B51" s="61">
        <f>IF($B$39=0,0,IF($B$49=0,9,IF($B$48=5,5,IF($B$48=4,4,IF($B$48=2,3,IF($B$44&lt;0,2,1))))))</f>
        <v/>
      </c>
    </row>
    <row r="52">
      <c r="A52" s="55" t="inlineStr">
        <is>
          <t>Màu đèn (0-4)</t>
        </is>
      </c>
      <c r="B52" s="61">
        <f>IF($B$51=0,0,IF($B$51=9,4,IF($B$51=5,3,IF(OR($B$51=4,$B$51=3,$B$51=2),2,1))))</f>
        <v/>
      </c>
      <c r="C52" s="63">
        <f>IF($B$52=3,"🔴",IF($B$52=2,"🟡",IF($B$52=1,"🟢",IF($B$52=4,"⏳","⚪"))))</f>
        <v/>
      </c>
    </row>
    <row r="53">
      <c r="A53" s="55" t="inlineStr">
        <is>
          <t>Câu kết luận</t>
        </is>
      </c>
      <c r="B53" s="55">
        <f>$B$56&amp;IF($B$51=0,"Chưa đủ dữ liệu để kết luận. Chị nhập vài khoản thu – chi, bảng sẽ tự phân tích.",IF($B$51=9,IF(OR($B$48=4,$B$48=5),"Kết quả tạm tính — có dấu hiệu cần kiểm tra ở phần tiền gói. Bấm Tương đối đầy đủ để xem kết luận chính thức.","Kết quả tạm tính — chị chưa xác nhận đã nhập đủ thu và chi tháng này."),IF($B$51=5,"Phần lớn tiền trong két có thể là của khách trả trước — spa đang có nguy cơ tiêu vào tiền gói ở mức cao.",IF($B$51=4,"Một phần tiền trong két là của khách trả trước cho dịch vụ chưa làm — cần chú ý.",IF($B$51=3,"Chưa đánh giá được phần tiền gói vì chưa đủ dữ liệu gói.",IF($B$51=2,"Tháng này chi nhiều hơn thu — tiền trong két đang vơi đi.","Tháng này thu nhiều hơn chi và chưa thấy dấu hiệu rủi ro tiền gói."))))))</f>
        <v/>
      </c>
    </row>
    <row r="54">
      <c r="A54" s="55" t="inlineStr">
        <is>
          <t>Việc nên làm</t>
        </is>
      </c>
      <c r="B54" s="55">
        <f>IF($B$51=0,"Nhập vài khoản thu và chi trong tháng để bắt đầu.",IF($B$51=9,"Bổ sung các khoản còn thiếu rồi bấm Tương đối đầy đủ để xem kết luận chính thức.",IF($B$51=5,"Kiểm tra lại các gói chưa hoàn thành và hạn chế dùng phần tiền này cho những khoản chi chưa cần thiết.",IF($B$51=4,"Kiểm tra các gói chưa hoàn thành, tránh dùng phần tiền này cho khoản chi chưa cần thiết.",IF($B$51=3,"Cập nhật giá trị dịch vụ gói đã làm trong tuần để đánh giá phần tiền gói.",IF($B$51=2,"Rà lại vài khoản chi lớn trong tháng để cân đối lại thu – chi.","Giữ nhịp ghi chép đều để theo dõi tháng sau."))))))</f>
        <v/>
      </c>
    </row>
    <row r="55">
      <c r="A55" s="55" t="inlineStr">
        <is>
          <t>Câu mồi</t>
        </is>
      </c>
      <c r="B55" s="55">
        <f>IF($B$39=0,"","ℹ️ Tiền còn trong két và lãi từ dịch vụ là hai việc khác nhau. Muốn biết spa có THẬT SỰ lãi không, xem bản Chẩn Đoán Sức Khỏe Spa.")</f>
        <v/>
      </c>
    </row>
    <row r="56">
      <c r="A56" s="55" t="inlineStr">
        <is>
          <t>Câu cảnh báo nhập</t>
        </is>
      </c>
      <c r="B56" s="64">
        <f>IF($B$40&gt;0,"⚠️ Có "&amp;$B$40&amp;" dòng chọn nhầm tiêu đề nhóm (bị bỏ qua) — chọn lại hạng mục cụ thể. ","")&amp;IF($B$41&gt;=1900,"⚠️ Sắp đầy 2000 dòng — tạo bản sao mới. ","")</f>
        <v/>
      </c>
    </row>
    <row r="57">
      <c r="A57" s="55" t="inlineStr">
        <is>
          <t>Ước tính phần chưa bảo đảm</t>
        </is>
      </c>
      <c r="B57" s="55">
        <f>IF(OR($B$48=4,$B$48=5),"~"&amp;TEXT(MAX(0,$B$37-$B$36),"#,##0")&amp;" đ (ước tính thận trọng, không phải số dư kế toán)","")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2026-07-18T04:34:28Z</dcterms:created>
  <dcterms:modified xmlns:dcterms="http://purl.org/dc/terms/" xmlns:xsi="http://www.w3.org/2001/XMLSchema-instance" xsi:type="dcterms:W3CDTF">2026-07-21T10:30:54Z</dcterms:modified>
</cp:coreProperties>
</file>