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SPA ĐANG GIỮ KHÁCH THẾ NÀO" sheetId="1" state="visible" r:id="rId1"/>
    <sheet xmlns:r="http://schemas.openxmlformats.org/officeDocument/2006/relationships" name="1. SỔ KHÁCH" sheetId="2" state="visible" r:id="rId2"/>
    <sheet xmlns:r="http://schemas.openxmlformats.org/officeDocument/2006/relationships" name="2. KHÁCH CẦN CHĂM SÓC HÔM NAY" sheetId="3" state="visible" r:id="rId3"/>
    <sheet xmlns:r="http://schemas.openxmlformats.org/officeDocument/2006/relationships" name="3. HƯỚNG DẪN" sheetId="4" state="visible" r:id="rId4"/>
    <sheet xmlns:r="http://schemas.openxmlformats.org/officeDocument/2006/relationships" name="4. CÀI ĐẶT" sheetId="5" state="hidden" r:id="rId5"/>
  </sheets>
  <definedNames>
    <definedName name="_xlnm._FilterDatabase" localSheetId="1" hidden="1">'1. SỔ KHÁCH'!$A$4:$J$504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Calibri"/>
      <b val="1"/>
      <color rgb="003E3A32"/>
      <sz val="18"/>
    </font>
    <font>
      <name val="Calibri"/>
      <i val="1"/>
      <color rgb="006B6455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2B2822"/>
      <sz val="11"/>
    </font>
    <font>
      <name val="Calibri"/>
      <b val="1"/>
      <color rgb="002B2822"/>
      <sz val="11"/>
    </font>
    <font>
      <name val="Calibri"/>
      <b val="1"/>
      <color rgb="003E3A32"/>
      <sz val="14"/>
    </font>
    <font>
      <name val="Calibri"/>
      <b val="1"/>
      <color rgb="007A3E12"/>
      <sz val="12"/>
    </font>
    <font>
      <name val="Calibri"/>
      <b val="1"/>
      <color rgb="007A3E12"/>
      <sz val="11"/>
    </font>
    <font>
      <name val="Calibri"/>
      <i val="1"/>
      <color rgb="006B6455"/>
      <sz val="10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A4438"/>
      </patternFill>
    </fill>
    <fill>
      <patternFill patternType="solid">
        <fgColor rgb="00C8A44B"/>
      </patternFill>
    </fill>
    <fill>
      <patternFill patternType="solid">
        <fgColor rgb="00FFF6D9"/>
      </patternFill>
    </fill>
    <fill>
      <patternFill patternType="solid">
        <fgColor rgb="00FBF7EF"/>
      </patternFill>
    </fill>
    <fill>
      <patternFill patternType="solid">
        <fgColor rgb="00F6E6BE"/>
      </patternFill>
    </fill>
  </fills>
  <borders count="6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left/>
      <right/>
      <top style="thin">
        <color rgb="00D8D2C4"/>
      </top>
      <bottom/>
      <diagonal/>
    </border>
    <border>
      <left/>
      <right style="thin">
        <color rgb="00D8D2C4"/>
      </right>
      <top style="thin">
        <color rgb="00D8D2C4"/>
      </top>
      <bottom/>
      <diagonal/>
    </border>
    <border>
      <left/>
      <right style="thin">
        <color rgb="00D8D2C4"/>
      </right>
      <top style="thin">
        <color rgb="00D8D2C4"/>
      </top>
      <bottom style="thin">
        <color rgb="00D8D2C4"/>
      </bottom>
      <diagonal/>
    </border>
    <border>
      <left/>
      <right/>
      <top style="thin">
        <color rgb="00D8D2C4"/>
      </top>
      <bottom style="thin">
        <color rgb="00D8D2C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5" borderId="1" applyAlignment="1" pivotButton="0" quotePrefix="0" xfId="0">
      <alignment vertical="center" wrapText="1"/>
    </xf>
    <xf numFmtId="0" fontId="0" fillId="0" borderId="5" pivotButton="0" quotePrefix="0" xfId="0"/>
    <xf numFmtId="0" fontId="5" fillId="0" borderId="0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1" fillId="2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40" customWidth="1" min="3" max="3"/>
    <col width="22" customWidth="1" min="4" max="4"/>
  </cols>
  <sheetData>
    <row r="1" ht="30" customHeight="1">
      <c r="A1" s="1" t="inlineStr">
        <is>
          <t>🎁 7 VIỆC GIỮ KHÁCH QUAY LẠI VỚI SPA</t>
        </is>
      </c>
    </row>
    <row r="2">
      <c r="A2" s="2" t="inlineStr">
        <is>
          <t>Xem khách đang thuộc về spa chị — hay thuộc về trí nhớ của một người   ·   Đàm Thanh Hoa</t>
        </is>
      </c>
    </row>
    <row r="4" ht="24" customHeight="1">
      <c r="A4" s="3" t="inlineStr">
        <is>
          <t>BƯỚC 1 — TRẢ LỜI 7 CÂU (5 PHÚT)      Chọn ở cột B. Nếu chọn “Có” thì chọn tiếp cột C.</t>
        </is>
      </c>
    </row>
    <row r="5" ht="30" customHeight="1">
      <c r="A5" s="4" t="inlineStr">
        <is>
          <t>7 việc giữ khách quay lại</t>
        </is>
      </c>
      <c r="B5" s="4" t="inlineStr">
        <is>
          <t>Spa chị có làm không?</t>
        </is>
      </c>
      <c r="C5" s="4" t="inlineStr">
        <is>
          <t>Việc này đang được làm thế nào?</t>
        </is>
      </c>
      <c r="D5" s="4" t="inlineStr">
        <is>
          <t>Kết quả</t>
        </is>
      </c>
    </row>
    <row r="6" ht="42" customHeight="1">
      <c r="A6" s="5" t="inlineStr">
        <is>
          <t>1. SỔ KHÁCH — Spa chị có chỗ ghi lại từng khách: tên, số điện thoại, lần trước làm gì, da thế nào, thích gì không?</t>
        </is>
      </c>
      <c r="B6" s="6" t="inlineStr">
        <is>
          <t>Có</t>
        </is>
      </c>
      <c r="C6" s="7" t="inlineStr">
        <is>
          <t>Chưa ghi lại — chỉ một người nhớ rồi làm</t>
        </is>
      </c>
      <c r="D6" s="8">
        <f>IF(B6="","⚪ Chưa trả lời",IF(B6="Chưa","🔴 SPA CHƯA LÀM VIỆC GIỮ KHÁCH NÀY",IF(C6="","⚪ Chọn nốt cột C",IF(C6="Đã thành quy trình — có ghi lại, ai làm cũng theo được","🟢 CÓ QUY TRÌNH — AI LÀM CŨNG ĐƯỢC","🟡 CÓ LÀM — NHƯNG PHỤ THUỘC TRÍ NHỚ MỘT NGƯỜI"))))</f>
        <v/>
      </c>
    </row>
    <row r="7" ht="42" customHeight="1">
      <c r="A7" s="5" t="inlineStr">
        <is>
          <t>2. CHỐT LỊCH HẸN LẦN SAU — Trước khi khách bước ra khỏi cửa, spa có hẹn luôn ngày quay lại cho khách không?</t>
        </is>
      </c>
      <c r="B7" s="6" t="inlineStr">
        <is>
          <t>Chưa</t>
        </is>
      </c>
      <c r="C7" s="7" t="inlineStr"/>
      <c r="D7" s="8">
        <f>IF(B7="","⚪ Chưa trả lời",IF(B7="Chưa","🔴 SPA CHƯA LÀM VIỆC GIỮ KHÁCH NÀY",IF(C7="","⚪ Chọn nốt cột C",IF(C7="Đã thành quy trình — có ghi lại, ai làm cũng theo được","🟢 CÓ QUY TRÌNH — AI LÀM CŨNG ĐƯỢC","🟡 CÓ LÀM — NHƯNG PHỤ THUỘC TRÍ NHỚ MỘT NGƯỜI"))))</f>
        <v/>
      </c>
    </row>
    <row r="8" ht="42" customHeight="1">
      <c r="A8" s="5" t="inlineStr">
        <is>
          <t>3. CHĂM SÓC SAU DỊCH VỤ — Một hai ngày sau khi khách làm xong, có ai nhắn hỏi da khách ổn không?</t>
        </is>
      </c>
      <c r="B8" s="6" t="inlineStr">
        <is>
          <t>Có</t>
        </is>
      </c>
      <c r="C8" s="7" t="inlineStr">
        <is>
          <t>Chưa ghi lại — chỉ một người nhớ rồi làm</t>
        </is>
      </c>
      <c r="D8" s="8">
        <f>IF(B8="","⚪ Chưa trả lời",IF(B8="Chưa","🔴 SPA CHƯA LÀM VIỆC GIỮ KHÁCH NÀY",IF(C8="","⚪ Chọn nốt cột C",IF(C8="Đã thành quy trình — có ghi lại, ai làm cũng theo được","🟢 CÓ QUY TRÌNH — AI LÀM CŨNG ĐƯỢC","🟡 CÓ LÀM — NHƯNG PHỤ THUỘC TRÍ NHỚ MỘT NGƯỜI"))))</f>
        <v/>
      </c>
    </row>
    <row r="9" ht="42" customHeight="1">
      <c r="A9" s="5" t="inlineStr">
        <is>
          <t>4. NHẮC KHÁCH TỚI KỲ CHĂM SÓC TIẾP — Tới kỳ khách cần quay lại, có ai nhắc khách — hay đợi khách tự nhớ?</t>
        </is>
      </c>
      <c r="B9" s="6" t="inlineStr">
        <is>
          <t>Chưa</t>
        </is>
      </c>
      <c r="C9" s="7" t="inlineStr"/>
      <c r="D9" s="8">
        <f>IF(B9="","⚪ Chưa trả lời",IF(B9="Chưa","🔴 SPA CHƯA LÀM VIỆC GIỮ KHÁCH NÀY",IF(C9="","⚪ Chọn nốt cột C",IF(C9="Đã thành quy trình — có ghi lại, ai làm cũng theo được","🟢 CÓ QUY TRÌNH — AI LÀM CŨNG ĐƯỢC","🟡 CÓ LÀM — NHƯNG PHỤ THUỘC TRÍ NHỚ MỘT NGƯỜI"))))</f>
        <v/>
      </c>
    </row>
    <row r="10" ht="42" customHeight="1">
      <c r="A10" s="5" t="inlineStr">
        <is>
          <t>5. NHỚ THÔNG TIN KHÁCH KHI HỌ QUAY LẠI — Khách quay lại, người đón có biết lần trước khách làm gì, kiêng gì — dù hôm đó chị không có mặt?</t>
        </is>
      </c>
      <c r="B10" s="6" t="inlineStr">
        <is>
          <t>Có</t>
        </is>
      </c>
      <c r="C10" s="7" t="inlineStr">
        <is>
          <t>Chưa ghi lại — chỉ một người nhớ rồi làm</t>
        </is>
      </c>
      <c r="D10" s="8">
        <f>IF(B10="","⚪ Chưa trả lời",IF(B10="Chưa","🔴 SPA CHƯA LÀM VIỆC GIỮ KHÁCH NÀY",IF(C10="","⚪ Chọn nốt cột C",IF(C10="Đã thành quy trình — có ghi lại, ai làm cũng theo được","🟢 CÓ QUY TRÌNH — AI LÀM CŨNG ĐƯỢC","🟡 CÓ LÀM — NHƯNG PHỤ THUỘC TRÍ NHỚ MỘT NGƯỜI"))))</f>
        <v/>
      </c>
    </row>
    <row r="11" ht="42" customHeight="1">
      <c r="A11" s="5" t="inlineStr">
        <is>
          <t>6. CHÚC MỪNG DỊP ĐẶC BIỆT CỦA KHÁCH — Sinh nhật khách hoặc dịp riêng của khách, spa có lời chúc nào mà không kèm bán gì không?</t>
        </is>
      </c>
      <c r="B11" s="6" t="inlineStr">
        <is>
          <t>Có</t>
        </is>
      </c>
      <c r="C11" s="7" t="inlineStr">
        <is>
          <t>Đã thành quy trình — có ghi lại, ai làm cũng theo được</t>
        </is>
      </c>
      <c r="D11" s="8">
        <f>IF(B11="","⚪ Chưa trả lời",IF(B11="Chưa","🔴 SPA CHƯA LÀM VIỆC GIỮ KHÁCH NÀY",IF(C11="","⚪ Chọn nốt cột C",IF(C11="Đã thành quy trình — có ghi lại, ai làm cũng theo được","🟢 CÓ QUY TRÌNH — AI LÀM CŨNG ĐƯỢC","🟡 CÓ LÀM — NHƯNG PHỤ THUỘC TRÍ NHỚ MỘT NGƯỜI"))))</f>
        <v/>
      </c>
    </row>
    <row r="12" ht="42" customHeight="1">
      <c r="A12" s="5" t="inlineStr">
        <is>
          <t>7. THEO DÕI TỶ LỆ KHÁCH QUAY LẠI — Cuối tháng chị có biết trong 20 khách gần nhất, bao nhiêu người đã quay lại không?</t>
        </is>
      </c>
      <c r="B12" s="6" t="inlineStr">
        <is>
          <t>Chưa</t>
        </is>
      </c>
      <c r="C12" s="7" t="inlineStr"/>
      <c r="D12" s="8">
        <f>IF(B12="","⚪ Chưa trả lời",IF(B12="Chưa","🔴 SPA CHƯA LÀM VIỆC GIỮ KHÁCH NÀY",IF(C12="","⚪ Chọn nốt cột C",IF(C12="Đã thành quy trình — có ghi lại, ai làm cũng theo được","🟢 CÓ QUY TRÌNH — AI LÀM CŨNG ĐƯỢC","🟡 CÓ LÀM — NHƯNG PHỤ THUỘC TRÍ NHỚ MỘT NGƯỜI"))))</f>
        <v/>
      </c>
    </row>
    <row r="14" ht="24" customHeight="1">
      <c r="A14" s="3" t="inlineStr">
        <is>
          <t>BƯỚC 2 — SPA CHỊ ĐANG GIỮ ĐƯỢC KHÁCH TỚI ĐÂU?</t>
        </is>
      </c>
    </row>
    <row r="15">
      <c r="A15" s="4" t="inlineStr">
        <is>
          <t>Chỉ số</t>
        </is>
      </c>
      <c r="B15" s="4" t="inlineStr">
        <is>
          <t>Con số</t>
        </is>
      </c>
      <c r="C15" s="4" t="inlineStr">
        <is>
          <t>Nghĩa là gì</t>
        </is>
      </c>
      <c r="D15" s="4" t="inlineStr"/>
    </row>
    <row r="16" ht="40" customHeight="1">
      <c r="A16" s="9" t="inlineStr">
        <is>
          <t>① Số việc giữ khách đã có quy trình</t>
        </is>
      </c>
      <c r="B16" s="10">
        <f>IF('4. CÀI ĐẶT'!$B$5&lt;7,"⚪",IF('4. CÀI ĐẶT'!$B$2&lt;=2,"🔴",IF('4. CÀI ĐẶT'!$B$2&lt;=4,"🟡","🟢"))&amp;" "&amp;'4. CÀI ĐẶT'!$B$2&amp;"/7")</f>
        <v/>
      </c>
      <c r="C16" s="5">
        <f>IF('4. CÀI ĐẶT'!$B$5&lt;7,"Chưa đủ để kết luận — chị còn "&amp;'4. CÀI ĐẶT'!$B$6&amp;" câu chưa trả lời.",IF('4. CÀI ĐẶT'!$B$2=0,"Chưa việc giữ khách nào có quy trình — việc gì cũng phải nhớ rồi mới làm.",'4. CÀI ĐẶT'!$B$2&amp;" việc giữ khách đã có quy trình — có ghi lại, ai làm cũng theo được."))</f>
        <v/>
      </c>
      <c r="D16" s="11" t="n"/>
    </row>
    <row r="17" ht="40" customHeight="1">
      <c r="A17" s="9" t="inlineStr">
        <is>
          <t>② Số việc đang phụ thuộc trí nhớ một người</t>
        </is>
      </c>
      <c r="B17" s="10">
        <f>IF('4. CÀI ĐẶT'!$B$5&lt;7,"⚪",IF('4. CÀI ĐẶT'!$B$3=0,"🟢",IF('4. CÀI ĐẶT'!$B$3&lt;=2,"🟡","🔴"))&amp;" "&amp;'4. CÀI ĐẶT'!$B$3&amp;"/7")</f>
        <v/>
      </c>
      <c r="C17" s="5">
        <f>IF('4. CÀI ĐẶT'!$B$5&lt;7,"Chưa đủ để kết luận.",IF('4. CÀI ĐẶT'!$B$3=0,"Không việc nào phải phụ thuộc trí nhớ của một người.",'4. CÀI ĐẶT'!$B$3&amp;" việc đang phụ thuộc trí nhớ một người — người đó nghỉ, khách đi theo."))</f>
        <v/>
      </c>
      <c r="D17" s="11" t="n"/>
    </row>
    <row r="18" ht="40" customHeight="1">
      <c r="A18" s="9" t="inlineStr">
        <is>
          <t>③ Số việc giữ khách spa chưa làm</t>
        </is>
      </c>
      <c r="B18" s="10">
        <f>IF('4. CÀI ĐẶT'!$B$5&lt;7,"⚪",IF('4. CÀI ĐẶT'!$B$4&lt;=1,"🟢",IF('4. CÀI ĐẶT'!$B$4&lt;=3,"🟡","🔴"))&amp;" "&amp;'4. CÀI ĐẶT'!$B$4&amp;"/7")</f>
        <v/>
      </c>
      <c r="C18" s="5">
        <f>IF('4. CÀI ĐẶT'!$B$5&lt;7,"Chưa đủ để kết luận.",IF('4. CÀI ĐẶT'!$B$4=0,"Bảy việc giữ khách spa đều đã làm — khách luôn có lý do quay lại.",'4. CÀI ĐẶT'!$B$4&amp;" việc giữ khách spa chưa làm — ở những chỗ này khách chưa có lý do nào để quay lại."))</f>
        <v/>
      </c>
      <c r="D18" s="11" t="n"/>
    </row>
    <row r="19" ht="40" customHeight="1">
      <c r="A19" s="9" t="inlineStr">
        <is>
          <t>④ Khách của spa chị đang thuộc về ai?</t>
        </is>
      </c>
      <c r="B19" s="10">
        <f>IF('4. CÀI ĐẶT'!$B$5&lt;7,"⚪",IF(OR('4. CÀI ĐẶT'!$B$4&gt;=4,'4. CÀI ĐẶT'!$B$3&gt;='4. CÀI ĐẶT'!$B$2),"🔴",IF(AND('4. CÀI ĐẶT'!$B$2&gt;=5,'4. CÀI ĐẶT'!$B$3=0),"🟢","🟡")))</f>
        <v/>
      </c>
      <c r="C19" s="5">
        <f>IF('4. CÀI ĐẶT'!$B$5&lt;7,"Chưa đủ để kết luận — chị trả lời nốt "&amp;'4. CÀI ĐẶT'!$B$6&amp;" câu ở BƯỚC 1.",IF('4. CÀI ĐẶT'!$B$4&gt;=4,"Spa chị chưa làm mấy việc giữ chân khách — làm xong buổi là đứt liên lạc.",IF('4. CÀI ĐẶT'!$B$3&gt;='4. CÀI ĐẶT'!$B$2,"Khách của spa chị đang thuộc về người làm, chưa thuộc về spa.",IF(AND('4. CÀI ĐẶT'!$B$2&gt;=5,'4. CÀI ĐẶT'!$B$3=0),"Khách của spa chị đang thuộc về spa — việc nằm trong sổ sách và quy trình, không nằm trong trí nhớ ai.","Spa chị giữ được một phần — vẫn còn việc phụ thuộc trí nhớ, hoặc chưa làm bao giờ."))))</f>
        <v/>
      </c>
      <c r="D19" s="11" t="n"/>
    </row>
    <row r="21" ht="24" customHeight="1">
      <c r="A21" s="3" t="inlineStr">
        <is>
          <t>BƯỚC 3 — MỘT VIỆC LÀM NGAY</t>
        </is>
      </c>
    </row>
    <row r="22" ht="60" customHeight="1">
      <c r="A22" s="12">
        <f>IF('4. CÀI ĐẶT'!$B$5&lt;7,"Chị trả lời nốt "&amp;'4. CÀI ĐẶT'!$B$6&amp;" câu ở BƯỚC 1 (còn ô trống ở cột B, hoặc đã chọn Có mà chưa chọn cột C) để bảng chỉ ra việc cần làm trước.",IF(B6="Chưa","LẬP SỔ KHÁCH: mở sheet 1. SỔ KHÁCH, chép 20 khách gần nhất vào đó. Chưa có sổ thì 6 việc còn lại không giữ được khách.",IF(C6="Chưa ghi lại — chỉ một người nhớ rồi làm","CHUYỂN SỔ KHÁCH VỀ CHỖ CHUNG CỦA SPA: hôm nay chép 20 khách gần nhất sang sheet 1. SỔ KHÁCH. Khách nằm trong điện thoại riêng của ai thì đang thuộc về người đó.",IF(B7="Chưa","CHỐT LỊCH HẸN LẦN SAU: từ mai, trước khi khách ra về thì hẹn luôn ngày quay lại và ghi vào sổ. Đây là việc rẻ nhất mà giữ khách chắc nhất.",IF(B9="Chưa","NHẮC KHÁCH TỚI KỲ: mở sheet 2. KHÁCH CẦN CHĂM SÓC HÔM NAY, xem ai đã tới kỳ rồi nhắn cho 3 người đầu tiên.",IF(B8="Chưa","CHĂM SÓC SAU DỊCH VỤ: chọn 5 khách vừa làm trong 2 ngày qua, nhắn hỏi da khách có ổn không — không bán gì thêm.",IF(B10="Chưa","GHI CHÚ RIÊNG CỦA KHÁCH: sau mỗi buổi làm ghi 1 dòng ""khách thích gì, kiêng gì"" vào sổ, để ai đón khách cũng nhớ thay chị.",IF(B12="Chưa","ĐẾM KHÁCH QUAY LẠI: xem 20 khách gần nhất bao nhiêu người đã quay lại. Sheet 2. KHÁCH CẦN CHĂM SÓC HÔM NAY tự đếm giúp chị.",IF(B11="Chưa","CHÚC MỪNG DỊP ĐẶC BIỆT: ghi ngày sinh khách vào sổ, tháng này chọn 3 người gửi lời chúc — không kèm bán gì.","Bảy việc giữ khách đều đã có quy trình. Giữ nếp, và chuyển sang sheet 1. SỔ KHÁCH để dùng thật hằng ngày.")))))))))</f>
        <v/>
      </c>
      <c r="B22" s="13" t="n"/>
      <c r="C22" s="13" t="n"/>
      <c r="D22" s="11" t="n"/>
    </row>
    <row r="24" ht="34" customHeight="1">
      <c r="A24" s="14" t="inlineStr">
        <is>
          <t>Bước tiếp theo: mở sheet 「1. SỔ KHÁCH」 và chép 20 khách gần nhất vào đó. Sheet 「2. KHÁCH CẦN CHĂM SÓC HÔM NAY」 sẽ tự nhắc chị mỗi ngày cần chăm khách nào — đó là lúc 7 việc này chạy bằng sổ sách, không còn chạy bằng trí nhớ.</t>
        </is>
      </c>
    </row>
    <row r="26" ht="32" customHeight="1">
      <c r="A26" s="15" t="inlineStr">
        <is>
          <t>Muốn biết vì sao khách không quay lại và phải sửa từ đâu → Chẩn Đoán Sức Khỏe Spa cùng Đàm Thanh Hoa. [Chị dán link/QR vào đây trước khi gửi khách]</t>
        </is>
      </c>
      <c r="B26" s="13" t="n"/>
      <c r="C26" s="13" t="n"/>
      <c r="D26" s="11" t="n"/>
    </row>
  </sheetData>
  <mergeCells count="12">
    <mergeCell ref="A1:D1"/>
    <mergeCell ref="C16:D16"/>
    <mergeCell ref="A22:D22"/>
    <mergeCell ref="A4:D4"/>
    <mergeCell ref="A26:D26"/>
    <mergeCell ref="C19:D19"/>
    <mergeCell ref="A21:D21"/>
    <mergeCell ref="A24:D24"/>
    <mergeCell ref="A2:D2"/>
    <mergeCell ref="C18:D18"/>
    <mergeCell ref="C17:D17"/>
    <mergeCell ref="A14:D14"/>
  </mergeCells>
  <dataValidations count="2">
    <dataValidation sqref="B6:B12" showDropDown="0" showInputMessage="0" showErrorMessage="0" allowBlank="1" type="list">
      <formula1>"Có,Chưa"</formula1>
    </dataValidation>
    <dataValidation sqref="C6:C12" showDropDown="0" showInputMessage="0" showErrorMessage="0" allowBlank="1" type="list">
      <formula1>"Đã thành quy trình — có ghi lại, ai làm cũng theo được,Chưa ghi lại — chỉ một người nhớ rồi làm"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7" customWidth="1" min="3" max="3"/>
    <col width="24" customWidth="1" min="4" max="4"/>
    <col width="34" customWidth="1" min="5" max="5"/>
    <col width="14" customWidth="1" min="6" max="6"/>
    <col width="16" customWidth="1" min="7" max="7"/>
    <col width="17" customWidth="1" min="8" max="8"/>
    <col width="17" customWidth="1" min="9" max="9"/>
    <col width="26" customWidth="1" min="10" max="10"/>
  </cols>
  <sheetData>
    <row r="1" ht="28" customHeight="1">
      <c r="A1" s="1" t="inlineStr">
        <is>
          <t>1. SỔ KHÁCH — nơi khách thuộc về spa, không thuộc về trí nhớ ai</t>
        </is>
      </c>
    </row>
    <row r="2">
      <c r="A2" s="2" t="inlineStr">
        <is>
          <t>Mỗi khách một dòng. Chép 20 khách gần nhất vào trước, sau đó mỗi buổi làm xong ghi thêm 1 dòng (hoặc sửa dòng cũ). Cột J tự chạy — chị không gõ vào cột J.</t>
        </is>
      </c>
    </row>
    <row r="4" ht="34" customHeight="1">
      <c r="A4" s="4" t="inlineStr">
        <is>
          <t>Tên khách</t>
        </is>
      </c>
      <c r="B4" s="4" t="inlineStr">
        <is>
          <t>Số điện thoại</t>
        </is>
      </c>
      <c r="C4" s="4" t="inlineStr">
        <is>
          <t>Ngày làm gần nhất</t>
        </is>
      </c>
      <c r="D4" s="4" t="inlineStr">
        <is>
          <t>Dịch vụ đã làm</t>
        </is>
      </c>
      <c r="E4" s="4" t="inlineStr">
        <is>
          <t>Khách thích / kiêng gì (ghi 1 dòng)</t>
        </is>
      </c>
      <c r="F4" s="4" t="inlineStr">
        <is>
          <t>Số lần khách đã tới</t>
        </is>
      </c>
      <c r="G4" s="4" t="inlineStr">
        <is>
          <t>Chu kỳ nên quay lại (ngày)</t>
        </is>
      </c>
      <c r="H4" s="4" t="inlineStr">
        <is>
          <t>Đã hỏi thăm sau buổi?</t>
        </is>
      </c>
      <c r="I4" s="4" t="inlineStr">
        <is>
          <t>Đã hẹn ngày quay lại</t>
        </is>
      </c>
      <c r="J4" s="4" t="inlineStr">
        <is>
          <t>Tình trạng khách (bảng tự chạy)</t>
        </is>
      </c>
    </row>
    <row r="5">
      <c r="A5" s="16" t="inlineStr">
        <is>
          <t>Chị Lan</t>
        </is>
      </c>
      <c r="B5" s="16" t="inlineStr">
        <is>
          <t>0901 234 567</t>
        </is>
      </c>
      <c r="C5" s="17">
        <f>TODAY()-1</f>
        <v/>
      </c>
      <c r="D5" s="18" t="inlineStr">
        <is>
          <t>Chăm sóc da cơ bản</t>
        </is>
      </c>
      <c r="E5" s="18" t="inlineStr">
        <is>
          <t>Da nhạy cảm, không dùng máy nóng</t>
        </is>
      </c>
      <c r="F5" s="16" t="n">
        <v>3</v>
      </c>
      <c r="G5" s="16" t="n">
        <v>30</v>
      </c>
      <c r="H5" s="16" t="inlineStr">
        <is>
          <t>Chưa</t>
        </is>
      </c>
      <c r="I5" s="17" t="n"/>
      <c r="J5" s="19">
        <f>IF($A5="","",IF($C5="","⚠️ Thiếu ngày làm gần nhất",IF(AND(TODAY()-$C5&lt;=2,$H5&lt;&gt;"Có"),"💬 Cần nhắn hỏi thăm",IF(AND($I5&lt;&gt;"",$I5&gt;=TODAY()),"📅 Đã hẹn "&amp;TEXT($I5,"dd/mm"),IF(TODAY()-$C5&gt;=2*IF($G5="",30,$G5),"🔴 Lâu rồi chưa quay lại",IF(TODAY()-$C5&gt;=IF($G5="",30,$G5),"🟡 Tới kỳ chăm sóc tiếp","🟢 Chưa tới kỳ — chưa cần làm gì"))))))</f>
        <v/>
      </c>
    </row>
    <row r="6">
      <c r="A6" s="16" t="inlineStr">
        <is>
          <t>Chị Hương</t>
        </is>
      </c>
      <c r="B6" s="16" t="inlineStr">
        <is>
          <t>0902 345 678</t>
        </is>
      </c>
      <c r="C6" s="17">
        <f>TODAY()-10</f>
        <v/>
      </c>
      <c r="D6" s="18" t="inlineStr">
        <is>
          <t>Triệt lông</t>
        </is>
      </c>
      <c r="E6" s="18" t="inlineStr">
        <is>
          <t>Thích phòng yên tĩnh, hay tới buổi tối</t>
        </is>
      </c>
      <c r="F6" s="16" t="n">
        <v>2</v>
      </c>
      <c r="G6" s="16" t="n">
        <v>21</v>
      </c>
      <c r="H6" s="16" t="inlineStr">
        <is>
          <t>Có</t>
        </is>
      </c>
      <c r="I6" s="17">
        <f>TODAY()+4</f>
        <v/>
      </c>
      <c r="J6" s="19">
        <f>IF($A6="","",IF($C6="","⚠️ Thiếu ngày làm gần nhất",IF(AND(TODAY()-$C6&lt;=2,$H6&lt;&gt;"Có"),"💬 Cần nhắn hỏi thăm",IF(AND($I6&lt;&gt;"",$I6&gt;=TODAY()),"📅 Đã hẹn "&amp;TEXT($I6,"dd/mm"),IF(TODAY()-$C6&gt;=2*IF($G6="",30,$G6),"🔴 Lâu rồi chưa quay lại",IF(TODAY()-$C6&gt;=IF($G6="",30,$G6),"🟡 Tới kỳ chăm sóc tiếp","🟢 Chưa tới kỳ — chưa cần làm gì"))))))</f>
        <v/>
      </c>
    </row>
    <row r="7">
      <c r="A7" s="16" t="inlineStr">
        <is>
          <t>Chị Ngọc</t>
        </is>
      </c>
      <c r="B7" s="16" t="inlineStr">
        <is>
          <t>0903 456 789</t>
        </is>
      </c>
      <c r="C7" s="17">
        <f>TODAY()-35</f>
        <v/>
      </c>
      <c r="D7" s="18" t="inlineStr">
        <is>
          <t>Trị mụn</t>
        </is>
      </c>
      <c r="E7" s="18" t="inlineStr">
        <is>
          <t>Sợ đau, làm nhẹ tay</t>
        </is>
      </c>
      <c r="F7" s="16" t="n">
        <v>1</v>
      </c>
      <c r="G7" s="16" t="n">
        <v>30</v>
      </c>
      <c r="H7" s="16" t="inlineStr">
        <is>
          <t>Có</t>
        </is>
      </c>
      <c r="I7" s="17" t="n"/>
      <c r="J7" s="19">
        <f>IF($A7="","",IF($C7="","⚠️ Thiếu ngày làm gần nhất",IF(AND(TODAY()-$C7&lt;=2,$H7&lt;&gt;"Có"),"💬 Cần nhắn hỏi thăm",IF(AND($I7&lt;&gt;"",$I7&gt;=TODAY()),"📅 Đã hẹn "&amp;TEXT($I7,"dd/mm"),IF(TODAY()-$C7&gt;=2*IF($G7="",30,$G7),"🔴 Lâu rồi chưa quay lại",IF(TODAY()-$C7&gt;=IF($G7="",30,$G7),"🟡 Tới kỳ chăm sóc tiếp","🟢 Chưa tới kỳ — chưa cần làm gì"))))))</f>
        <v/>
      </c>
    </row>
    <row r="8">
      <c r="A8" s="16" t="inlineStr">
        <is>
          <t>Chị Thu</t>
        </is>
      </c>
      <c r="B8" s="16" t="inlineStr">
        <is>
          <t>0904 567 890</t>
        </is>
      </c>
      <c r="C8" s="17">
        <f>TODAY()-75</f>
        <v/>
      </c>
      <c r="D8" s="18" t="inlineStr">
        <is>
          <t>Massage body</t>
        </is>
      </c>
      <c r="E8" s="18" t="inlineStr">
        <is>
          <t>Bận cuối tuần, chỉ đi được ngày thường</t>
        </is>
      </c>
      <c r="F8" s="16" t="n">
        <v>1</v>
      </c>
      <c r="G8" s="16" t="n">
        <v>30</v>
      </c>
      <c r="H8" s="16" t="inlineStr">
        <is>
          <t>Có</t>
        </is>
      </c>
      <c r="I8" s="17" t="n"/>
      <c r="J8" s="19">
        <f>IF($A8="","",IF($C8="","⚠️ Thiếu ngày làm gần nhất",IF(AND(TODAY()-$C8&lt;=2,$H8&lt;&gt;"Có"),"💬 Cần nhắn hỏi thăm",IF(AND($I8&lt;&gt;"",$I8&gt;=TODAY()),"📅 Đã hẹn "&amp;TEXT($I8,"dd/mm"),IF(TODAY()-$C8&gt;=2*IF($G8="",30,$G8),"🔴 Lâu rồi chưa quay lại",IF(TODAY()-$C8&gt;=IF($G8="",30,$G8),"🟡 Tới kỳ chăm sóc tiếp","🟢 Chưa tới kỳ — chưa cần làm gì"))))))</f>
        <v/>
      </c>
    </row>
    <row r="9">
      <c r="A9" s="16" t="inlineStr">
        <is>
          <t>Chị Mai</t>
        </is>
      </c>
      <c r="B9" s="16" t="inlineStr">
        <is>
          <t>0905 678 901</t>
        </is>
      </c>
      <c r="C9" s="17">
        <f>TODAY()-12</f>
        <v/>
      </c>
      <c r="D9" s="18" t="inlineStr">
        <is>
          <t>Chăm sóc da</t>
        </is>
      </c>
      <c r="E9" s="18" t="inlineStr">
        <is>
          <t>Thích tinh dầu sả chanh</t>
        </is>
      </c>
      <c r="F9" s="16" t="n">
        <v>4</v>
      </c>
      <c r="G9" s="16" t="n">
        <v>30</v>
      </c>
      <c r="H9" s="16" t="inlineStr">
        <is>
          <t>Có</t>
        </is>
      </c>
      <c r="I9" s="17" t="n"/>
      <c r="J9" s="19">
        <f>IF($A9="","",IF($C9="","⚠️ Thiếu ngày làm gần nhất",IF(AND(TODAY()-$C9&lt;=2,$H9&lt;&gt;"Có"),"💬 Cần nhắn hỏi thăm",IF(AND($I9&lt;&gt;"",$I9&gt;=TODAY()),"📅 Đã hẹn "&amp;TEXT($I9,"dd/mm"),IF(TODAY()-$C9&gt;=2*IF($G9="",30,$G9),"🔴 Lâu rồi chưa quay lại",IF(TODAY()-$C9&gt;=IF($G9="",30,$G9),"🟡 Tới kỳ chăm sóc tiếp","🟢 Chưa tới kỳ — chưa cần làm gì"))))))</f>
        <v/>
      </c>
    </row>
    <row r="10">
      <c r="A10" s="16" t="n"/>
      <c r="B10" s="16" t="n"/>
      <c r="C10" s="17" t="n"/>
      <c r="D10" s="18" t="n"/>
      <c r="E10" s="18" t="n"/>
      <c r="F10" s="16" t="n"/>
      <c r="G10" s="16" t="n"/>
      <c r="H10" s="16" t="n"/>
      <c r="I10" s="17" t="n"/>
      <c r="J10" s="19">
        <f>IF($A10="","",IF($C10="","⚠️ Thiếu ngày làm gần nhất",IF(AND(TODAY()-$C10&lt;=2,$H10&lt;&gt;"Có"),"💬 Cần nhắn hỏi thăm",IF(AND($I10&lt;&gt;"",$I10&gt;=TODAY()),"📅 Đã hẹn "&amp;TEXT($I10,"dd/mm"),IF(TODAY()-$C10&gt;=2*IF($G10="",30,$G10),"🔴 Lâu rồi chưa quay lại",IF(TODAY()-$C10&gt;=IF($G10="",30,$G10),"🟡 Tới kỳ chăm sóc tiếp","🟢 Chưa tới kỳ — chưa cần làm gì"))))))</f>
        <v/>
      </c>
    </row>
    <row r="11">
      <c r="A11" s="16" t="n"/>
      <c r="B11" s="16" t="n"/>
      <c r="C11" s="17" t="n"/>
      <c r="D11" s="18" t="n"/>
      <c r="E11" s="18" t="n"/>
      <c r="F11" s="16" t="n"/>
      <c r="G11" s="16" t="n"/>
      <c r="H11" s="16" t="n"/>
      <c r="I11" s="17" t="n"/>
      <c r="J11" s="19">
        <f>IF($A11="","",IF($C11="","⚠️ Thiếu ngày làm gần nhất",IF(AND(TODAY()-$C11&lt;=2,$H11&lt;&gt;"Có"),"💬 Cần nhắn hỏi thăm",IF(AND($I11&lt;&gt;"",$I11&gt;=TODAY()),"📅 Đã hẹn "&amp;TEXT($I11,"dd/mm"),IF(TODAY()-$C11&gt;=2*IF($G11="",30,$G11),"🔴 Lâu rồi chưa quay lại",IF(TODAY()-$C11&gt;=IF($G11="",30,$G11),"🟡 Tới kỳ chăm sóc tiếp","🟢 Chưa tới kỳ — chưa cần làm gì"))))))</f>
        <v/>
      </c>
    </row>
    <row r="12">
      <c r="A12" s="16" t="n"/>
      <c r="B12" s="16" t="n"/>
      <c r="C12" s="17" t="n"/>
      <c r="D12" s="18" t="n"/>
      <c r="E12" s="18" t="n"/>
      <c r="F12" s="16" t="n"/>
      <c r="G12" s="16" t="n"/>
      <c r="H12" s="16" t="n"/>
      <c r="I12" s="17" t="n"/>
      <c r="J12" s="19">
        <f>IF($A12="","",IF($C12="","⚠️ Thiếu ngày làm gần nhất",IF(AND(TODAY()-$C12&lt;=2,$H12&lt;&gt;"Có"),"💬 Cần nhắn hỏi thăm",IF(AND($I12&lt;&gt;"",$I12&gt;=TODAY()),"📅 Đã hẹn "&amp;TEXT($I12,"dd/mm"),IF(TODAY()-$C12&gt;=2*IF($G12="",30,$G12),"🔴 Lâu rồi chưa quay lại",IF(TODAY()-$C12&gt;=IF($G12="",30,$G12),"🟡 Tới kỳ chăm sóc tiếp","🟢 Chưa tới kỳ — chưa cần làm gì"))))))</f>
        <v/>
      </c>
    </row>
    <row r="13">
      <c r="A13" s="16" t="n"/>
      <c r="B13" s="16" t="n"/>
      <c r="C13" s="17" t="n"/>
      <c r="D13" s="18" t="n"/>
      <c r="E13" s="18" t="n"/>
      <c r="F13" s="16" t="n"/>
      <c r="G13" s="16" t="n"/>
      <c r="H13" s="16" t="n"/>
      <c r="I13" s="17" t="n"/>
      <c r="J13" s="19">
        <f>IF($A13="","",IF($C13="","⚠️ Thiếu ngày làm gần nhất",IF(AND(TODAY()-$C13&lt;=2,$H13&lt;&gt;"Có"),"💬 Cần nhắn hỏi thăm",IF(AND($I13&lt;&gt;"",$I13&gt;=TODAY()),"📅 Đã hẹn "&amp;TEXT($I13,"dd/mm"),IF(TODAY()-$C13&gt;=2*IF($G13="",30,$G13),"🔴 Lâu rồi chưa quay lại",IF(TODAY()-$C13&gt;=IF($G13="",30,$G13),"🟡 Tới kỳ chăm sóc tiếp","🟢 Chưa tới kỳ — chưa cần làm gì"))))))</f>
        <v/>
      </c>
    </row>
    <row r="14">
      <c r="A14" s="16" t="n"/>
      <c r="B14" s="16" t="n"/>
      <c r="C14" s="17" t="n"/>
      <c r="D14" s="18" t="n"/>
      <c r="E14" s="18" t="n"/>
      <c r="F14" s="16" t="n"/>
      <c r="G14" s="16" t="n"/>
      <c r="H14" s="16" t="n"/>
      <c r="I14" s="17" t="n"/>
      <c r="J14" s="19">
        <f>IF($A14="","",IF($C14="","⚠️ Thiếu ngày làm gần nhất",IF(AND(TODAY()-$C14&lt;=2,$H14&lt;&gt;"Có"),"💬 Cần nhắn hỏi thăm",IF(AND($I14&lt;&gt;"",$I14&gt;=TODAY()),"📅 Đã hẹn "&amp;TEXT($I14,"dd/mm"),IF(TODAY()-$C14&gt;=2*IF($G14="",30,$G14),"🔴 Lâu rồi chưa quay lại",IF(TODAY()-$C14&gt;=IF($G14="",30,$G14),"🟡 Tới kỳ chăm sóc tiếp","🟢 Chưa tới kỳ — chưa cần làm gì"))))))</f>
        <v/>
      </c>
    </row>
    <row r="15">
      <c r="A15" s="16" t="n"/>
      <c r="B15" s="16" t="n"/>
      <c r="C15" s="17" t="n"/>
      <c r="D15" s="18" t="n"/>
      <c r="E15" s="18" t="n"/>
      <c r="F15" s="16" t="n"/>
      <c r="G15" s="16" t="n"/>
      <c r="H15" s="16" t="n"/>
      <c r="I15" s="17" t="n"/>
      <c r="J15" s="19">
        <f>IF($A15="","",IF($C15="","⚠️ Thiếu ngày làm gần nhất",IF(AND(TODAY()-$C15&lt;=2,$H15&lt;&gt;"Có"),"💬 Cần nhắn hỏi thăm",IF(AND($I15&lt;&gt;"",$I15&gt;=TODAY()),"📅 Đã hẹn "&amp;TEXT($I15,"dd/mm"),IF(TODAY()-$C15&gt;=2*IF($G15="",30,$G15),"🔴 Lâu rồi chưa quay lại",IF(TODAY()-$C15&gt;=IF($G15="",30,$G15),"🟡 Tới kỳ chăm sóc tiếp","🟢 Chưa tới kỳ — chưa cần làm gì"))))))</f>
        <v/>
      </c>
    </row>
    <row r="16">
      <c r="A16" s="16" t="n"/>
      <c r="B16" s="16" t="n"/>
      <c r="C16" s="17" t="n"/>
      <c r="D16" s="18" t="n"/>
      <c r="E16" s="18" t="n"/>
      <c r="F16" s="16" t="n"/>
      <c r="G16" s="16" t="n"/>
      <c r="H16" s="16" t="n"/>
      <c r="I16" s="17" t="n"/>
      <c r="J16" s="19">
        <f>IF($A16="","",IF($C16="","⚠️ Thiếu ngày làm gần nhất",IF(AND(TODAY()-$C16&lt;=2,$H16&lt;&gt;"Có"),"💬 Cần nhắn hỏi thăm",IF(AND($I16&lt;&gt;"",$I16&gt;=TODAY()),"📅 Đã hẹn "&amp;TEXT($I16,"dd/mm"),IF(TODAY()-$C16&gt;=2*IF($G16="",30,$G16),"🔴 Lâu rồi chưa quay lại",IF(TODAY()-$C16&gt;=IF($G16="",30,$G16),"🟡 Tới kỳ chăm sóc tiếp","🟢 Chưa tới kỳ — chưa cần làm gì"))))))</f>
        <v/>
      </c>
    </row>
    <row r="17">
      <c r="A17" s="16" t="n"/>
      <c r="B17" s="16" t="n"/>
      <c r="C17" s="17" t="n"/>
      <c r="D17" s="18" t="n"/>
      <c r="E17" s="18" t="n"/>
      <c r="F17" s="16" t="n"/>
      <c r="G17" s="16" t="n"/>
      <c r="H17" s="16" t="n"/>
      <c r="I17" s="17" t="n"/>
      <c r="J17" s="19">
        <f>IF($A17="","",IF($C17="","⚠️ Thiếu ngày làm gần nhất",IF(AND(TODAY()-$C17&lt;=2,$H17&lt;&gt;"Có"),"💬 Cần nhắn hỏi thăm",IF(AND($I17&lt;&gt;"",$I17&gt;=TODAY()),"📅 Đã hẹn "&amp;TEXT($I17,"dd/mm"),IF(TODAY()-$C17&gt;=2*IF($G17="",30,$G17),"🔴 Lâu rồi chưa quay lại",IF(TODAY()-$C17&gt;=IF($G17="",30,$G17),"🟡 Tới kỳ chăm sóc tiếp","🟢 Chưa tới kỳ — chưa cần làm gì"))))))</f>
        <v/>
      </c>
    </row>
    <row r="18">
      <c r="A18" s="16" t="n"/>
      <c r="B18" s="16" t="n"/>
      <c r="C18" s="17" t="n"/>
      <c r="D18" s="18" t="n"/>
      <c r="E18" s="18" t="n"/>
      <c r="F18" s="16" t="n"/>
      <c r="G18" s="16" t="n"/>
      <c r="H18" s="16" t="n"/>
      <c r="I18" s="17" t="n"/>
      <c r="J18" s="19">
        <f>IF($A18="","",IF($C18="","⚠️ Thiếu ngày làm gần nhất",IF(AND(TODAY()-$C18&lt;=2,$H18&lt;&gt;"Có"),"💬 Cần nhắn hỏi thăm",IF(AND($I18&lt;&gt;"",$I18&gt;=TODAY()),"📅 Đã hẹn "&amp;TEXT($I18,"dd/mm"),IF(TODAY()-$C18&gt;=2*IF($G18="",30,$G18),"🔴 Lâu rồi chưa quay lại",IF(TODAY()-$C18&gt;=IF($G18="",30,$G18),"🟡 Tới kỳ chăm sóc tiếp","🟢 Chưa tới kỳ — chưa cần làm gì"))))))</f>
        <v/>
      </c>
    </row>
    <row r="19">
      <c r="A19" s="16" t="n"/>
      <c r="B19" s="16" t="n"/>
      <c r="C19" s="17" t="n"/>
      <c r="D19" s="18" t="n"/>
      <c r="E19" s="18" t="n"/>
      <c r="F19" s="16" t="n"/>
      <c r="G19" s="16" t="n"/>
      <c r="H19" s="16" t="n"/>
      <c r="I19" s="17" t="n"/>
      <c r="J19" s="19">
        <f>IF($A19="","",IF($C19="","⚠️ Thiếu ngày làm gần nhất",IF(AND(TODAY()-$C19&lt;=2,$H19&lt;&gt;"Có"),"💬 Cần nhắn hỏi thăm",IF(AND($I19&lt;&gt;"",$I19&gt;=TODAY()),"📅 Đã hẹn "&amp;TEXT($I19,"dd/mm"),IF(TODAY()-$C19&gt;=2*IF($G19="",30,$G19),"🔴 Lâu rồi chưa quay lại",IF(TODAY()-$C19&gt;=IF($G19="",30,$G19),"🟡 Tới kỳ chăm sóc tiếp","🟢 Chưa tới kỳ — chưa cần làm gì"))))))</f>
        <v/>
      </c>
    </row>
    <row r="20">
      <c r="A20" s="16" t="n"/>
      <c r="B20" s="16" t="n"/>
      <c r="C20" s="17" t="n"/>
      <c r="D20" s="18" t="n"/>
      <c r="E20" s="18" t="n"/>
      <c r="F20" s="16" t="n"/>
      <c r="G20" s="16" t="n"/>
      <c r="H20" s="16" t="n"/>
      <c r="I20" s="17" t="n"/>
      <c r="J20" s="19">
        <f>IF($A20="","",IF($C20="","⚠️ Thiếu ngày làm gần nhất",IF(AND(TODAY()-$C20&lt;=2,$H20&lt;&gt;"Có"),"💬 Cần nhắn hỏi thăm",IF(AND($I20&lt;&gt;"",$I20&gt;=TODAY()),"📅 Đã hẹn "&amp;TEXT($I20,"dd/mm"),IF(TODAY()-$C20&gt;=2*IF($G20="",30,$G20),"🔴 Lâu rồi chưa quay lại",IF(TODAY()-$C20&gt;=IF($G20="",30,$G20),"🟡 Tới kỳ chăm sóc tiếp","🟢 Chưa tới kỳ — chưa cần làm gì"))))))</f>
        <v/>
      </c>
    </row>
    <row r="21">
      <c r="A21" s="16" t="n"/>
      <c r="B21" s="16" t="n"/>
      <c r="C21" s="17" t="n"/>
      <c r="D21" s="18" t="n"/>
      <c r="E21" s="18" t="n"/>
      <c r="F21" s="16" t="n"/>
      <c r="G21" s="16" t="n"/>
      <c r="H21" s="16" t="n"/>
      <c r="I21" s="17" t="n"/>
      <c r="J21" s="19">
        <f>IF($A21="","",IF($C21="","⚠️ Thiếu ngày làm gần nhất",IF(AND(TODAY()-$C21&lt;=2,$H21&lt;&gt;"Có"),"💬 Cần nhắn hỏi thăm",IF(AND($I21&lt;&gt;"",$I21&gt;=TODAY()),"📅 Đã hẹn "&amp;TEXT($I21,"dd/mm"),IF(TODAY()-$C21&gt;=2*IF($G21="",30,$G21),"🔴 Lâu rồi chưa quay lại",IF(TODAY()-$C21&gt;=IF($G21="",30,$G21),"🟡 Tới kỳ chăm sóc tiếp","🟢 Chưa tới kỳ — chưa cần làm gì"))))))</f>
        <v/>
      </c>
    </row>
    <row r="22">
      <c r="A22" s="16" t="n"/>
      <c r="B22" s="16" t="n"/>
      <c r="C22" s="17" t="n"/>
      <c r="D22" s="18" t="n"/>
      <c r="E22" s="18" t="n"/>
      <c r="F22" s="16" t="n"/>
      <c r="G22" s="16" t="n"/>
      <c r="H22" s="16" t="n"/>
      <c r="I22" s="17" t="n"/>
      <c r="J22" s="19">
        <f>IF($A22="","",IF($C22="","⚠️ Thiếu ngày làm gần nhất",IF(AND(TODAY()-$C22&lt;=2,$H22&lt;&gt;"Có"),"💬 Cần nhắn hỏi thăm",IF(AND($I22&lt;&gt;"",$I22&gt;=TODAY()),"📅 Đã hẹn "&amp;TEXT($I22,"dd/mm"),IF(TODAY()-$C22&gt;=2*IF($G22="",30,$G22),"🔴 Lâu rồi chưa quay lại",IF(TODAY()-$C22&gt;=IF($G22="",30,$G22),"🟡 Tới kỳ chăm sóc tiếp","🟢 Chưa tới kỳ — chưa cần làm gì"))))))</f>
        <v/>
      </c>
    </row>
    <row r="23">
      <c r="A23" s="16" t="n"/>
      <c r="B23" s="16" t="n"/>
      <c r="C23" s="17" t="n"/>
      <c r="D23" s="18" t="n"/>
      <c r="E23" s="18" t="n"/>
      <c r="F23" s="16" t="n"/>
      <c r="G23" s="16" t="n"/>
      <c r="H23" s="16" t="n"/>
      <c r="I23" s="17" t="n"/>
      <c r="J23" s="19">
        <f>IF($A23="","",IF($C23="","⚠️ Thiếu ngày làm gần nhất",IF(AND(TODAY()-$C23&lt;=2,$H23&lt;&gt;"Có"),"💬 Cần nhắn hỏi thăm",IF(AND($I23&lt;&gt;"",$I23&gt;=TODAY()),"📅 Đã hẹn "&amp;TEXT($I23,"dd/mm"),IF(TODAY()-$C23&gt;=2*IF($G23="",30,$G23),"🔴 Lâu rồi chưa quay lại",IF(TODAY()-$C23&gt;=IF($G23="",30,$G23),"🟡 Tới kỳ chăm sóc tiếp","🟢 Chưa tới kỳ — chưa cần làm gì"))))))</f>
        <v/>
      </c>
    </row>
    <row r="24">
      <c r="A24" s="16" t="n"/>
      <c r="B24" s="16" t="n"/>
      <c r="C24" s="17" t="n"/>
      <c r="D24" s="18" t="n"/>
      <c r="E24" s="18" t="n"/>
      <c r="F24" s="16" t="n"/>
      <c r="G24" s="16" t="n"/>
      <c r="H24" s="16" t="n"/>
      <c r="I24" s="17" t="n"/>
      <c r="J24" s="19">
        <f>IF($A24="","",IF($C24="","⚠️ Thiếu ngày làm gần nhất",IF(AND(TODAY()-$C24&lt;=2,$H24&lt;&gt;"Có"),"💬 Cần nhắn hỏi thăm",IF(AND($I24&lt;&gt;"",$I24&gt;=TODAY()),"📅 Đã hẹn "&amp;TEXT($I24,"dd/mm"),IF(TODAY()-$C24&gt;=2*IF($G24="",30,$G24),"🔴 Lâu rồi chưa quay lại",IF(TODAY()-$C24&gt;=IF($G24="",30,$G24),"🟡 Tới kỳ chăm sóc tiếp","🟢 Chưa tới kỳ — chưa cần làm gì"))))))</f>
        <v/>
      </c>
    </row>
    <row r="25">
      <c r="A25" s="16" t="n"/>
      <c r="B25" s="16" t="n"/>
      <c r="C25" s="17" t="n"/>
      <c r="D25" s="18" t="n"/>
      <c r="E25" s="18" t="n"/>
      <c r="F25" s="16" t="n"/>
      <c r="G25" s="16" t="n"/>
      <c r="H25" s="16" t="n"/>
      <c r="I25" s="17" t="n"/>
      <c r="J25" s="19">
        <f>IF($A25="","",IF($C25="","⚠️ Thiếu ngày làm gần nhất",IF(AND(TODAY()-$C25&lt;=2,$H25&lt;&gt;"Có"),"💬 Cần nhắn hỏi thăm",IF(AND($I25&lt;&gt;"",$I25&gt;=TODAY()),"📅 Đã hẹn "&amp;TEXT($I25,"dd/mm"),IF(TODAY()-$C25&gt;=2*IF($G25="",30,$G25),"🔴 Lâu rồi chưa quay lại",IF(TODAY()-$C25&gt;=IF($G25="",30,$G25),"🟡 Tới kỳ chăm sóc tiếp","🟢 Chưa tới kỳ — chưa cần làm gì"))))))</f>
        <v/>
      </c>
    </row>
    <row r="26">
      <c r="A26" s="16" t="n"/>
      <c r="B26" s="16" t="n"/>
      <c r="C26" s="17" t="n"/>
      <c r="D26" s="18" t="n"/>
      <c r="E26" s="18" t="n"/>
      <c r="F26" s="16" t="n"/>
      <c r="G26" s="16" t="n"/>
      <c r="H26" s="16" t="n"/>
      <c r="I26" s="17" t="n"/>
      <c r="J26" s="19">
        <f>IF($A26="","",IF($C26="","⚠️ Thiếu ngày làm gần nhất",IF(AND(TODAY()-$C26&lt;=2,$H26&lt;&gt;"Có"),"💬 Cần nhắn hỏi thăm",IF(AND($I26&lt;&gt;"",$I26&gt;=TODAY()),"📅 Đã hẹn "&amp;TEXT($I26,"dd/mm"),IF(TODAY()-$C26&gt;=2*IF($G26="",30,$G26),"🔴 Lâu rồi chưa quay lại",IF(TODAY()-$C26&gt;=IF($G26="",30,$G26),"🟡 Tới kỳ chăm sóc tiếp","🟢 Chưa tới kỳ — chưa cần làm gì"))))))</f>
        <v/>
      </c>
    </row>
    <row r="27">
      <c r="A27" s="16" t="n"/>
      <c r="B27" s="16" t="n"/>
      <c r="C27" s="17" t="n"/>
      <c r="D27" s="18" t="n"/>
      <c r="E27" s="18" t="n"/>
      <c r="F27" s="16" t="n"/>
      <c r="G27" s="16" t="n"/>
      <c r="H27" s="16" t="n"/>
      <c r="I27" s="17" t="n"/>
      <c r="J27" s="19">
        <f>IF($A27="","",IF($C27="","⚠️ Thiếu ngày làm gần nhất",IF(AND(TODAY()-$C27&lt;=2,$H27&lt;&gt;"Có"),"💬 Cần nhắn hỏi thăm",IF(AND($I27&lt;&gt;"",$I27&gt;=TODAY()),"📅 Đã hẹn "&amp;TEXT($I27,"dd/mm"),IF(TODAY()-$C27&gt;=2*IF($G27="",30,$G27),"🔴 Lâu rồi chưa quay lại",IF(TODAY()-$C27&gt;=IF($G27="",30,$G27),"🟡 Tới kỳ chăm sóc tiếp","🟢 Chưa tới kỳ — chưa cần làm gì"))))))</f>
        <v/>
      </c>
    </row>
    <row r="28">
      <c r="A28" s="16" t="n"/>
      <c r="B28" s="16" t="n"/>
      <c r="C28" s="17" t="n"/>
      <c r="D28" s="18" t="n"/>
      <c r="E28" s="18" t="n"/>
      <c r="F28" s="16" t="n"/>
      <c r="G28" s="16" t="n"/>
      <c r="H28" s="16" t="n"/>
      <c r="I28" s="17" t="n"/>
      <c r="J28" s="19">
        <f>IF($A28="","",IF($C28="","⚠️ Thiếu ngày làm gần nhất",IF(AND(TODAY()-$C28&lt;=2,$H28&lt;&gt;"Có"),"💬 Cần nhắn hỏi thăm",IF(AND($I28&lt;&gt;"",$I28&gt;=TODAY()),"📅 Đã hẹn "&amp;TEXT($I28,"dd/mm"),IF(TODAY()-$C28&gt;=2*IF($G28="",30,$G28),"🔴 Lâu rồi chưa quay lại",IF(TODAY()-$C28&gt;=IF($G28="",30,$G28),"🟡 Tới kỳ chăm sóc tiếp","🟢 Chưa tới kỳ — chưa cần làm gì"))))))</f>
        <v/>
      </c>
    </row>
    <row r="29">
      <c r="A29" s="16" t="n"/>
      <c r="B29" s="16" t="n"/>
      <c r="C29" s="17" t="n"/>
      <c r="D29" s="18" t="n"/>
      <c r="E29" s="18" t="n"/>
      <c r="F29" s="16" t="n"/>
      <c r="G29" s="16" t="n"/>
      <c r="H29" s="16" t="n"/>
      <c r="I29" s="17" t="n"/>
      <c r="J29" s="19">
        <f>IF($A29="","",IF($C29="","⚠️ Thiếu ngày làm gần nhất",IF(AND(TODAY()-$C29&lt;=2,$H29&lt;&gt;"Có"),"💬 Cần nhắn hỏi thăm",IF(AND($I29&lt;&gt;"",$I29&gt;=TODAY()),"📅 Đã hẹn "&amp;TEXT($I29,"dd/mm"),IF(TODAY()-$C29&gt;=2*IF($G29="",30,$G29),"🔴 Lâu rồi chưa quay lại",IF(TODAY()-$C29&gt;=IF($G29="",30,$G29),"🟡 Tới kỳ chăm sóc tiếp","🟢 Chưa tới kỳ — chưa cần làm gì"))))))</f>
        <v/>
      </c>
    </row>
    <row r="30">
      <c r="A30" s="16" t="n"/>
      <c r="B30" s="16" t="n"/>
      <c r="C30" s="17" t="n"/>
      <c r="D30" s="18" t="n"/>
      <c r="E30" s="18" t="n"/>
      <c r="F30" s="16" t="n"/>
      <c r="G30" s="16" t="n"/>
      <c r="H30" s="16" t="n"/>
      <c r="I30" s="17" t="n"/>
      <c r="J30" s="19">
        <f>IF($A30="","",IF($C30="","⚠️ Thiếu ngày làm gần nhất",IF(AND(TODAY()-$C30&lt;=2,$H30&lt;&gt;"Có"),"💬 Cần nhắn hỏi thăm",IF(AND($I30&lt;&gt;"",$I30&gt;=TODAY()),"📅 Đã hẹn "&amp;TEXT($I30,"dd/mm"),IF(TODAY()-$C30&gt;=2*IF($G30="",30,$G30),"🔴 Lâu rồi chưa quay lại",IF(TODAY()-$C30&gt;=IF($G30="",30,$G30),"🟡 Tới kỳ chăm sóc tiếp","🟢 Chưa tới kỳ — chưa cần làm gì"))))))</f>
        <v/>
      </c>
    </row>
    <row r="31">
      <c r="A31" s="16" t="n"/>
      <c r="B31" s="16" t="n"/>
      <c r="C31" s="17" t="n"/>
      <c r="D31" s="18" t="n"/>
      <c r="E31" s="18" t="n"/>
      <c r="F31" s="16" t="n"/>
      <c r="G31" s="16" t="n"/>
      <c r="H31" s="16" t="n"/>
      <c r="I31" s="17" t="n"/>
      <c r="J31" s="19">
        <f>IF($A31="","",IF($C31="","⚠️ Thiếu ngày làm gần nhất",IF(AND(TODAY()-$C31&lt;=2,$H31&lt;&gt;"Có"),"💬 Cần nhắn hỏi thăm",IF(AND($I31&lt;&gt;"",$I31&gt;=TODAY()),"📅 Đã hẹn "&amp;TEXT($I31,"dd/mm"),IF(TODAY()-$C31&gt;=2*IF($G31="",30,$G31),"🔴 Lâu rồi chưa quay lại",IF(TODAY()-$C31&gt;=IF($G31="",30,$G31),"🟡 Tới kỳ chăm sóc tiếp","🟢 Chưa tới kỳ — chưa cần làm gì"))))))</f>
        <v/>
      </c>
    </row>
    <row r="32">
      <c r="A32" s="16" t="n"/>
      <c r="B32" s="16" t="n"/>
      <c r="C32" s="17" t="n"/>
      <c r="D32" s="18" t="n"/>
      <c r="E32" s="18" t="n"/>
      <c r="F32" s="16" t="n"/>
      <c r="G32" s="16" t="n"/>
      <c r="H32" s="16" t="n"/>
      <c r="I32" s="17" t="n"/>
      <c r="J32" s="19">
        <f>IF($A32="","",IF($C32="","⚠️ Thiếu ngày làm gần nhất",IF(AND(TODAY()-$C32&lt;=2,$H32&lt;&gt;"Có"),"💬 Cần nhắn hỏi thăm",IF(AND($I32&lt;&gt;"",$I32&gt;=TODAY()),"📅 Đã hẹn "&amp;TEXT($I32,"dd/mm"),IF(TODAY()-$C32&gt;=2*IF($G32="",30,$G32),"🔴 Lâu rồi chưa quay lại",IF(TODAY()-$C32&gt;=IF($G32="",30,$G32),"🟡 Tới kỳ chăm sóc tiếp","🟢 Chưa tới kỳ — chưa cần làm gì"))))))</f>
        <v/>
      </c>
    </row>
    <row r="33">
      <c r="A33" s="16" t="n"/>
      <c r="B33" s="16" t="n"/>
      <c r="C33" s="17" t="n"/>
      <c r="D33" s="18" t="n"/>
      <c r="E33" s="18" t="n"/>
      <c r="F33" s="16" t="n"/>
      <c r="G33" s="16" t="n"/>
      <c r="H33" s="16" t="n"/>
      <c r="I33" s="17" t="n"/>
      <c r="J33" s="19">
        <f>IF($A33="","",IF($C33="","⚠️ Thiếu ngày làm gần nhất",IF(AND(TODAY()-$C33&lt;=2,$H33&lt;&gt;"Có"),"💬 Cần nhắn hỏi thăm",IF(AND($I33&lt;&gt;"",$I33&gt;=TODAY()),"📅 Đã hẹn "&amp;TEXT($I33,"dd/mm"),IF(TODAY()-$C33&gt;=2*IF($G33="",30,$G33),"🔴 Lâu rồi chưa quay lại",IF(TODAY()-$C33&gt;=IF($G33="",30,$G33),"🟡 Tới kỳ chăm sóc tiếp","🟢 Chưa tới kỳ — chưa cần làm gì"))))))</f>
        <v/>
      </c>
    </row>
    <row r="34">
      <c r="A34" s="16" t="n"/>
      <c r="B34" s="16" t="n"/>
      <c r="C34" s="17" t="n"/>
      <c r="D34" s="18" t="n"/>
      <c r="E34" s="18" t="n"/>
      <c r="F34" s="16" t="n"/>
      <c r="G34" s="16" t="n"/>
      <c r="H34" s="16" t="n"/>
      <c r="I34" s="17" t="n"/>
      <c r="J34" s="19">
        <f>IF($A34="","",IF($C34="","⚠️ Thiếu ngày làm gần nhất",IF(AND(TODAY()-$C34&lt;=2,$H34&lt;&gt;"Có"),"💬 Cần nhắn hỏi thăm",IF(AND($I34&lt;&gt;"",$I34&gt;=TODAY()),"📅 Đã hẹn "&amp;TEXT($I34,"dd/mm"),IF(TODAY()-$C34&gt;=2*IF($G34="",30,$G34),"🔴 Lâu rồi chưa quay lại",IF(TODAY()-$C34&gt;=IF($G34="",30,$G34),"🟡 Tới kỳ chăm sóc tiếp","🟢 Chưa tới kỳ — chưa cần làm gì"))))))</f>
        <v/>
      </c>
    </row>
    <row r="35">
      <c r="A35" s="16" t="n"/>
      <c r="B35" s="16" t="n"/>
      <c r="C35" s="17" t="n"/>
      <c r="D35" s="18" t="n"/>
      <c r="E35" s="18" t="n"/>
      <c r="F35" s="16" t="n"/>
      <c r="G35" s="16" t="n"/>
      <c r="H35" s="16" t="n"/>
      <c r="I35" s="17" t="n"/>
      <c r="J35" s="19">
        <f>IF($A35="","",IF($C35="","⚠️ Thiếu ngày làm gần nhất",IF(AND(TODAY()-$C35&lt;=2,$H35&lt;&gt;"Có"),"💬 Cần nhắn hỏi thăm",IF(AND($I35&lt;&gt;"",$I35&gt;=TODAY()),"📅 Đã hẹn "&amp;TEXT($I35,"dd/mm"),IF(TODAY()-$C35&gt;=2*IF($G35="",30,$G35),"🔴 Lâu rồi chưa quay lại",IF(TODAY()-$C35&gt;=IF($G35="",30,$G35),"🟡 Tới kỳ chăm sóc tiếp","🟢 Chưa tới kỳ — chưa cần làm gì"))))))</f>
        <v/>
      </c>
    </row>
    <row r="36">
      <c r="A36" s="16" t="n"/>
      <c r="B36" s="16" t="n"/>
      <c r="C36" s="17" t="n"/>
      <c r="D36" s="18" t="n"/>
      <c r="E36" s="18" t="n"/>
      <c r="F36" s="16" t="n"/>
      <c r="G36" s="16" t="n"/>
      <c r="H36" s="16" t="n"/>
      <c r="I36" s="17" t="n"/>
      <c r="J36" s="19">
        <f>IF($A36="","",IF($C36="","⚠️ Thiếu ngày làm gần nhất",IF(AND(TODAY()-$C36&lt;=2,$H36&lt;&gt;"Có"),"💬 Cần nhắn hỏi thăm",IF(AND($I36&lt;&gt;"",$I36&gt;=TODAY()),"📅 Đã hẹn "&amp;TEXT($I36,"dd/mm"),IF(TODAY()-$C36&gt;=2*IF($G36="",30,$G36),"🔴 Lâu rồi chưa quay lại",IF(TODAY()-$C36&gt;=IF($G36="",30,$G36),"🟡 Tới kỳ chăm sóc tiếp","🟢 Chưa tới kỳ — chưa cần làm gì"))))))</f>
        <v/>
      </c>
    </row>
    <row r="37">
      <c r="A37" s="16" t="n"/>
      <c r="B37" s="16" t="n"/>
      <c r="C37" s="17" t="n"/>
      <c r="D37" s="18" t="n"/>
      <c r="E37" s="18" t="n"/>
      <c r="F37" s="16" t="n"/>
      <c r="G37" s="16" t="n"/>
      <c r="H37" s="16" t="n"/>
      <c r="I37" s="17" t="n"/>
      <c r="J37" s="19">
        <f>IF($A37="","",IF($C37="","⚠️ Thiếu ngày làm gần nhất",IF(AND(TODAY()-$C37&lt;=2,$H37&lt;&gt;"Có"),"💬 Cần nhắn hỏi thăm",IF(AND($I37&lt;&gt;"",$I37&gt;=TODAY()),"📅 Đã hẹn "&amp;TEXT($I37,"dd/mm"),IF(TODAY()-$C37&gt;=2*IF($G37="",30,$G37),"🔴 Lâu rồi chưa quay lại",IF(TODAY()-$C37&gt;=IF($G37="",30,$G37),"🟡 Tới kỳ chăm sóc tiếp","🟢 Chưa tới kỳ — chưa cần làm gì"))))))</f>
        <v/>
      </c>
    </row>
    <row r="38">
      <c r="A38" s="16" t="n"/>
      <c r="B38" s="16" t="n"/>
      <c r="C38" s="17" t="n"/>
      <c r="D38" s="18" t="n"/>
      <c r="E38" s="18" t="n"/>
      <c r="F38" s="16" t="n"/>
      <c r="G38" s="16" t="n"/>
      <c r="H38" s="16" t="n"/>
      <c r="I38" s="17" t="n"/>
      <c r="J38" s="19">
        <f>IF($A38="","",IF($C38="","⚠️ Thiếu ngày làm gần nhất",IF(AND(TODAY()-$C38&lt;=2,$H38&lt;&gt;"Có"),"💬 Cần nhắn hỏi thăm",IF(AND($I38&lt;&gt;"",$I38&gt;=TODAY()),"📅 Đã hẹn "&amp;TEXT($I38,"dd/mm"),IF(TODAY()-$C38&gt;=2*IF($G38="",30,$G38),"🔴 Lâu rồi chưa quay lại",IF(TODAY()-$C38&gt;=IF($G38="",30,$G38),"🟡 Tới kỳ chăm sóc tiếp","🟢 Chưa tới kỳ — chưa cần làm gì"))))))</f>
        <v/>
      </c>
    </row>
    <row r="39">
      <c r="A39" s="16" t="n"/>
      <c r="B39" s="16" t="n"/>
      <c r="C39" s="17" t="n"/>
      <c r="D39" s="18" t="n"/>
      <c r="E39" s="18" t="n"/>
      <c r="F39" s="16" t="n"/>
      <c r="G39" s="16" t="n"/>
      <c r="H39" s="16" t="n"/>
      <c r="I39" s="17" t="n"/>
      <c r="J39" s="19">
        <f>IF($A39="","",IF($C39="","⚠️ Thiếu ngày làm gần nhất",IF(AND(TODAY()-$C39&lt;=2,$H39&lt;&gt;"Có"),"💬 Cần nhắn hỏi thăm",IF(AND($I39&lt;&gt;"",$I39&gt;=TODAY()),"📅 Đã hẹn "&amp;TEXT($I39,"dd/mm"),IF(TODAY()-$C39&gt;=2*IF($G39="",30,$G39),"🔴 Lâu rồi chưa quay lại",IF(TODAY()-$C39&gt;=IF($G39="",30,$G39),"🟡 Tới kỳ chăm sóc tiếp","🟢 Chưa tới kỳ — chưa cần làm gì"))))))</f>
        <v/>
      </c>
    </row>
    <row r="40">
      <c r="A40" s="16" t="n"/>
      <c r="B40" s="16" t="n"/>
      <c r="C40" s="17" t="n"/>
      <c r="D40" s="18" t="n"/>
      <c r="E40" s="18" t="n"/>
      <c r="F40" s="16" t="n"/>
      <c r="G40" s="16" t="n"/>
      <c r="H40" s="16" t="n"/>
      <c r="I40" s="17" t="n"/>
      <c r="J40" s="19">
        <f>IF($A40="","",IF($C40="","⚠️ Thiếu ngày làm gần nhất",IF(AND(TODAY()-$C40&lt;=2,$H40&lt;&gt;"Có"),"💬 Cần nhắn hỏi thăm",IF(AND($I40&lt;&gt;"",$I40&gt;=TODAY()),"📅 Đã hẹn "&amp;TEXT($I40,"dd/mm"),IF(TODAY()-$C40&gt;=2*IF($G40="",30,$G40),"🔴 Lâu rồi chưa quay lại",IF(TODAY()-$C40&gt;=IF($G40="",30,$G40),"🟡 Tới kỳ chăm sóc tiếp","🟢 Chưa tới kỳ — chưa cần làm gì"))))))</f>
        <v/>
      </c>
    </row>
    <row r="41">
      <c r="A41" s="16" t="n"/>
      <c r="B41" s="16" t="n"/>
      <c r="C41" s="17" t="n"/>
      <c r="D41" s="18" t="n"/>
      <c r="E41" s="18" t="n"/>
      <c r="F41" s="16" t="n"/>
      <c r="G41" s="16" t="n"/>
      <c r="H41" s="16" t="n"/>
      <c r="I41" s="17" t="n"/>
      <c r="J41" s="19">
        <f>IF($A41="","",IF($C41="","⚠️ Thiếu ngày làm gần nhất",IF(AND(TODAY()-$C41&lt;=2,$H41&lt;&gt;"Có"),"💬 Cần nhắn hỏi thăm",IF(AND($I41&lt;&gt;"",$I41&gt;=TODAY()),"📅 Đã hẹn "&amp;TEXT($I41,"dd/mm"),IF(TODAY()-$C41&gt;=2*IF($G41="",30,$G41),"🔴 Lâu rồi chưa quay lại",IF(TODAY()-$C41&gt;=IF($G41="",30,$G41),"🟡 Tới kỳ chăm sóc tiếp","🟢 Chưa tới kỳ — chưa cần làm gì"))))))</f>
        <v/>
      </c>
    </row>
    <row r="42">
      <c r="A42" s="16" t="n"/>
      <c r="B42" s="16" t="n"/>
      <c r="C42" s="17" t="n"/>
      <c r="D42" s="18" t="n"/>
      <c r="E42" s="18" t="n"/>
      <c r="F42" s="16" t="n"/>
      <c r="G42" s="16" t="n"/>
      <c r="H42" s="16" t="n"/>
      <c r="I42" s="17" t="n"/>
      <c r="J42" s="19">
        <f>IF($A42="","",IF($C42="","⚠️ Thiếu ngày làm gần nhất",IF(AND(TODAY()-$C42&lt;=2,$H42&lt;&gt;"Có"),"💬 Cần nhắn hỏi thăm",IF(AND($I42&lt;&gt;"",$I42&gt;=TODAY()),"📅 Đã hẹn "&amp;TEXT($I42,"dd/mm"),IF(TODAY()-$C42&gt;=2*IF($G42="",30,$G42),"🔴 Lâu rồi chưa quay lại",IF(TODAY()-$C42&gt;=IF($G42="",30,$G42),"🟡 Tới kỳ chăm sóc tiếp","🟢 Chưa tới kỳ — chưa cần làm gì"))))))</f>
        <v/>
      </c>
    </row>
    <row r="43">
      <c r="A43" s="16" t="n"/>
      <c r="B43" s="16" t="n"/>
      <c r="C43" s="17" t="n"/>
      <c r="D43" s="18" t="n"/>
      <c r="E43" s="18" t="n"/>
      <c r="F43" s="16" t="n"/>
      <c r="G43" s="16" t="n"/>
      <c r="H43" s="16" t="n"/>
      <c r="I43" s="17" t="n"/>
      <c r="J43" s="19">
        <f>IF($A43="","",IF($C43="","⚠️ Thiếu ngày làm gần nhất",IF(AND(TODAY()-$C43&lt;=2,$H43&lt;&gt;"Có"),"💬 Cần nhắn hỏi thăm",IF(AND($I43&lt;&gt;"",$I43&gt;=TODAY()),"📅 Đã hẹn "&amp;TEXT($I43,"dd/mm"),IF(TODAY()-$C43&gt;=2*IF($G43="",30,$G43),"🔴 Lâu rồi chưa quay lại",IF(TODAY()-$C43&gt;=IF($G43="",30,$G43),"🟡 Tới kỳ chăm sóc tiếp","🟢 Chưa tới kỳ — chưa cần làm gì"))))))</f>
        <v/>
      </c>
    </row>
    <row r="44">
      <c r="A44" s="16" t="n"/>
      <c r="B44" s="16" t="n"/>
      <c r="C44" s="17" t="n"/>
      <c r="D44" s="18" t="n"/>
      <c r="E44" s="18" t="n"/>
      <c r="F44" s="16" t="n"/>
      <c r="G44" s="16" t="n"/>
      <c r="H44" s="16" t="n"/>
      <c r="I44" s="17" t="n"/>
      <c r="J44" s="19">
        <f>IF($A44="","",IF($C44="","⚠️ Thiếu ngày làm gần nhất",IF(AND(TODAY()-$C44&lt;=2,$H44&lt;&gt;"Có"),"💬 Cần nhắn hỏi thăm",IF(AND($I44&lt;&gt;"",$I44&gt;=TODAY()),"📅 Đã hẹn "&amp;TEXT($I44,"dd/mm"),IF(TODAY()-$C44&gt;=2*IF($G44="",30,$G44),"🔴 Lâu rồi chưa quay lại",IF(TODAY()-$C44&gt;=IF($G44="",30,$G44),"🟡 Tới kỳ chăm sóc tiếp","🟢 Chưa tới kỳ — chưa cần làm gì"))))))</f>
        <v/>
      </c>
    </row>
    <row r="45">
      <c r="A45" s="16" t="n"/>
      <c r="B45" s="16" t="n"/>
      <c r="C45" s="17" t="n"/>
      <c r="D45" s="18" t="n"/>
      <c r="E45" s="18" t="n"/>
      <c r="F45" s="16" t="n"/>
      <c r="G45" s="16" t="n"/>
      <c r="H45" s="16" t="n"/>
      <c r="I45" s="17" t="n"/>
      <c r="J45" s="19">
        <f>IF($A45="","",IF($C45="","⚠️ Thiếu ngày làm gần nhất",IF(AND(TODAY()-$C45&lt;=2,$H45&lt;&gt;"Có"),"💬 Cần nhắn hỏi thăm",IF(AND($I45&lt;&gt;"",$I45&gt;=TODAY()),"📅 Đã hẹn "&amp;TEXT($I45,"dd/mm"),IF(TODAY()-$C45&gt;=2*IF($G45="",30,$G45),"🔴 Lâu rồi chưa quay lại",IF(TODAY()-$C45&gt;=IF($G45="",30,$G45),"🟡 Tới kỳ chăm sóc tiếp","🟢 Chưa tới kỳ — chưa cần làm gì"))))))</f>
        <v/>
      </c>
    </row>
    <row r="46">
      <c r="A46" s="16" t="n"/>
      <c r="B46" s="16" t="n"/>
      <c r="C46" s="17" t="n"/>
      <c r="D46" s="18" t="n"/>
      <c r="E46" s="18" t="n"/>
      <c r="F46" s="16" t="n"/>
      <c r="G46" s="16" t="n"/>
      <c r="H46" s="16" t="n"/>
      <c r="I46" s="17" t="n"/>
      <c r="J46" s="19">
        <f>IF($A46="","",IF($C46="","⚠️ Thiếu ngày làm gần nhất",IF(AND(TODAY()-$C46&lt;=2,$H46&lt;&gt;"Có"),"💬 Cần nhắn hỏi thăm",IF(AND($I46&lt;&gt;"",$I46&gt;=TODAY()),"📅 Đã hẹn "&amp;TEXT($I46,"dd/mm"),IF(TODAY()-$C46&gt;=2*IF($G46="",30,$G46),"🔴 Lâu rồi chưa quay lại",IF(TODAY()-$C46&gt;=IF($G46="",30,$G46),"🟡 Tới kỳ chăm sóc tiếp","🟢 Chưa tới kỳ — chưa cần làm gì"))))))</f>
        <v/>
      </c>
    </row>
    <row r="47">
      <c r="A47" s="16" t="n"/>
      <c r="B47" s="16" t="n"/>
      <c r="C47" s="17" t="n"/>
      <c r="D47" s="18" t="n"/>
      <c r="E47" s="18" t="n"/>
      <c r="F47" s="16" t="n"/>
      <c r="G47" s="16" t="n"/>
      <c r="H47" s="16" t="n"/>
      <c r="I47" s="17" t="n"/>
      <c r="J47" s="19">
        <f>IF($A47="","",IF($C47="","⚠️ Thiếu ngày làm gần nhất",IF(AND(TODAY()-$C47&lt;=2,$H47&lt;&gt;"Có"),"💬 Cần nhắn hỏi thăm",IF(AND($I47&lt;&gt;"",$I47&gt;=TODAY()),"📅 Đã hẹn "&amp;TEXT($I47,"dd/mm"),IF(TODAY()-$C47&gt;=2*IF($G47="",30,$G47),"🔴 Lâu rồi chưa quay lại",IF(TODAY()-$C47&gt;=IF($G47="",30,$G47),"🟡 Tới kỳ chăm sóc tiếp","🟢 Chưa tới kỳ — chưa cần làm gì"))))))</f>
        <v/>
      </c>
    </row>
    <row r="48">
      <c r="A48" s="16" t="n"/>
      <c r="B48" s="16" t="n"/>
      <c r="C48" s="17" t="n"/>
      <c r="D48" s="18" t="n"/>
      <c r="E48" s="18" t="n"/>
      <c r="F48" s="16" t="n"/>
      <c r="G48" s="16" t="n"/>
      <c r="H48" s="16" t="n"/>
      <c r="I48" s="17" t="n"/>
      <c r="J48" s="19">
        <f>IF($A48="","",IF($C48="","⚠️ Thiếu ngày làm gần nhất",IF(AND(TODAY()-$C48&lt;=2,$H48&lt;&gt;"Có"),"💬 Cần nhắn hỏi thăm",IF(AND($I48&lt;&gt;"",$I48&gt;=TODAY()),"📅 Đã hẹn "&amp;TEXT($I48,"dd/mm"),IF(TODAY()-$C48&gt;=2*IF($G48="",30,$G48),"🔴 Lâu rồi chưa quay lại",IF(TODAY()-$C48&gt;=IF($G48="",30,$G48),"🟡 Tới kỳ chăm sóc tiếp","🟢 Chưa tới kỳ — chưa cần làm gì"))))))</f>
        <v/>
      </c>
    </row>
    <row r="49">
      <c r="A49" s="16" t="n"/>
      <c r="B49" s="16" t="n"/>
      <c r="C49" s="17" t="n"/>
      <c r="D49" s="18" t="n"/>
      <c r="E49" s="18" t="n"/>
      <c r="F49" s="16" t="n"/>
      <c r="G49" s="16" t="n"/>
      <c r="H49" s="16" t="n"/>
      <c r="I49" s="17" t="n"/>
      <c r="J49" s="19">
        <f>IF($A49="","",IF($C49="","⚠️ Thiếu ngày làm gần nhất",IF(AND(TODAY()-$C49&lt;=2,$H49&lt;&gt;"Có"),"💬 Cần nhắn hỏi thăm",IF(AND($I49&lt;&gt;"",$I49&gt;=TODAY()),"📅 Đã hẹn "&amp;TEXT($I49,"dd/mm"),IF(TODAY()-$C49&gt;=2*IF($G49="",30,$G49),"🔴 Lâu rồi chưa quay lại",IF(TODAY()-$C49&gt;=IF($G49="",30,$G49),"🟡 Tới kỳ chăm sóc tiếp","🟢 Chưa tới kỳ — chưa cần làm gì"))))))</f>
        <v/>
      </c>
    </row>
    <row r="50">
      <c r="A50" s="16" t="n"/>
      <c r="B50" s="16" t="n"/>
      <c r="C50" s="17" t="n"/>
      <c r="D50" s="18" t="n"/>
      <c r="E50" s="18" t="n"/>
      <c r="F50" s="16" t="n"/>
      <c r="G50" s="16" t="n"/>
      <c r="H50" s="16" t="n"/>
      <c r="I50" s="17" t="n"/>
      <c r="J50" s="19">
        <f>IF($A50="","",IF($C50="","⚠️ Thiếu ngày làm gần nhất",IF(AND(TODAY()-$C50&lt;=2,$H50&lt;&gt;"Có"),"💬 Cần nhắn hỏi thăm",IF(AND($I50&lt;&gt;"",$I50&gt;=TODAY()),"📅 Đã hẹn "&amp;TEXT($I50,"dd/mm"),IF(TODAY()-$C50&gt;=2*IF($G50="",30,$G50),"🔴 Lâu rồi chưa quay lại",IF(TODAY()-$C50&gt;=IF($G50="",30,$G50),"🟡 Tới kỳ chăm sóc tiếp","🟢 Chưa tới kỳ — chưa cần làm gì"))))))</f>
        <v/>
      </c>
    </row>
    <row r="51">
      <c r="A51" s="16" t="n"/>
      <c r="B51" s="16" t="n"/>
      <c r="C51" s="17" t="n"/>
      <c r="D51" s="18" t="n"/>
      <c r="E51" s="18" t="n"/>
      <c r="F51" s="16" t="n"/>
      <c r="G51" s="16" t="n"/>
      <c r="H51" s="16" t="n"/>
      <c r="I51" s="17" t="n"/>
      <c r="J51" s="19">
        <f>IF($A51="","",IF($C51="","⚠️ Thiếu ngày làm gần nhất",IF(AND(TODAY()-$C51&lt;=2,$H51&lt;&gt;"Có"),"💬 Cần nhắn hỏi thăm",IF(AND($I51&lt;&gt;"",$I51&gt;=TODAY()),"📅 Đã hẹn "&amp;TEXT($I51,"dd/mm"),IF(TODAY()-$C51&gt;=2*IF($G51="",30,$G51),"🔴 Lâu rồi chưa quay lại",IF(TODAY()-$C51&gt;=IF($G51="",30,$G51),"🟡 Tới kỳ chăm sóc tiếp","🟢 Chưa tới kỳ — chưa cần làm gì"))))))</f>
        <v/>
      </c>
    </row>
    <row r="52">
      <c r="A52" s="16" t="n"/>
      <c r="B52" s="16" t="n"/>
      <c r="C52" s="17" t="n"/>
      <c r="D52" s="18" t="n"/>
      <c r="E52" s="18" t="n"/>
      <c r="F52" s="16" t="n"/>
      <c r="G52" s="16" t="n"/>
      <c r="H52" s="16" t="n"/>
      <c r="I52" s="17" t="n"/>
      <c r="J52" s="19">
        <f>IF($A52="","",IF($C52="","⚠️ Thiếu ngày làm gần nhất",IF(AND(TODAY()-$C52&lt;=2,$H52&lt;&gt;"Có"),"💬 Cần nhắn hỏi thăm",IF(AND($I52&lt;&gt;"",$I52&gt;=TODAY()),"📅 Đã hẹn "&amp;TEXT($I52,"dd/mm"),IF(TODAY()-$C52&gt;=2*IF($G52="",30,$G52),"🔴 Lâu rồi chưa quay lại",IF(TODAY()-$C52&gt;=IF($G52="",30,$G52),"🟡 Tới kỳ chăm sóc tiếp","🟢 Chưa tới kỳ — chưa cần làm gì"))))))</f>
        <v/>
      </c>
    </row>
    <row r="53">
      <c r="A53" s="16" t="n"/>
      <c r="B53" s="16" t="n"/>
      <c r="C53" s="17" t="n"/>
      <c r="D53" s="18" t="n"/>
      <c r="E53" s="18" t="n"/>
      <c r="F53" s="16" t="n"/>
      <c r="G53" s="16" t="n"/>
      <c r="H53" s="16" t="n"/>
      <c r="I53" s="17" t="n"/>
      <c r="J53" s="19">
        <f>IF($A53="","",IF($C53="","⚠️ Thiếu ngày làm gần nhất",IF(AND(TODAY()-$C53&lt;=2,$H53&lt;&gt;"Có"),"💬 Cần nhắn hỏi thăm",IF(AND($I53&lt;&gt;"",$I53&gt;=TODAY()),"📅 Đã hẹn "&amp;TEXT($I53,"dd/mm"),IF(TODAY()-$C53&gt;=2*IF($G53="",30,$G53),"🔴 Lâu rồi chưa quay lại",IF(TODAY()-$C53&gt;=IF($G53="",30,$G53),"🟡 Tới kỳ chăm sóc tiếp","🟢 Chưa tới kỳ — chưa cần làm gì"))))))</f>
        <v/>
      </c>
    </row>
    <row r="54">
      <c r="A54" s="16" t="n"/>
      <c r="B54" s="16" t="n"/>
      <c r="C54" s="17" t="n"/>
      <c r="D54" s="18" t="n"/>
      <c r="E54" s="18" t="n"/>
      <c r="F54" s="16" t="n"/>
      <c r="G54" s="16" t="n"/>
      <c r="H54" s="16" t="n"/>
      <c r="I54" s="17" t="n"/>
      <c r="J54" s="19">
        <f>IF($A54="","",IF($C54="","⚠️ Thiếu ngày làm gần nhất",IF(AND(TODAY()-$C54&lt;=2,$H54&lt;&gt;"Có"),"💬 Cần nhắn hỏi thăm",IF(AND($I54&lt;&gt;"",$I54&gt;=TODAY()),"📅 Đã hẹn "&amp;TEXT($I54,"dd/mm"),IF(TODAY()-$C54&gt;=2*IF($G54="",30,$G54),"🔴 Lâu rồi chưa quay lại",IF(TODAY()-$C54&gt;=IF($G54="",30,$G54),"🟡 Tới kỳ chăm sóc tiếp","🟢 Chưa tới kỳ — chưa cần làm gì"))))))</f>
        <v/>
      </c>
    </row>
    <row r="55">
      <c r="A55" s="16" t="n"/>
      <c r="B55" s="16" t="n"/>
      <c r="C55" s="17" t="n"/>
      <c r="D55" s="18" t="n"/>
      <c r="E55" s="18" t="n"/>
      <c r="F55" s="16" t="n"/>
      <c r="G55" s="16" t="n"/>
      <c r="H55" s="16" t="n"/>
      <c r="I55" s="17" t="n"/>
      <c r="J55" s="19">
        <f>IF($A55="","",IF($C55="","⚠️ Thiếu ngày làm gần nhất",IF(AND(TODAY()-$C55&lt;=2,$H55&lt;&gt;"Có"),"💬 Cần nhắn hỏi thăm",IF(AND($I55&lt;&gt;"",$I55&gt;=TODAY()),"📅 Đã hẹn "&amp;TEXT($I55,"dd/mm"),IF(TODAY()-$C55&gt;=2*IF($G55="",30,$G55),"🔴 Lâu rồi chưa quay lại",IF(TODAY()-$C55&gt;=IF($G55="",30,$G55),"🟡 Tới kỳ chăm sóc tiếp","🟢 Chưa tới kỳ — chưa cần làm gì"))))))</f>
        <v/>
      </c>
    </row>
    <row r="56">
      <c r="A56" s="16" t="n"/>
      <c r="B56" s="16" t="n"/>
      <c r="C56" s="17" t="n"/>
      <c r="D56" s="18" t="n"/>
      <c r="E56" s="18" t="n"/>
      <c r="F56" s="16" t="n"/>
      <c r="G56" s="16" t="n"/>
      <c r="H56" s="16" t="n"/>
      <c r="I56" s="17" t="n"/>
      <c r="J56" s="19">
        <f>IF($A56="","",IF($C56="","⚠️ Thiếu ngày làm gần nhất",IF(AND(TODAY()-$C56&lt;=2,$H56&lt;&gt;"Có"),"💬 Cần nhắn hỏi thăm",IF(AND($I56&lt;&gt;"",$I56&gt;=TODAY()),"📅 Đã hẹn "&amp;TEXT($I56,"dd/mm"),IF(TODAY()-$C56&gt;=2*IF($G56="",30,$G56),"🔴 Lâu rồi chưa quay lại",IF(TODAY()-$C56&gt;=IF($G56="",30,$G56),"🟡 Tới kỳ chăm sóc tiếp","🟢 Chưa tới kỳ — chưa cần làm gì"))))))</f>
        <v/>
      </c>
    </row>
    <row r="57">
      <c r="A57" s="16" t="n"/>
      <c r="B57" s="16" t="n"/>
      <c r="C57" s="17" t="n"/>
      <c r="D57" s="18" t="n"/>
      <c r="E57" s="18" t="n"/>
      <c r="F57" s="16" t="n"/>
      <c r="G57" s="16" t="n"/>
      <c r="H57" s="16" t="n"/>
      <c r="I57" s="17" t="n"/>
      <c r="J57" s="19">
        <f>IF($A57="","",IF($C57="","⚠️ Thiếu ngày làm gần nhất",IF(AND(TODAY()-$C57&lt;=2,$H57&lt;&gt;"Có"),"💬 Cần nhắn hỏi thăm",IF(AND($I57&lt;&gt;"",$I57&gt;=TODAY()),"📅 Đã hẹn "&amp;TEXT($I57,"dd/mm"),IF(TODAY()-$C57&gt;=2*IF($G57="",30,$G57),"🔴 Lâu rồi chưa quay lại",IF(TODAY()-$C57&gt;=IF($G57="",30,$G57),"🟡 Tới kỳ chăm sóc tiếp","🟢 Chưa tới kỳ — chưa cần làm gì"))))))</f>
        <v/>
      </c>
    </row>
    <row r="58">
      <c r="A58" s="16" t="n"/>
      <c r="B58" s="16" t="n"/>
      <c r="C58" s="17" t="n"/>
      <c r="D58" s="18" t="n"/>
      <c r="E58" s="18" t="n"/>
      <c r="F58" s="16" t="n"/>
      <c r="G58" s="16" t="n"/>
      <c r="H58" s="16" t="n"/>
      <c r="I58" s="17" t="n"/>
      <c r="J58" s="19">
        <f>IF($A58="","",IF($C58="","⚠️ Thiếu ngày làm gần nhất",IF(AND(TODAY()-$C58&lt;=2,$H58&lt;&gt;"Có"),"💬 Cần nhắn hỏi thăm",IF(AND($I58&lt;&gt;"",$I58&gt;=TODAY()),"📅 Đã hẹn "&amp;TEXT($I58,"dd/mm"),IF(TODAY()-$C58&gt;=2*IF($G58="",30,$G58),"🔴 Lâu rồi chưa quay lại",IF(TODAY()-$C58&gt;=IF($G58="",30,$G58),"🟡 Tới kỳ chăm sóc tiếp","🟢 Chưa tới kỳ — chưa cần làm gì"))))))</f>
        <v/>
      </c>
    </row>
    <row r="59">
      <c r="A59" s="16" t="n"/>
      <c r="B59" s="16" t="n"/>
      <c r="C59" s="17" t="n"/>
      <c r="D59" s="18" t="n"/>
      <c r="E59" s="18" t="n"/>
      <c r="F59" s="16" t="n"/>
      <c r="G59" s="16" t="n"/>
      <c r="H59" s="16" t="n"/>
      <c r="I59" s="17" t="n"/>
      <c r="J59" s="19">
        <f>IF($A59="","",IF($C59="","⚠️ Thiếu ngày làm gần nhất",IF(AND(TODAY()-$C59&lt;=2,$H59&lt;&gt;"Có"),"💬 Cần nhắn hỏi thăm",IF(AND($I59&lt;&gt;"",$I59&gt;=TODAY()),"📅 Đã hẹn "&amp;TEXT($I59,"dd/mm"),IF(TODAY()-$C59&gt;=2*IF($G59="",30,$G59),"🔴 Lâu rồi chưa quay lại",IF(TODAY()-$C59&gt;=IF($G59="",30,$G59),"🟡 Tới kỳ chăm sóc tiếp","🟢 Chưa tới kỳ — chưa cần làm gì"))))))</f>
        <v/>
      </c>
    </row>
    <row r="60">
      <c r="A60" s="16" t="n"/>
      <c r="B60" s="16" t="n"/>
      <c r="C60" s="17" t="n"/>
      <c r="D60" s="18" t="n"/>
      <c r="E60" s="18" t="n"/>
      <c r="F60" s="16" t="n"/>
      <c r="G60" s="16" t="n"/>
      <c r="H60" s="16" t="n"/>
      <c r="I60" s="17" t="n"/>
      <c r="J60" s="19">
        <f>IF($A60="","",IF($C60="","⚠️ Thiếu ngày làm gần nhất",IF(AND(TODAY()-$C60&lt;=2,$H60&lt;&gt;"Có"),"💬 Cần nhắn hỏi thăm",IF(AND($I60&lt;&gt;"",$I60&gt;=TODAY()),"📅 Đã hẹn "&amp;TEXT($I60,"dd/mm"),IF(TODAY()-$C60&gt;=2*IF($G60="",30,$G60),"🔴 Lâu rồi chưa quay lại",IF(TODAY()-$C60&gt;=IF($G60="",30,$G60),"🟡 Tới kỳ chăm sóc tiếp","🟢 Chưa tới kỳ — chưa cần làm gì"))))))</f>
        <v/>
      </c>
    </row>
    <row r="61">
      <c r="A61" s="16" t="n"/>
      <c r="B61" s="16" t="n"/>
      <c r="C61" s="17" t="n"/>
      <c r="D61" s="18" t="n"/>
      <c r="E61" s="18" t="n"/>
      <c r="F61" s="16" t="n"/>
      <c r="G61" s="16" t="n"/>
      <c r="H61" s="16" t="n"/>
      <c r="I61" s="17" t="n"/>
      <c r="J61" s="19">
        <f>IF($A61="","",IF($C61="","⚠️ Thiếu ngày làm gần nhất",IF(AND(TODAY()-$C61&lt;=2,$H61&lt;&gt;"Có"),"💬 Cần nhắn hỏi thăm",IF(AND($I61&lt;&gt;"",$I61&gt;=TODAY()),"📅 Đã hẹn "&amp;TEXT($I61,"dd/mm"),IF(TODAY()-$C61&gt;=2*IF($G61="",30,$G61),"🔴 Lâu rồi chưa quay lại",IF(TODAY()-$C61&gt;=IF($G61="",30,$G61),"🟡 Tới kỳ chăm sóc tiếp","🟢 Chưa tới kỳ — chưa cần làm gì"))))))</f>
        <v/>
      </c>
    </row>
    <row r="62">
      <c r="A62" s="16" t="n"/>
      <c r="B62" s="16" t="n"/>
      <c r="C62" s="17" t="n"/>
      <c r="D62" s="18" t="n"/>
      <c r="E62" s="18" t="n"/>
      <c r="F62" s="16" t="n"/>
      <c r="G62" s="16" t="n"/>
      <c r="H62" s="16" t="n"/>
      <c r="I62" s="17" t="n"/>
      <c r="J62" s="19">
        <f>IF($A62="","",IF($C62="","⚠️ Thiếu ngày làm gần nhất",IF(AND(TODAY()-$C62&lt;=2,$H62&lt;&gt;"Có"),"💬 Cần nhắn hỏi thăm",IF(AND($I62&lt;&gt;"",$I62&gt;=TODAY()),"📅 Đã hẹn "&amp;TEXT($I62,"dd/mm"),IF(TODAY()-$C62&gt;=2*IF($G62="",30,$G62),"🔴 Lâu rồi chưa quay lại",IF(TODAY()-$C62&gt;=IF($G62="",30,$G62),"🟡 Tới kỳ chăm sóc tiếp","🟢 Chưa tới kỳ — chưa cần làm gì"))))))</f>
        <v/>
      </c>
    </row>
    <row r="63">
      <c r="A63" s="16" t="n"/>
      <c r="B63" s="16" t="n"/>
      <c r="C63" s="17" t="n"/>
      <c r="D63" s="18" t="n"/>
      <c r="E63" s="18" t="n"/>
      <c r="F63" s="16" t="n"/>
      <c r="G63" s="16" t="n"/>
      <c r="H63" s="16" t="n"/>
      <c r="I63" s="17" t="n"/>
      <c r="J63" s="19">
        <f>IF($A63="","",IF($C63="","⚠️ Thiếu ngày làm gần nhất",IF(AND(TODAY()-$C63&lt;=2,$H63&lt;&gt;"Có"),"💬 Cần nhắn hỏi thăm",IF(AND($I63&lt;&gt;"",$I63&gt;=TODAY()),"📅 Đã hẹn "&amp;TEXT($I63,"dd/mm"),IF(TODAY()-$C63&gt;=2*IF($G63="",30,$G63),"🔴 Lâu rồi chưa quay lại",IF(TODAY()-$C63&gt;=IF($G63="",30,$G63),"🟡 Tới kỳ chăm sóc tiếp","🟢 Chưa tới kỳ — chưa cần làm gì"))))))</f>
        <v/>
      </c>
    </row>
    <row r="64">
      <c r="A64" s="16" t="n"/>
      <c r="B64" s="16" t="n"/>
      <c r="C64" s="17" t="n"/>
      <c r="D64" s="18" t="n"/>
      <c r="E64" s="18" t="n"/>
      <c r="F64" s="16" t="n"/>
      <c r="G64" s="16" t="n"/>
      <c r="H64" s="16" t="n"/>
      <c r="I64" s="17" t="n"/>
      <c r="J64" s="19">
        <f>IF($A64="","",IF($C64="","⚠️ Thiếu ngày làm gần nhất",IF(AND(TODAY()-$C64&lt;=2,$H64&lt;&gt;"Có"),"💬 Cần nhắn hỏi thăm",IF(AND($I64&lt;&gt;"",$I64&gt;=TODAY()),"📅 Đã hẹn "&amp;TEXT($I64,"dd/mm"),IF(TODAY()-$C64&gt;=2*IF($G64="",30,$G64),"🔴 Lâu rồi chưa quay lại",IF(TODAY()-$C64&gt;=IF($G64="",30,$G64),"🟡 Tới kỳ chăm sóc tiếp","🟢 Chưa tới kỳ — chưa cần làm gì"))))))</f>
        <v/>
      </c>
    </row>
    <row r="65">
      <c r="A65" s="16" t="n"/>
      <c r="B65" s="16" t="n"/>
      <c r="C65" s="17" t="n"/>
      <c r="D65" s="18" t="n"/>
      <c r="E65" s="18" t="n"/>
      <c r="F65" s="16" t="n"/>
      <c r="G65" s="16" t="n"/>
      <c r="H65" s="16" t="n"/>
      <c r="I65" s="17" t="n"/>
      <c r="J65" s="19">
        <f>IF($A65="","",IF($C65="","⚠️ Thiếu ngày làm gần nhất",IF(AND(TODAY()-$C65&lt;=2,$H65&lt;&gt;"Có"),"💬 Cần nhắn hỏi thăm",IF(AND($I65&lt;&gt;"",$I65&gt;=TODAY()),"📅 Đã hẹn "&amp;TEXT($I65,"dd/mm"),IF(TODAY()-$C65&gt;=2*IF($G65="",30,$G65),"🔴 Lâu rồi chưa quay lại",IF(TODAY()-$C65&gt;=IF($G65="",30,$G65),"🟡 Tới kỳ chăm sóc tiếp","🟢 Chưa tới kỳ — chưa cần làm gì"))))))</f>
        <v/>
      </c>
    </row>
    <row r="66">
      <c r="A66" s="16" t="n"/>
      <c r="B66" s="16" t="n"/>
      <c r="C66" s="17" t="n"/>
      <c r="D66" s="18" t="n"/>
      <c r="E66" s="18" t="n"/>
      <c r="F66" s="16" t="n"/>
      <c r="G66" s="16" t="n"/>
      <c r="H66" s="16" t="n"/>
      <c r="I66" s="17" t="n"/>
      <c r="J66" s="19">
        <f>IF($A66="","",IF($C66="","⚠️ Thiếu ngày làm gần nhất",IF(AND(TODAY()-$C66&lt;=2,$H66&lt;&gt;"Có"),"💬 Cần nhắn hỏi thăm",IF(AND($I66&lt;&gt;"",$I66&gt;=TODAY()),"📅 Đã hẹn "&amp;TEXT($I66,"dd/mm"),IF(TODAY()-$C66&gt;=2*IF($G66="",30,$G66),"🔴 Lâu rồi chưa quay lại",IF(TODAY()-$C66&gt;=IF($G66="",30,$G66),"🟡 Tới kỳ chăm sóc tiếp","🟢 Chưa tới kỳ — chưa cần làm gì"))))))</f>
        <v/>
      </c>
    </row>
    <row r="67">
      <c r="A67" s="16" t="n"/>
      <c r="B67" s="16" t="n"/>
      <c r="C67" s="17" t="n"/>
      <c r="D67" s="18" t="n"/>
      <c r="E67" s="18" t="n"/>
      <c r="F67" s="16" t="n"/>
      <c r="G67" s="16" t="n"/>
      <c r="H67" s="16" t="n"/>
      <c r="I67" s="17" t="n"/>
      <c r="J67" s="19">
        <f>IF($A67="","",IF($C67="","⚠️ Thiếu ngày làm gần nhất",IF(AND(TODAY()-$C67&lt;=2,$H67&lt;&gt;"Có"),"💬 Cần nhắn hỏi thăm",IF(AND($I67&lt;&gt;"",$I67&gt;=TODAY()),"📅 Đã hẹn "&amp;TEXT($I67,"dd/mm"),IF(TODAY()-$C67&gt;=2*IF($G67="",30,$G67),"🔴 Lâu rồi chưa quay lại",IF(TODAY()-$C67&gt;=IF($G67="",30,$G67),"🟡 Tới kỳ chăm sóc tiếp","🟢 Chưa tới kỳ — chưa cần làm gì"))))))</f>
        <v/>
      </c>
    </row>
    <row r="68">
      <c r="A68" s="16" t="n"/>
      <c r="B68" s="16" t="n"/>
      <c r="C68" s="17" t="n"/>
      <c r="D68" s="18" t="n"/>
      <c r="E68" s="18" t="n"/>
      <c r="F68" s="16" t="n"/>
      <c r="G68" s="16" t="n"/>
      <c r="H68" s="16" t="n"/>
      <c r="I68" s="17" t="n"/>
      <c r="J68" s="19">
        <f>IF($A68="","",IF($C68="","⚠️ Thiếu ngày làm gần nhất",IF(AND(TODAY()-$C68&lt;=2,$H68&lt;&gt;"Có"),"💬 Cần nhắn hỏi thăm",IF(AND($I68&lt;&gt;"",$I68&gt;=TODAY()),"📅 Đã hẹn "&amp;TEXT($I68,"dd/mm"),IF(TODAY()-$C68&gt;=2*IF($G68="",30,$G68),"🔴 Lâu rồi chưa quay lại",IF(TODAY()-$C68&gt;=IF($G68="",30,$G68),"🟡 Tới kỳ chăm sóc tiếp","🟢 Chưa tới kỳ — chưa cần làm gì"))))))</f>
        <v/>
      </c>
    </row>
    <row r="69">
      <c r="A69" s="16" t="n"/>
      <c r="B69" s="16" t="n"/>
      <c r="C69" s="17" t="n"/>
      <c r="D69" s="18" t="n"/>
      <c r="E69" s="18" t="n"/>
      <c r="F69" s="16" t="n"/>
      <c r="G69" s="16" t="n"/>
      <c r="H69" s="16" t="n"/>
      <c r="I69" s="17" t="n"/>
      <c r="J69" s="19">
        <f>IF($A69="","",IF($C69="","⚠️ Thiếu ngày làm gần nhất",IF(AND(TODAY()-$C69&lt;=2,$H69&lt;&gt;"Có"),"💬 Cần nhắn hỏi thăm",IF(AND($I69&lt;&gt;"",$I69&gt;=TODAY()),"📅 Đã hẹn "&amp;TEXT($I69,"dd/mm"),IF(TODAY()-$C69&gt;=2*IF($G69="",30,$G69),"🔴 Lâu rồi chưa quay lại",IF(TODAY()-$C69&gt;=IF($G69="",30,$G69),"🟡 Tới kỳ chăm sóc tiếp","🟢 Chưa tới kỳ — chưa cần làm gì"))))))</f>
        <v/>
      </c>
    </row>
    <row r="70">
      <c r="A70" s="16" t="n"/>
      <c r="B70" s="16" t="n"/>
      <c r="C70" s="17" t="n"/>
      <c r="D70" s="18" t="n"/>
      <c r="E70" s="18" t="n"/>
      <c r="F70" s="16" t="n"/>
      <c r="G70" s="16" t="n"/>
      <c r="H70" s="16" t="n"/>
      <c r="I70" s="17" t="n"/>
      <c r="J70" s="19">
        <f>IF($A70="","",IF($C70="","⚠️ Thiếu ngày làm gần nhất",IF(AND(TODAY()-$C70&lt;=2,$H70&lt;&gt;"Có"),"💬 Cần nhắn hỏi thăm",IF(AND($I70&lt;&gt;"",$I70&gt;=TODAY()),"📅 Đã hẹn "&amp;TEXT($I70,"dd/mm"),IF(TODAY()-$C70&gt;=2*IF($G70="",30,$G70),"🔴 Lâu rồi chưa quay lại",IF(TODAY()-$C70&gt;=IF($G70="",30,$G70),"🟡 Tới kỳ chăm sóc tiếp","🟢 Chưa tới kỳ — chưa cần làm gì"))))))</f>
        <v/>
      </c>
    </row>
    <row r="71">
      <c r="A71" s="16" t="n"/>
      <c r="B71" s="16" t="n"/>
      <c r="C71" s="17" t="n"/>
      <c r="D71" s="18" t="n"/>
      <c r="E71" s="18" t="n"/>
      <c r="F71" s="16" t="n"/>
      <c r="G71" s="16" t="n"/>
      <c r="H71" s="16" t="n"/>
      <c r="I71" s="17" t="n"/>
      <c r="J71" s="19">
        <f>IF($A71="","",IF($C71="","⚠️ Thiếu ngày làm gần nhất",IF(AND(TODAY()-$C71&lt;=2,$H71&lt;&gt;"Có"),"💬 Cần nhắn hỏi thăm",IF(AND($I71&lt;&gt;"",$I71&gt;=TODAY()),"📅 Đã hẹn "&amp;TEXT($I71,"dd/mm"),IF(TODAY()-$C71&gt;=2*IF($G71="",30,$G71),"🔴 Lâu rồi chưa quay lại",IF(TODAY()-$C71&gt;=IF($G71="",30,$G71),"🟡 Tới kỳ chăm sóc tiếp","🟢 Chưa tới kỳ — chưa cần làm gì"))))))</f>
        <v/>
      </c>
    </row>
    <row r="72">
      <c r="A72" s="16" t="n"/>
      <c r="B72" s="16" t="n"/>
      <c r="C72" s="17" t="n"/>
      <c r="D72" s="18" t="n"/>
      <c r="E72" s="18" t="n"/>
      <c r="F72" s="16" t="n"/>
      <c r="G72" s="16" t="n"/>
      <c r="H72" s="16" t="n"/>
      <c r="I72" s="17" t="n"/>
      <c r="J72" s="19">
        <f>IF($A72="","",IF($C72="","⚠️ Thiếu ngày làm gần nhất",IF(AND(TODAY()-$C72&lt;=2,$H72&lt;&gt;"Có"),"💬 Cần nhắn hỏi thăm",IF(AND($I72&lt;&gt;"",$I72&gt;=TODAY()),"📅 Đã hẹn "&amp;TEXT($I72,"dd/mm"),IF(TODAY()-$C72&gt;=2*IF($G72="",30,$G72),"🔴 Lâu rồi chưa quay lại",IF(TODAY()-$C72&gt;=IF($G72="",30,$G72),"🟡 Tới kỳ chăm sóc tiếp","🟢 Chưa tới kỳ — chưa cần làm gì"))))))</f>
        <v/>
      </c>
    </row>
    <row r="73">
      <c r="A73" s="16" t="n"/>
      <c r="B73" s="16" t="n"/>
      <c r="C73" s="17" t="n"/>
      <c r="D73" s="18" t="n"/>
      <c r="E73" s="18" t="n"/>
      <c r="F73" s="16" t="n"/>
      <c r="G73" s="16" t="n"/>
      <c r="H73" s="16" t="n"/>
      <c r="I73" s="17" t="n"/>
      <c r="J73" s="19">
        <f>IF($A73="","",IF($C73="","⚠️ Thiếu ngày làm gần nhất",IF(AND(TODAY()-$C73&lt;=2,$H73&lt;&gt;"Có"),"💬 Cần nhắn hỏi thăm",IF(AND($I73&lt;&gt;"",$I73&gt;=TODAY()),"📅 Đã hẹn "&amp;TEXT($I73,"dd/mm"),IF(TODAY()-$C73&gt;=2*IF($G73="",30,$G73),"🔴 Lâu rồi chưa quay lại",IF(TODAY()-$C73&gt;=IF($G73="",30,$G73),"🟡 Tới kỳ chăm sóc tiếp","🟢 Chưa tới kỳ — chưa cần làm gì"))))))</f>
        <v/>
      </c>
    </row>
    <row r="74">
      <c r="A74" s="16" t="n"/>
      <c r="B74" s="16" t="n"/>
      <c r="C74" s="17" t="n"/>
      <c r="D74" s="18" t="n"/>
      <c r="E74" s="18" t="n"/>
      <c r="F74" s="16" t="n"/>
      <c r="G74" s="16" t="n"/>
      <c r="H74" s="16" t="n"/>
      <c r="I74" s="17" t="n"/>
      <c r="J74" s="19">
        <f>IF($A74="","",IF($C74="","⚠️ Thiếu ngày làm gần nhất",IF(AND(TODAY()-$C74&lt;=2,$H74&lt;&gt;"Có"),"💬 Cần nhắn hỏi thăm",IF(AND($I74&lt;&gt;"",$I74&gt;=TODAY()),"📅 Đã hẹn "&amp;TEXT($I74,"dd/mm"),IF(TODAY()-$C74&gt;=2*IF($G74="",30,$G74),"🔴 Lâu rồi chưa quay lại",IF(TODAY()-$C74&gt;=IF($G74="",30,$G74),"🟡 Tới kỳ chăm sóc tiếp","🟢 Chưa tới kỳ — chưa cần làm gì"))))))</f>
        <v/>
      </c>
    </row>
    <row r="75">
      <c r="A75" s="16" t="n"/>
      <c r="B75" s="16" t="n"/>
      <c r="C75" s="17" t="n"/>
      <c r="D75" s="18" t="n"/>
      <c r="E75" s="18" t="n"/>
      <c r="F75" s="16" t="n"/>
      <c r="G75" s="16" t="n"/>
      <c r="H75" s="16" t="n"/>
      <c r="I75" s="17" t="n"/>
      <c r="J75" s="19">
        <f>IF($A75="","",IF($C75="","⚠️ Thiếu ngày làm gần nhất",IF(AND(TODAY()-$C75&lt;=2,$H75&lt;&gt;"Có"),"💬 Cần nhắn hỏi thăm",IF(AND($I75&lt;&gt;"",$I75&gt;=TODAY()),"📅 Đã hẹn "&amp;TEXT($I75,"dd/mm"),IF(TODAY()-$C75&gt;=2*IF($G75="",30,$G75),"🔴 Lâu rồi chưa quay lại",IF(TODAY()-$C75&gt;=IF($G75="",30,$G75),"🟡 Tới kỳ chăm sóc tiếp","🟢 Chưa tới kỳ — chưa cần làm gì"))))))</f>
        <v/>
      </c>
    </row>
    <row r="76">
      <c r="A76" s="16" t="n"/>
      <c r="B76" s="16" t="n"/>
      <c r="C76" s="17" t="n"/>
      <c r="D76" s="18" t="n"/>
      <c r="E76" s="18" t="n"/>
      <c r="F76" s="16" t="n"/>
      <c r="G76" s="16" t="n"/>
      <c r="H76" s="16" t="n"/>
      <c r="I76" s="17" t="n"/>
      <c r="J76" s="19">
        <f>IF($A76="","",IF($C76="","⚠️ Thiếu ngày làm gần nhất",IF(AND(TODAY()-$C76&lt;=2,$H76&lt;&gt;"Có"),"💬 Cần nhắn hỏi thăm",IF(AND($I76&lt;&gt;"",$I76&gt;=TODAY()),"📅 Đã hẹn "&amp;TEXT($I76,"dd/mm"),IF(TODAY()-$C76&gt;=2*IF($G76="",30,$G76),"🔴 Lâu rồi chưa quay lại",IF(TODAY()-$C76&gt;=IF($G76="",30,$G76),"🟡 Tới kỳ chăm sóc tiếp","🟢 Chưa tới kỳ — chưa cần làm gì"))))))</f>
        <v/>
      </c>
    </row>
    <row r="77">
      <c r="A77" s="16" t="n"/>
      <c r="B77" s="16" t="n"/>
      <c r="C77" s="17" t="n"/>
      <c r="D77" s="18" t="n"/>
      <c r="E77" s="18" t="n"/>
      <c r="F77" s="16" t="n"/>
      <c r="G77" s="16" t="n"/>
      <c r="H77" s="16" t="n"/>
      <c r="I77" s="17" t="n"/>
      <c r="J77" s="19">
        <f>IF($A77="","",IF($C77="","⚠️ Thiếu ngày làm gần nhất",IF(AND(TODAY()-$C77&lt;=2,$H77&lt;&gt;"Có"),"💬 Cần nhắn hỏi thăm",IF(AND($I77&lt;&gt;"",$I77&gt;=TODAY()),"📅 Đã hẹn "&amp;TEXT($I77,"dd/mm"),IF(TODAY()-$C77&gt;=2*IF($G77="",30,$G77),"🔴 Lâu rồi chưa quay lại",IF(TODAY()-$C77&gt;=IF($G77="",30,$G77),"🟡 Tới kỳ chăm sóc tiếp","🟢 Chưa tới kỳ — chưa cần làm gì"))))))</f>
        <v/>
      </c>
    </row>
    <row r="78">
      <c r="A78" s="16" t="n"/>
      <c r="B78" s="16" t="n"/>
      <c r="C78" s="17" t="n"/>
      <c r="D78" s="18" t="n"/>
      <c r="E78" s="18" t="n"/>
      <c r="F78" s="16" t="n"/>
      <c r="G78" s="16" t="n"/>
      <c r="H78" s="16" t="n"/>
      <c r="I78" s="17" t="n"/>
      <c r="J78" s="19">
        <f>IF($A78="","",IF($C78="","⚠️ Thiếu ngày làm gần nhất",IF(AND(TODAY()-$C78&lt;=2,$H78&lt;&gt;"Có"),"💬 Cần nhắn hỏi thăm",IF(AND($I78&lt;&gt;"",$I78&gt;=TODAY()),"📅 Đã hẹn "&amp;TEXT($I78,"dd/mm"),IF(TODAY()-$C78&gt;=2*IF($G78="",30,$G78),"🔴 Lâu rồi chưa quay lại",IF(TODAY()-$C78&gt;=IF($G78="",30,$G78),"🟡 Tới kỳ chăm sóc tiếp","🟢 Chưa tới kỳ — chưa cần làm gì"))))))</f>
        <v/>
      </c>
    </row>
    <row r="79">
      <c r="A79" s="16" t="n"/>
      <c r="B79" s="16" t="n"/>
      <c r="C79" s="17" t="n"/>
      <c r="D79" s="18" t="n"/>
      <c r="E79" s="18" t="n"/>
      <c r="F79" s="16" t="n"/>
      <c r="G79" s="16" t="n"/>
      <c r="H79" s="16" t="n"/>
      <c r="I79" s="17" t="n"/>
      <c r="J79" s="19">
        <f>IF($A79="","",IF($C79="","⚠️ Thiếu ngày làm gần nhất",IF(AND(TODAY()-$C79&lt;=2,$H79&lt;&gt;"Có"),"💬 Cần nhắn hỏi thăm",IF(AND($I79&lt;&gt;"",$I79&gt;=TODAY()),"📅 Đã hẹn "&amp;TEXT($I79,"dd/mm"),IF(TODAY()-$C79&gt;=2*IF($G79="",30,$G79),"🔴 Lâu rồi chưa quay lại",IF(TODAY()-$C79&gt;=IF($G79="",30,$G79),"🟡 Tới kỳ chăm sóc tiếp","🟢 Chưa tới kỳ — chưa cần làm gì"))))))</f>
        <v/>
      </c>
    </row>
    <row r="80">
      <c r="A80" s="16" t="n"/>
      <c r="B80" s="16" t="n"/>
      <c r="C80" s="17" t="n"/>
      <c r="D80" s="18" t="n"/>
      <c r="E80" s="18" t="n"/>
      <c r="F80" s="16" t="n"/>
      <c r="G80" s="16" t="n"/>
      <c r="H80" s="16" t="n"/>
      <c r="I80" s="17" t="n"/>
      <c r="J80" s="19">
        <f>IF($A80="","",IF($C80="","⚠️ Thiếu ngày làm gần nhất",IF(AND(TODAY()-$C80&lt;=2,$H80&lt;&gt;"Có"),"💬 Cần nhắn hỏi thăm",IF(AND($I80&lt;&gt;"",$I80&gt;=TODAY()),"📅 Đã hẹn "&amp;TEXT($I80,"dd/mm"),IF(TODAY()-$C80&gt;=2*IF($G80="",30,$G80),"🔴 Lâu rồi chưa quay lại",IF(TODAY()-$C80&gt;=IF($G80="",30,$G80),"🟡 Tới kỳ chăm sóc tiếp","🟢 Chưa tới kỳ — chưa cần làm gì"))))))</f>
        <v/>
      </c>
    </row>
    <row r="81">
      <c r="A81" s="16" t="n"/>
      <c r="B81" s="16" t="n"/>
      <c r="C81" s="17" t="n"/>
      <c r="D81" s="18" t="n"/>
      <c r="E81" s="18" t="n"/>
      <c r="F81" s="16" t="n"/>
      <c r="G81" s="16" t="n"/>
      <c r="H81" s="16" t="n"/>
      <c r="I81" s="17" t="n"/>
      <c r="J81" s="19">
        <f>IF($A81="","",IF($C81="","⚠️ Thiếu ngày làm gần nhất",IF(AND(TODAY()-$C81&lt;=2,$H81&lt;&gt;"Có"),"💬 Cần nhắn hỏi thăm",IF(AND($I81&lt;&gt;"",$I81&gt;=TODAY()),"📅 Đã hẹn "&amp;TEXT($I81,"dd/mm"),IF(TODAY()-$C81&gt;=2*IF($G81="",30,$G81),"🔴 Lâu rồi chưa quay lại",IF(TODAY()-$C81&gt;=IF($G81="",30,$G81),"🟡 Tới kỳ chăm sóc tiếp","🟢 Chưa tới kỳ — chưa cần làm gì"))))))</f>
        <v/>
      </c>
    </row>
    <row r="82">
      <c r="A82" s="16" t="n"/>
      <c r="B82" s="16" t="n"/>
      <c r="C82" s="17" t="n"/>
      <c r="D82" s="18" t="n"/>
      <c r="E82" s="18" t="n"/>
      <c r="F82" s="16" t="n"/>
      <c r="G82" s="16" t="n"/>
      <c r="H82" s="16" t="n"/>
      <c r="I82" s="17" t="n"/>
      <c r="J82" s="19">
        <f>IF($A82="","",IF($C82="","⚠️ Thiếu ngày làm gần nhất",IF(AND(TODAY()-$C82&lt;=2,$H82&lt;&gt;"Có"),"💬 Cần nhắn hỏi thăm",IF(AND($I82&lt;&gt;"",$I82&gt;=TODAY()),"📅 Đã hẹn "&amp;TEXT($I82,"dd/mm"),IF(TODAY()-$C82&gt;=2*IF($G82="",30,$G82),"🔴 Lâu rồi chưa quay lại",IF(TODAY()-$C82&gt;=IF($G82="",30,$G82),"🟡 Tới kỳ chăm sóc tiếp","🟢 Chưa tới kỳ — chưa cần làm gì"))))))</f>
        <v/>
      </c>
    </row>
    <row r="83">
      <c r="A83" s="16" t="n"/>
      <c r="B83" s="16" t="n"/>
      <c r="C83" s="17" t="n"/>
      <c r="D83" s="18" t="n"/>
      <c r="E83" s="18" t="n"/>
      <c r="F83" s="16" t="n"/>
      <c r="G83" s="16" t="n"/>
      <c r="H83" s="16" t="n"/>
      <c r="I83" s="17" t="n"/>
      <c r="J83" s="19">
        <f>IF($A83="","",IF($C83="","⚠️ Thiếu ngày làm gần nhất",IF(AND(TODAY()-$C83&lt;=2,$H83&lt;&gt;"Có"),"💬 Cần nhắn hỏi thăm",IF(AND($I83&lt;&gt;"",$I83&gt;=TODAY()),"📅 Đã hẹn "&amp;TEXT($I83,"dd/mm"),IF(TODAY()-$C83&gt;=2*IF($G83="",30,$G83),"🔴 Lâu rồi chưa quay lại",IF(TODAY()-$C83&gt;=IF($G83="",30,$G83),"🟡 Tới kỳ chăm sóc tiếp","🟢 Chưa tới kỳ — chưa cần làm gì"))))))</f>
        <v/>
      </c>
    </row>
    <row r="84">
      <c r="A84" s="16" t="n"/>
      <c r="B84" s="16" t="n"/>
      <c r="C84" s="17" t="n"/>
      <c r="D84" s="18" t="n"/>
      <c r="E84" s="18" t="n"/>
      <c r="F84" s="16" t="n"/>
      <c r="G84" s="16" t="n"/>
      <c r="H84" s="16" t="n"/>
      <c r="I84" s="17" t="n"/>
      <c r="J84" s="19">
        <f>IF($A84="","",IF($C84="","⚠️ Thiếu ngày làm gần nhất",IF(AND(TODAY()-$C84&lt;=2,$H84&lt;&gt;"Có"),"💬 Cần nhắn hỏi thăm",IF(AND($I84&lt;&gt;"",$I84&gt;=TODAY()),"📅 Đã hẹn "&amp;TEXT($I84,"dd/mm"),IF(TODAY()-$C84&gt;=2*IF($G84="",30,$G84),"🔴 Lâu rồi chưa quay lại",IF(TODAY()-$C84&gt;=IF($G84="",30,$G84),"🟡 Tới kỳ chăm sóc tiếp","🟢 Chưa tới kỳ — chưa cần làm gì"))))))</f>
        <v/>
      </c>
    </row>
    <row r="85">
      <c r="A85" s="16" t="n"/>
      <c r="B85" s="16" t="n"/>
      <c r="C85" s="17" t="n"/>
      <c r="D85" s="18" t="n"/>
      <c r="E85" s="18" t="n"/>
      <c r="F85" s="16" t="n"/>
      <c r="G85" s="16" t="n"/>
      <c r="H85" s="16" t="n"/>
      <c r="I85" s="17" t="n"/>
      <c r="J85" s="19">
        <f>IF($A85="","",IF($C85="","⚠️ Thiếu ngày làm gần nhất",IF(AND(TODAY()-$C85&lt;=2,$H85&lt;&gt;"Có"),"💬 Cần nhắn hỏi thăm",IF(AND($I85&lt;&gt;"",$I85&gt;=TODAY()),"📅 Đã hẹn "&amp;TEXT($I85,"dd/mm"),IF(TODAY()-$C85&gt;=2*IF($G85="",30,$G85),"🔴 Lâu rồi chưa quay lại",IF(TODAY()-$C85&gt;=IF($G85="",30,$G85),"🟡 Tới kỳ chăm sóc tiếp","🟢 Chưa tới kỳ — chưa cần làm gì"))))))</f>
        <v/>
      </c>
    </row>
    <row r="86">
      <c r="A86" s="16" t="n"/>
      <c r="B86" s="16" t="n"/>
      <c r="C86" s="17" t="n"/>
      <c r="D86" s="18" t="n"/>
      <c r="E86" s="18" t="n"/>
      <c r="F86" s="16" t="n"/>
      <c r="G86" s="16" t="n"/>
      <c r="H86" s="16" t="n"/>
      <c r="I86" s="17" t="n"/>
      <c r="J86" s="19">
        <f>IF($A86="","",IF($C86="","⚠️ Thiếu ngày làm gần nhất",IF(AND(TODAY()-$C86&lt;=2,$H86&lt;&gt;"Có"),"💬 Cần nhắn hỏi thăm",IF(AND($I86&lt;&gt;"",$I86&gt;=TODAY()),"📅 Đã hẹn "&amp;TEXT($I86,"dd/mm"),IF(TODAY()-$C86&gt;=2*IF($G86="",30,$G86),"🔴 Lâu rồi chưa quay lại",IF(TODAY()-$C86&gt;=IF($G86="",30,$G86),"🟡 Tới kỳ chăm sóc tiếp","🟢 Chưa tới kỳ — chưa cần làm gì"))))))</f>
        <v/>
      </c>
    </row>
    <row r="87">
      <c r="A87" s="16" t="n"/>
      <c r="B87" s="16" t="n"/>
      <c r="C87" s="17" t="n"/>
      <c r="D87" s="18" t="n"/>
      <c r="E87" s="18" t="n"/>
      <c r="F87" s="16" t="n"/>
      <c r="G87" s="16" t="n"/>
      <c r="H87" s="16" t="n"/>
      <c r="I87" s="17" t="n"/>
      <c r="J87" s="19">
        <f>IF($A87="","",IF($C87="","⚠️ Thiếu ngày làm gần nhất",IF(AND(TODAY()-$C87&lt;=2,$H87&lt;&gt;"Có"),"💬 Cần nhắn hỏi thăm",IF(AND($I87&lt;&gt;"",$I87&gt;=TODAY()),"📅 Đã hẹn "&amp;TEXT($I87,"dd/mm"),IF(TODAY()-$C87&gt;=2*IF($G87="",30,$G87),"🔴 Lâu rồi chưa quay lại",IF(TODAY()-$C87&gt;=IF($G87="",30,$G87),"🟡 Tới kỳ chăm sóc tiếp","🟢 Chưa tới kỳ — chưa cần làm gì"))))))</f>
        <v/>
      </c>
    </row>
    <row r="88">
      <c r="A88" s="16" t="n"/>
      <c r="B88" s="16" t="n"/>
      <c r="C88" s="17" t="n"/>
      <c r="D88" s="18" t="n"/>
      <c r="E88" s="18" t="n"/>
      <c r="F88" s="16" t="n"/>
      <c r="G88" s="16" t="n"/>
      <c r="H88" s="16" t="n"/>
      <c r="I88" s="17" t="n"/>
      <c r="J88" s="19">
        <f>IF($A88="","",IF($C88="","⚠️ Thiếu ngày làm gần nhất",IF(AND(TODAY()-$C88&lt;=2,$H88&lt;&gt;"Có"),"💬 Cần nhắn hỏi thăm",IF(AND($I88&lt;&gt;"",$I88&gt;=TODAY()),"📅 Đã hẹn "&amp;TEXT($I88,"dd/mm"),IF(TODAY()-$C88&gt;=2*IF($G88="",30,$G88),"🔴 Lâu rồi chưa quay lại",IF(TODAY()-$C88&gt;=IF($G88="",30,$G88),"🟡 Tới kỳ chăm sóc tiếp","🟢 Chưa tới kỳ — chưa cần làm gì"))))))</f>
        <v/>
      </c>
    </row>
    <row r="89">
      <c r="A89" s="16" t="n"/>
      <c r="B89" s="16" t="n"/>
      <c r="C89" s="17" t="n"/>
      <c r="D89" s="18" t="n"/>
      <c r="E89" s="18" t="n"/>
      <c r="F89" s="16" t="n"/>
      <c r="G89" s="16" t="n"/>
      <c r="H89" s="16" t="n"/>
      <c r="I89" s="17" t="n"/>
      <c r="J89" s="19">
        <f>IF($A89="","",IF($C89="","⚠️ Thiếu ngày làm gần nhất",IF(AND(TODAY()-$C89&lt;=2,$H89&lt;&gt;"Có"),"💬 Cần nhắn hỏi thăm",IF(AND($I89&lt;&gt;"",$I89&gt;=TODAY()),"📅 Đã hẹn "&amp;TEXT($I89,"dd/mm"),IF(TODAY()-$C89&gt;=2*IF($G89="",30,$G89),"🔴 Lâu rồi chưa quay lại",IF(TODAY()-$C89&gt;=IF($G89="",30,$G89),"🟡 Tới kỳ chăm sóc tiếp","🟢 Chưa tới kỳ — chưa cần làm gì"))))))</f>
        <v/>
      </c>
    </row>
    <row r="90">
      <c r="A90" s="16" t="n"/>
      <c r="B90" s="16" t="n"/>
      <c r="C90" s="17" t="n"/>
      <c r="D90" s="18" t="n"/>
      <c r="E90" s="18" t="n"/>
      <c r="F90" s="16" t="n"/>
      <c r="G90" s="16" t="n"/>
      <c r="H90" s="16" t="n"/>
      <c r="I90" s="17" t="n"/>
      <c r="J90" s="19">
        <f>IF($A90="","",IF($C90="","⚠️ Thiếu ngày làm gần nhất",IF(AND(TODAY()-$C90&lt;=2,$H90&lt;&gt;"Có"),"💬 Cần nhắn hỏi thăm",IF(AND($I90&lt;&gt;"",$I90&gt;=TODAY()),"📅 Đã hẹn "&amp;TEXT($I90,"dd/mm"),IF(TODAY()-$C90&gt;=2*IF($G90="",30,$G90),"🔴 Lâu rồi chưa quay lại",IF(TODAY()-$C90&gt;=IF($G90="",30,$G90),"🟡 Tới kỳ chăm sóc tiếp","🟢 Chưa tới kỳ — chưa cần làm gì"))))))</f>
        <v/>
      </c>
    </row>
    <row r="91">
      <c r="A91" s="16" t="n"/>
      <c r="B91" s="16" t="n"/>
      <c r="C91" s="17" t="n"/>
      <c r="D91" s="18" t="n"/>
      <c r="E91" s="18" t="n"/>
      <c r="F91" s="16" t="n"/>
      <c r="G91" s="16" t="n"/>
      <c r="H91" s="16" t="n"/>
      <c r="I91" s="17" t="n"/>
      <c r="J91" s="19">
        <f>IF($A91="","",IF($C91="","⚠️ Thiếu ngày làm gần nhất",IF(AND(TODAY()-$C91&lt;=2,$H91&lt;&gt;"Có"),"💬 Cần nhắn hỏi thăm",IF(AND($I91&lt;&gt;"",$I91&gt;=TODAY()),"📅 Đã hẹn "&amp;TEXT($I91,"dd/mm"),IF(TODAY()-$C91&gt;=2*IF($G91="",30,$G91),"🔴 Lâu rồi chưa quay lại",IF(TODAY()-$C91&gt;=IF($G91="",30,$G91),"🟡 Tới kỳ chăm sóc tiếp","🟢 Chưa tới kỳ — chưa cần làm gì"))))))</f>
        <v/>
      </c>
    </row>
    <row r="92">
      <c r="A92" s="16" t="n"/>
      <c r="B92" s="16" t="n"/>
      <c r="C92" s="17" t="n"/>
      <c r="D92" s="18" t="n"/>
      <c r="E92" s="18" t="n"/>
      <c r="F92" s="16" t="n"/>
      <c r="G92" s="16" t="n"/>
      <c r="H92" s="16" t="n"/>
      <c r="I92" s="17" t="n"/>
      <c r="J92" s="19">
        <f>IF($A92="","",IF($C92="","⚠️ Thiếu ngày làm gần nhất",IF(AND(TODAY()-$C92&lt;=2,$H92&lt;&gt;"Có"),"💬 Cần nhắn hỏi thăm",IF(AND($I92&lt;&gt;"",$I92&gt;=TODAY()),"📅 Đã hẹn "&amp;TEXT($I92,"dd/mm"),IF(TODAY()-$C92&gt;=2*IF($G92="",30,$G92),"🔴 Lâu rồi chưa quay lại",IF(TODAY()-$C92&gt;=IF($G92="",30,$G92),"🟡 Tới kỳ chăm sóc tiếp","🟢 Chưa tới kỳ — chưa cần làm gì"))))))</f>
        <v/>
      </c>
    </row>
    <row r="93">
      <c r="A93" s="16" t="n"/>
      <c r="B93" s="16" t="n"/>
      <c r="C93" s="17" t="n"/>
      <c r="D93" s="18" t="n"/>
      <c r="E93" s="18" t="n"/>
      <c r="F93" s="16" t="n"/>
      <c r="G93" s="16" t="n"/>
      <c r="H93" s="16" t="n"/>
      <c r="I93" s="17" t="n"/>
      <c r="J93" s="19">
        <f>IF($A93="","",IF($C93="","⚠️ Thiếu ngày làm gần nhất",IF(AND(TODAY()-$C93&lt;=2,$H93&lt;&gt;"Có"),"💬 Cần nhắn hỏi thăm",IF(AND($I93&lt;&gt;"",$I93&gt;=TODAY()),"📅 Đã hẹn "&amp;TEXT($I93,"dd/mm"),IF(TODAY()-$C93&gt;=2*IF($G93="",30,$G93),"🔴 Lâu rồi chưa quay lại",IF(TODAY()-$C93&gt;=IF($G93="",30,$G93),"🟡 Tới kỳ chăm sóc tiếp","🟢 Chưa tới kỳ — chưa cần làm gì"))))))</f>
        <v/>
      </c>
    </row>
    <row r="94">
      <c r="A94" s="16" t="n"/>
      <c r="B94" s="16" t="n"/>
      <c r="C94" s="17" t="n"/>
      <c r="D94" s="18" t="n"/>
      <c r="E94" s="18" t="n"/>
      <c r="F94" s="16" t="n"/>
      <c r="G94" s="16" t="n"/>
      <c r="H94" s="16" t="n"/>
      <c r="I94" s="17" t="n"/>
      <c r="J94" s="19">
        <f>IF($A94="","",IF($C94="","⚠️ Thiếu ngày làm gần nhất",IF(AND(TODAY()-$C94&lt;=2,$H94&lt;&gt;"Có"),"💬 Cần nhắn hỏi thăm",IF(AND($I94&lt;&gt;"",$I94&gt;=TODAY()),"📅 Đã hẹn "&amp;TEXT($I94,"dd/mm"),IF(TODAY()-$C94&gt;=2*IF($G94="",30,$G94),"🔴 Lâu rồi chưa quay lại",IF(TODAY()-$C94&gt;=IF($G94="",30,$G94),"🟡 Tới kỳ chăm sóc tiếp","🟢 Chưa tới kỳ — chưa cần làm gì"))))))</f>
        <v/>
      </c>
    </row>
    <row r="95">
      <c r="A95" s="16" t="n"/>
      <c r="B95" s="16" t="n"/>
      <c r="C95" s="17" t="n"/>
      <c r="D95" s="18" t="n"/>
      <c r="E95" s="18" t="n"/>
      <c r="F95" s="16" t="n"/>
      <c r="G95" s="16" t="n"/>
      <c r="H95" s="16" t="n"/>
      <c r="I95" s="17" t="n"/>
      <c r="J95" s="19">
        <f>IF($A95="","",IF($C95="","⚠️ Thiếu ngày làm gần nhất",IF(AND(TODAY()-$C95&lt;=2,$H95&lt;&gt;"Có"),"💬 Cần nhắn hỏi thăm",IF(AND($I95&lt;&gt;"",$I95&gt;=TODAY()),"📅 Đã hẹn "&amp;TEXT($I95,"dd/mm"),IF(TODAY()-$C95&gt;=2*IF($G95="",30,$G95),"🔴 Lâu rồi chưa quay lại",IF(TODAY()-$C95&gt;=IF($G95="",30,$G95),"🟡 Tới kỳ chăm sóc tiếp","🟢 Chưa tới kỳ — chưa cần làm gì"))))))</f>
        <v/>
      </c>
    </row>
    <row r="96">
      <c r="A96" s="16" t="n"/>
      <c r="B96" s="16" t="n"/>
      <c r="C96" s="17" t="n"/>
      <c r="D96" s="18" t="n"/>
      <c r="E96" s="18" t="n"/>
      <c r="F96" s="16" t="n"/>
      <c r="G96" s="16" t="n"/>
      <c r="H96" s="16" t="n"/>
      <c r="I96" s="17" t="n"/>
      <c r="J96" s="19">
        <f>IF($A96="","",IF($C96="","⚠️ Thiếu ngày làm gần nhất",IF(AND(TODAY()-$C96&lt;=2,$H96&lt;&gt;"Có"),"💬 Cần nhắn hỏi thăm",IF(AND($I96&lt;&gt;"",$I96&gt;=TODAY()),"📅 Đã hẹn "&amp;TEXT($I96,"dd/mm"),IF(TODAY()-$C96&gt;=2*IF($G96="",30,$G96),"🔴 Lâu rồi chưa quay lại",IF(TODAY()-$C96&gt;=IF($G96="",30,$G96),"🟡 Tới kỳ chăm sóc tiếp","🟢 Chưa tới kỳ — chưa cần làm gì"))))))</f>
        <v/>
      </c>
    </row>
    <row r="97">
      <c r="A97" s="16" t="n"/>
      <c r="B97" s="16" t="n"/>
      <c r="C97" s="17" t="n"/>
      <c r="D97" s="18" t="n"/>
      <c r="E97" s="18" t="n"/>
      <c r="F97" s="16" t="n"/>
      <c r="G97" s="16" t="n"/>
      <c r="H97" s="16" t="n"/>
      <c r="I97" s="17" t="n"/>
      <c r="J97" s="19">
        <f>IF($A97="","",IF($C97="","⚠️ Thiếu ngày làm gần nhất",IF(AND(TODAY()-$C97&lt;=2,$H97&lt;&gt;"Có"),"💬 Cần nhắn hỏi thăm",IF(AND($I97&lt;&gt;"",$I97&gt;=TODAY()),"📅 Đã hẹn "&amp;TEXT($I97,"dd/mm"),IF(TODAY()-$C97&gt;=2*IF($G97="",30,$G97),"🔴 Lâu rồi chưa quay lại",IF(TODAY()-$C97&gt;=IF($G97="",30,$G97),"🟡 Tới kỳ chăm sóc tiếp","🟢 Chưa tới kỳ — chưa cần làm gì"))))))</f>
        <v/>
      </c>
    </row>
    <row r="98">
      <c r="A98" s="16" t="n"/>
      <c r="B98" s="16" t="n"/>
      <c r="C98" s="17" t="n"/>
      <c r="D98" s="18" t="n"/>
      <c r="E98" s="18" t="n"/>
      <c r="F98" s="16" t="n"/>
      <c r="G98" s="16" t="n"/>
      <c r="H98" s="16" t="n"/>
      <c r="I98" s="17" t="n"/>
      <c r="J98" s="19">
        <f>IF($A98="","",IF($C98="","⚠️ Thiếu ngày làm gần nhất",IF(AND(TODAY()-$C98&lt;=2,$H98&lt;&gt;"Có"),"💬 Cần nhắn hỏi thăm",IF(AND($I98&lt;&gt;"",$I98&gt;=TODAY()),"📅 Đã hẹn "&amp;TEXT($I98,"dd/mm"),IF(TODAY()-$C98&gt;=2*IF($G98="",30,$G98),"🔴 Lâu rồi chưa quay lại",IF(TODAY()-$C98&gt;=IF($G98="",30,$G98),"🟡 Tới kỳ chăm sóc tiếp","🟢 Chưa tới kỳ — chưa cần làm gì"))))))</f>
        <v/>
      </c>
    </row>
    <row r="99">
      <c r="A99" s="16" t="n"/>
      <c r="B99" s="16" t="n"/>
      <c r="C99" s="17" t="n"/>
      <c r="D99" s="18" t="n"/>
      <c r="E99" s="18" t="n"/>
      <c r="F99" s="16" t="n"/>
      <c r="G99" s="16" t="n"/>
      <c r="H99" s="16" t="n"/>
      <c r="I99" s="17" t="n"/>
      <c r="J99" s="19">
        <f>IF($A99="","",IF($C99="","⚠️ Thiếu ngày làm gần nhất",IF(AND(TODAY()-$C99&lt;=2,$H99&lt;&gt;"Có"),"💬 Cần nhắn hỏi thăm",IF(AND($I99&lt;&gt;"",$I99&gt;=TODAY()),"📅 Đã hẹn "&amp;TEXT($I99,"dd/mm"),IF(TODAY()-$C99&gt;=2*IF($G99="",30,$G99),"🔴 Lâu rồi chưa quay lại",IF(TODAY()-$C99&gt;=IF($G99="",30,$G99),"🟡 Tới kỳ chăm sóc tiếp","🟢 Chưa tới kỳ — chưa cần làm gì"))))))</f>
        <v/>
      </c>
    </row>
    <row r="100">
      <c r="A100" s="16" t="n"/>
      <c r="B100" s="16" t="n"/>
      <c r="C100" s="17" t="n"/>
      <c r="D100" s="18" t="n"/>
      <c r="E100" s="18" t="n"/>
      <c r="F100" s="16" t="n"/>
      <c r="G100" s="16" t="n"/>
      <c r="H100" s="16" t="n"/>
      <c r="I100" s="17" t="n"/>
      <c r="J100" s="19">
        <f>IF($A100="","",IF($C100="","⚠️ Thiếu ngày làm gần nhất",IF(AND(TODAY()-$C100&lt;=2,$H100&lt;&gt;"Có"),"💬 Cần nhắn hỏi thăm",IF(AND($I100&lt;&gt;"",$I100&gt;=TODAY()),"📅 Đã hẹn "&amp;TEXT($I100,"dd/mm"),IF(TODAY()-$C100&gt;=2*IF($G100="",30,$G100),"🔴 Lâu rồi chưa quay lại",IF(TODAY()-$C100&gt;=IF($G100="",30,$G100),"🟡 Tới kỳ chăm sóc tiếp","🟢 Chưa tới kỳ — chưa cần làm gì"))))))</f>
        <v/>
      </c>
    </row>
    <row r="101">
      <c r="A101" s="16" t="n"/>
      <c r="B101" s="16" t="n"/>
      <c r="C101" s="17" t="n"/>
      <c r="D101" s="18" t="n"/>
      <c r="E101" s="18" t="n"/>
      <c r="F101" s="16" t="n"/>
      <c r="G101" s="16" t="n"/>
      <c r="H101" s="16" t="n"/>
      <c r="I101" s="17" t="n"/>
      <c r="J101" s="19">
        <f>IF($A101="","",IF($C101="","⚠️ Thiếu ngày làm gần nhất",IF(AND(TODAY()-$C101&lt;=2,$H101&lt;&gt;"Có"),"💬 Cần nhắn hỏi thăm",IF(AND($I101&lt;&gt;"",$I101&gt;=TODAY()),"📅 Đã hẹn "&amp;TEXT($I101,"dd/mm"),IF(TODAY()-$C101&gt;=2*IF($G101="",30,$G101),"🔴 Lâu rồi chưa quay lại",IF(TODAY()-$C101&gt;=IF($G101="",30,$G101),"🟡 Tới kỳ chăm sóc tiếp","🟢 Chưa tới kỳ — chưa cần làm gì"))))))</f>
        <v/>
      </c>
    </row>
    <row r="102">
      <c r="A102" s="16" t="n"/>
      <c r="B102" s="16" t="n"/>
      <c r="C102" s="17" t="n"/>
      <c r="D102" s="18" t="n"/>
      <c r="E102" s="18" t="n"/>
      <c r="F102" s="16" t="n"/>
      <c r="G102" s="16" t="n"/>
      <c r="H102" s="16" t="n"/>
      <c r="I102" s="17" t="n"/>
      <c r="J102" s="19">
        <f>IF($A102="","",IF($C102="","⚠️ Thiếu ngày làm gần nhất",IF(AND(TODAY()-$C102&lt;=2,$H102&lt;&gt;"Có"),"💬 Cần nhắn hỏi thăm",IF(AND($I102&lt;&gt;"",$I102&gt;=TODAY()),"📅 Đã hẹn "&amp;TEXT($I102,"dd/mm"),IF(TODAY()-$C102&gt;=2*IF($G102="",30,$G102),"🔴 Lâu rồi chưa quay lại",IF(TODAY()-$C102&gt;=IF($G102="",30,$G102),"🟡 Tới kỳ chăm sóc tiếp","🟢 Chưa tới kỳ — chưa cần làm gì"))))))</f>
        <v/>
      </c>
    </row>
    <row r="103">
      <c r="A103" s="16" t="n"/>
      <c r="B103" s="16" t="n"/>
      <c r="C103" s="17" t="n"/>
      <c r="D103" s="18" t="n"/>
      <c r="E103" s="18" t="n"/>
      <c r="F103" s="16" t="n"/>
      <c r="G103" s="16" t="n"/>
      <c r="H103" s="16" t="n"/>
      <c r="I103" s="17" t="n"/>
      <c r="J103" s="19">
        <f>IF($A103="","",IF($C103="","⚠️ Thiếu ngày làm gần nhất",IF(AND(TODAY()-$C103&lt;=2,$H103&lt;&gt;"Có"),"💬 Cần nhắn hỏi thăm",IF(AND($I103&lt;&gt;"",$I103&gt;=TODAY()),"📅 Đã hẹn "&amp;TEXT($I103,"dd/mm"),IF(TODAY()-$C103&gt;=2*IF($G103="",30,$G103),"🔴 Lâu rồi chưa quay lại",IF(TODAY()-$C103&gt;=IF($G103="",30,$G103),"🟡 Tới kỳ chăm sóc tiếp","🟢 Chưa tới kỳ — chưa cần làm gì"))))))</f>
        <v/>
      </c>
    </row>
    <row r="104">
      <c r="A104" s="16" t="n"/>
      <c r="B104" s="16" t="n"/>
      <c r="C104" s="17" t="n"/>
      <c r="D104" s="18" t="n"/>
      <c r="E104" s="18" t="n"/>
      <c r="F104" s="16" t="n"/>
      <c r="G104" s="16" t="n"/>
      <c r="H104" s="16" t="n"/>
      <c r="I104" s="17" t="n"/>
      <c r="J104" s="19">
        <f>IF($A104="","",IF($C104="","⚠️ Thiếu ngày làm gần nhất",IF(AND(TODAY()-$C104&lt;=2,$H104&lt;&gt;"Có"),"💬 Cần nhắn hỏi thăm",IF(AND($I104&lt;&gt;"",$I104&gt;=TODAY()),"📅 Đã hẹn "&amp;TEXT($I104,"dd/mm"),IF(TODAY()-$C104&gt;=2*IF($G104="",30,$G104),"🔴 Lâu rồi chưa quay lại",IF(TODAY()-$C104&gt;=IF($G104="",30,$G104),"🟡 Tới kỳ chăm sóc tiếp","🟢 Chưa tới kỳ — chưa cần làm gì"))))))</f>
        <v/>
      </c>
    </row>
    <row r="105">
      <c r="A105" s="16" t="n"/>
      <c r="B105" s="16" t="n"/>
      <c r="C105" s="17" t="n"/>
      <c r="D105" s="18" t="n"/>
      <c r="E105" s="18" t="n"/>
      <c r="F105" s="16" t="n"/>
      <c r="G105" s="16" t="n"/>
      <c r="H105" s="16" t="n"/>
      <c r="I105" s="17" t="n"/>
      <c r="J105" s="19">
        <f>IF($A105="","",IF($C105="","⚠️ Thiếu ngày làm gần nhất",IF(AND(TODAY()-$C105&lt;=2,$H105&lt;&gt;"Có"),"💬 Cần nhắn hỏi thăm",IF(AND($I105&lt;&gt;"",$I105&gt;=TODAY()),"📅 Đã hẹn "&amp;TEXT($I105,"dd/mm"),IF(TODAY()-$C105&gt;=2*IF($G105="",30,$G105),"🔴 Lâu rồi chưa quay lại",IF(TODAY()-$C105&gt;=IF($G105="",30,$G105),"🟡 Tới kỳ chăm sóc tiếp","🟢 Chưa tới kỳ — chưa cần làm gì"))))))</f>
        <v/>
      </c>
    </row>
    <row r="106">
      <c r="A106" s="16" t="n"/>
      <c r="B106" s="16" t="n"/>
      <c r="C106" s="17" t="n"/>
      <c r="D106" s="18" t="n"/>
      <c r="E106" s="18" t="n"/>
      <c r="F106" s="16" t="n"/>
      <c r="G106" s="16" t="n"/>
      <c r="H106" s="16" t="n"/>
      <c r="I106" s="17" t="n"/>
      <c r="J106" s="19">
        <f>IF($A106="","",IF($C106="","⚠️ Thiếu ngày làm gần nhất",IF(AND(TODAY()-$C106&lt;=2,$H106&lt;&gt;"Có"),"💬 Cần nhắn hỏi thăm",IF(AND($I106&lt;&gt;"",$I106&gt;=TODAY()),"📅 Đã hẹn "&amp;TEXT($I106,"dd/mm"),IF(TODAY()-$C106&gt;=2*IF($G106="",30,$G106),"🔴 Lâu rồi chưa quay lại",IF(TODAY()-$C106&gt;=IF($G106="",30,$G106),"🟡 Tới kỳ chăm sóc tiếp","🟢 Chưa tới kỳ — chưa cần làm gì"))))))</f>
        <v/>
      </c>
    </row>
    <row r="107">
      <c r="A107" s="16" t="n"/>
      <c r="B107" s="16" t="n"/>
      <c r="C107" s="17" t="n"/>
      <c r="D107" s="18" t="n"/>
      <c r="E107" s="18" t="n"/>
      <c r="F107" s="16" t="n"/>
      <c r="G107" s="16" t="n"/>
      <c r="H107" s="16" t="n"/>
      <c r="I107" s="17" t="n"/>
      <c r="J107" s="19">
        <f>IF($A107="","",IF($C107="","⚠️ Thiếu ngày làm gần nhất",IF(AND(TODAY()-$C107&lt;=2,$H107&lt;&gt;"Có"),"💬 Cần nhắn hỏi thăm",IF(AND($I107&lt;&gt;"",$I107&gt;=TODAY()),"📅 Đã hẹn "&amp;TEXT($I107,"dd/mm"),IF(TODAY()-$C107&gt;=2*IF($G107="",30,$G107),"🔴 Lâu rồi chưa quay lại",IF(TODAY()-$C107&gt;=IF($G107="",30,$G107),"🟡 Tới kỳ chăm sóc tiếp","🟢 Chưa tới kỳ — chưa cần làm gì"))))))</f>
        <v/>
      </c>
    </row>
    <row r="108">
      <c r="A108" s="16" t="n"/>
      <c r="B108" s="16" t="n"/>
      <c r="C108" s="17" t="n"/>
      <c r="D108" s="18" t="n"/>
      <c r="E108" s="18" t="n"/>
      <c r="F108" s="16" t="n"/>
      <c r="G108" s="16" t="n"/>
      <c r="H108" s="16" t="n"/>
      <c r="I108" s="17" t="n"/>
      <c r="J108" s="19">
        <f>IF($A108="","",IF($C108="","⚠️ Thiếu ngày làm gần nhất",IF(AND(TODAY()-$C108&lt;=2,$H108&lt;&gt;"Có"),"💬 Cần nhắn hỏi thăm",IF(AND($I108&lt;&gt;"",$I108&gt;=TODAY()),"📅 Đã hẹn "&amp;TEXT($I108,"dd/mm"),IF(TODAY()-$C108&gt;=2*IF($G108="",30,$G108),"🔴 Lâu rồi chưa quay lại",IF(TODAY()-$C108&gt;=IF($G108="",30,$G108),"🟡 Tới kỳ chăm sóc tiếp","🟢 Chưa tới kỳ — chưa cần làm gì"))))))</f>
        <v/>
      </c>
    </row>
    <row r="109">
      <c r="A109" s="16" t="n"/>
      <c r="B109" s="16" t="n"/>
      <c r="C109" s="17" t="n"/>
      <c r="D109" s="18" t="n"/>
      <c r="E109" s="18" t="n"/>
      <c r="F109" s="16" t="n"/>
      <c r="G109" s="16" t="n"/>
      <c r="H109" s="16" t="n"/>
      <c r="I109" s="17" t="n"/>
      <c r="J109" s="19">
        <f>IF($A109="","",IF($C109="","⚠️ Thiếu ngày làm gần nhất",IF(AND(TODAY()-$C109&lt;=2,$H109&lt;&gt;"Có"),"💬 Cần nhắn hỏi thăm",IF(AND($I109&lt;&gt;"",$I109&gt;=TODAY()),"📅 Đã hẹn "&amp;TEXT($I109,"dd/mm"),IF(TODAY()-$C109&gt;=2*IF($G109="",30,$G109),"🔴 Lâu rồi chưa quay lại",IF(TODAY()-$C109&gt;=IF($G109="",30,$G109),"🟡 Tới kỳ chăm sóc tiếp","🟢 Chưa tới kỳ — chưa cần làm gì"))))))</f>
        <v/>
      </c>
    </row>
    <row r="110">
      <c r="A110" s="16" t="n"/>
      <c r="B110" s="16" t="n"/>
      <c r="C110" s="17" t="n"/>
      <c r="D110" s="18" t="n"/>
      <c r="E110" s="18" t="n"/>
      <c r="F110" s="16" t="n"/>
      <c r="G110" s="16" t="n"/>
      <c r="H110" s="16" t="n"/>
      <c r="I110" s="17" t="n"/>
      <c r="J110" s="19">
        <f>IF($A110="","",IF($C110="","⚠️ Thiếu ngày làm gần nhất",IF(AND(TODAY()-$C110&lt;=2,$H110&lt;&gt;"Có"),"💬 Cần nhắn hỏi thăm",IF(AND($I110&lt;&gt;"",$I110&gt;=TODAY()),"📅 Đã hẹn "&amp;TEXT($I110,"dd/mm"),IF(TODAY()-$C110&gt;=2*IF($G110="",30,$G110),"🔴 Lâu rồi chưa quay lại",IF(TODAY()-$C110&gt;=IF($G110="",30,$G110),"🟡 Tới kỳ chăm sóc tiếp","🟢 Chưa tới kỳ — chưa cần làm gì"))))))</f>
        <v/>
      </c>
    </row>
    <row r="111">
      <c r="A111" s="16" t="n"/>
      <c r="B111" s="16" t="n"/>
      <c r="C111" s="17" t="n"/>
      <c r="D111" s="18" t="n"/>
      <c r="E111" s="18" t="n"/>
      <c r="F111" s="16" t="n"/>
      <c r="G111" s="16" t="n"/>
      <c r="H111" s="16" t="n"/>
      <c r="I111" s="17" t="n"/>
      <c r="J111" s="19">
        <f>IF($A111="","",IF($C111="","⚠️ Thiếu ngày làm gần nhất",IF(AND(TODAY()-$C111&lt;=2,$H111&lt;&gt;"Có"),"💬 Cần nhắn hỏi thăm",IF(AND($I111&lt;&gt;"",$I111&gt;=TODAY()),"📅 Đã hẹn "&amp;TEXT($I111,"dd/mm"),IF(TODAY()-$C111&gt;=2*IF($G111="",30,$G111),"🔴 Lâu rồi chưa quay lại",IF(TODAY()-$C111&gt;=IF($G111="",30,$G111),"🟡 Tới kỳ chăm sóc tiếp","🟢 Chưa tới kỳ — chưa cần làm gì"))))))</f>
        <v/>
      </c>
    </row>
    <row r="112">
      <c r="A112" s="16" t="n"/>
      <c r="B112" s="16" t="n"/>
      <c r="C112" s="17" t="n"/>
      <c r="D112" s="18" t="n"/>
      <c r="E112" s="18" t="n"/>
      <c r="F112" s="16" t="n"/>
      <c r="G112" s="16" t="n"/>
      <c r="H112" s="16" t="n"/>
      <c r="I112" s="17" t="n"/>
      <c r="J112" s="19">
        <f>IF($A112="","",IF($C112="","⚠️ Thiếu ngày làm gần nhất",IF(AND(TODAY()-$C112&lt;=2,$H112&lt;&gt;"Có"),"💬 Cần nhắn hỏi thăm",IF(AND($I112&lt;&gt;"",$I112&gt;=TODAY()),"📅 Đã hẹn "&amp;TEXT($I112,"dd/mm"),IF(TODAY()-$C112&gt;=2*IF($G112="",30,$G112),"🔴 Lâu rồi chưa quay lại",IF(TODAY()-$C112&gt;=IF($G112="",30,$G112),"🟡 Tới kỳ chăm sóc tiếp","🟢 Chưa tới kỳ — chưa cần làm gì"))))))</f>
        <v/>
      </c>
    </row>
    <row r="113">
      <c r="A113" s="16" t="n"/>
      <c r="B113" s="16" t="n"/>
      <c r="C113" s="17" t="n"/>
      <c r="D113" s="18" t="n"/>
      <c r="E113" s="18" t="n"/>
      <c r="F113" s="16" t="n"/>
      <c r="G113" s="16" t="n"/>
      <c r="H113" s="16" t="n"/>
      <c r="I113" s="17" t="n"/>
      <c r="J113" s="19">
        <f>IF($A113="","",IF($C113="","⚠️ Thiếu ngày làm gần nhất",IF(AND(TODAY()-$C113&lt;=2,$H113&lt;&gt;"Có"),"💬 Cần nhắn hỏi thăm",IF(AND($I113&lt;&gt;"",$I113&gt;=TODAY()),"📅 Đã hẹn "&amp;TEXT($I113,"dd/mm"),IF(TODAY()-$C113&gt;=2*IF($G113="",30,$G113),"🔴 Lâu rồi chưa quay lại",IF(TODAY()-$C113&gt;=IF($G113="",30,$G113),"🟡 Tới kỳ chăm sóc tiếp","🟢 Chưa tới kỳ — chưa cần làm gì"))))))</f>
        <v/>
      </c>
    </row>
    <row r="114">
      <c r="A114" s="16" t="n"/>
      <c r="B114" s="16" t="n"/>
      <c r="C114" s="17" t="n"/>
      <c r="D114" s="18" t="n"/>
      <c r="E114" s="18" t="n"/>
      <c r="F114" s="16" t="n"/>
      <c r="G114" s="16" t="n"/>
      <c r="H114" s="16" t="n"/>
      <c r="I114" s="17" t="n"/>
      <c r="J114" s="19">
        <f>IF($A114="","",IF($C114="","⚠️ Thiếu ngày làm gần nhất",IF(AND(TODAY()-$C114&lt;=2,$H114&lt;&gt;"Có"),"💬 Cần nhắn hỏi thăm",IF(AND($I114&lt;&gt;"",$I114&gt;=TODAY()),"📅 Đã hẹn "&amp;TEXT($I114,"dd/mm"),IF(TODAY()-$C114&gt;=2*IF($G114="",30,$G114),"🔴 Lâu rồi chưa quay lại",IF(TODAY()-$C114&gt;=IF($G114="",30,$G114),"🟡 Tới kỳ chăm sóc tiếp","🟢 Chưa tới kỳ — chưa cần làm gì"))))))</f>
        <v/>
      </c>
    </row>
    <row r="115">
      <c r="A115" s="16" t="n"/>
      <c r="B115" s="16" t="n"/>
      <c r="C115" s="17" t="n"/>
      <c r="D115" s="18" t="n"/>
      <c r="E115" s="18" t="n"/>
      <c r="F115" s="16" t="n"/>
      <c r="G115" s="16" t="n"/>
      <c r="H115" s="16" t="n"/>
      <c r="I115" s="17" t="n"/>
      <c r="J115" s="19">
        <f>IF($A115="","",IF($C115="","⚠️ Thiếu ngày làm gần nhất",IF(AND(TODAY()-$C115&lt;=2,$H115&lt;&gt;"Có"),"💬 Cần nhắn hỏi thăm",IF(AND($I115&lt;&gt;"",$I115&gt;=TODAY()),"📅 Đã hẹn "&amp;TEXT($I115,"dd/mm"),IF(TODAY()-$C115&gt;=2*IF($G115="",30,$G115),"🔴 Lâu rồi chưa quay lại",IF(TODAY()-$C115&gt;=IF($G115="",30,$G115),"🟡 Tới kỳ chăm sóc tiếp","🟢 Chưa tới kỳ — chưa cần làm gì"))))))</f>
        <v/>
      </c>
    </row>
    <row r="116">
      <c r="A116" s="16" t="n"/>
      <c r="B116" s="16" t="n"/>
      <c r="C116" s="17" t="n"/>
      <c r="D116" s="18" t="n"/>
      <c r="E116" s="18" t="n"/>
      <c r="F116" s="16" t="n"/>
      <c r="G116" s="16" t="n"/>
      <c r="H116" s="16" t="n"/>
      <c r="I116" s="17" t="n"/>
      <c r="J116" s="19">
        <f>IF($A116="","",IF($C116="","⚠️ Thiếu ngày làm gần nhất",IF(AND(TODAY()-$C116&lt;=2,$H116&lt;&gt;"Có"),"💬 Cần nhắn hỏi thăm",IF(AND($I116&lt;&gt;"",$I116&gt;=TODAY()),"📅 Đã hẹn "&amp;TEXT($I116,"dd/mm"),IF(TODAY()-$C116&gt;=2*IF($G116="",30,$G116),"🔴 Lâu rồi chưa quay lại",IF(TODAY()-$C116&gt;=IF($G116="",30,$G116),"🟡 Tới kỳ chăm sóc tiếp","🟢 Chưa tới kỳ — chưa cần làm gì"))))))</f>
        <v/>
      </c>
    </row>
    <row r="117">
      <c r="A117" s="16" t="n"/>
      <c r="B117" s="16" t="n"/>
      <c r="C117" s="17" t="n"/>
      <c r="D117" s="18" t="n"/>
      <c r="E117" s="18" t="n"/>
      <c r="F117" s="16" t="n"/>
      <c r="G117" s="16" t="n"/>
      <c r="H117" s="16" t="n"/>
      <c r="I117" s="17" t="n"/>
      <c r="J117" s="19">
        <f>IF($A117="","",IF($C117="","⚠️ Thiếu ngày làm gần nhất",IF(AND(TODAY()-$C117&lt;=2,$H117&lt;&gt;"Có"),"💬 Cần nhắn hỏi thăm",IF(AND($I117&lt;&gt;"",$I117&gt;=TODAY()),"📅 Đã hẹn "&amp;TEXT($I117,"dd/mm"),IF(TODAY()-$C117&gt;=2*IF($G117="",30,$G117),"🔴 Lâu rồi chưa quay lại",IF(TODAY()-$C117&gt;=IF($G117="",30,$G117),"🟡 Tới kỳ chăm sóc tiếp","🟢 Chưa tới kỳ — chưa cần làm gì"))))))</f>
        <v/>
      </c>
    </row>
    <row r="118">
      <c r="A118" s="16" t="n"/>
      <c r="B118" s="16" t="n"/>
      <c r="C118" s="17" t="n"/>
      <c r="D118" s="18" t="n"/>
      <c r="E118" s="18" t="n"/>
      <c r="F118" s="16" t="n"/>
      <c r="G118" s="16" t="n"/>
      <c r="H118" s="16" t="n"/>
      <c r="I118" s="17" t="n"/>
      <c r="J118" s="19">
        <f>IF($A118="","",IF($C118="","⚠️ Thiếu ngày làm gần nhất",IF(AND(TODAY()-$C118&lt;=2,$H118&lt;&gt;"Có"),"💬 Cần nhắn hỏi thăm",IF(AND($I118&lt;&gt;"",$I118&gt;=TODAY()),"📅 Đã hẹn "&amp;TEXT($I118,"dd/mm"),IF(TODAY()-$C118&gt;=2*IF($G118="",30,$G118),"🔴 Lâu rồi chưa quay lại",IF(TODAY()-$C118&gt;=IF($G118="",30,$G118),"🟡 Tới kỳ chăm sóc tiếp","🟢 Chưa tới kỳ — chưa cần làm gì"))))))</f>
        <v/>
      </c>
    </row>
    <row r="119">
      <c r="A119" s="16" t="n"/>
      <c r="B119" s="16" t="n"/>
      <c r="C119" s="17" t="n"/>
      <c r="D119" s="18" t="n"/>
      <c r="E119" s="18" t="n"/>
      <c r="F119" s="16" t="n"/>
      <c r="G119" s="16" t="n"/>
      <c r="H119" s="16" t="n"/>
      <c r="I119" s="17" t="n"/>
      <c r="J119" s="19">
        <f>IF($A119="","",IF($C119="","⚠️ Thiếu ngày làm gần nhất",IF(AND(TODAY()-$C119&lt;=2,$H119&lt;&gt;"Có"),"💬 Cần nhắn hỏi thăm",IF(AND($I119&lt;&gt;"",$I119&gt;=TODAY()),"📅 Đã hẹn "&amp;TEXT($I119,"dd/mm"),IF(TODAY()-$C119&gt;=2*IF($G119="",30,$G119),"🔴 Lâu rồi chưa quay lại",IF(TODAY()-$C119&gt;=IF($G119="",30,$G119),"🟡 Tới kỳ chăm sóc tiếp","🟢 Chưa tới kỳ — chưa cần làm gì"))))))</f>
        <v/>
      </c>
    </row>
    <row r="120">
      <c r="A120" s="16" t="n"/>
      <c r="B120" s="16" t="n"/>
      <c r="C120" s="17" t="n"/>
      <c r="D120" s="18" t="n"/>
      <c r="E120" s="18" t="n"/>
      <c r="F120" s="16" t="n"/>
      <c r="G120" s="16" t="n"/>
      <c r="H120" s="16" t="n"/>
      <c r="I120" s="17" t="n"/>
      <c r="J120" s="19">
        <f>IF($A120="","",IF($C120="","⚠️ Thiếu ngày làm gần nhất",IF(AND(TODAY()-$C120&lt;=2,$H120&lt;&gt;"Có"),"💬 Cần nhắn hỏi thăm",IF(AND($I120&lt;&gt;"",$I120&gt;=TODAY()),"📅 Đã hẹn "&amp;TEXT($I120,"dd/mm"),IF(TODAY()-$C120&gt;=2*IF($G120="",30,$G120),"🔴 Lâu rồi chưa quay lại",IF(TODAY()-$C120&gt;=IF($G120="",30,$G120),"🟡 Tới kỳ chăm sóc tiếp","🟢 Chưa tới kỳ — chưa cần làm gì"))))))</f>
        <v/>
      </c>
    </row>
    <row r="121">
      <c r="A121" s="16" t="n"/>
      <c r="B121" s="16" t="n"/>
      <c r="C121" s="17" t="n"/>
      <c r="D121" s="18" t="n"/>
      <c r="E121" s="18" t="n"/>
      <c r="F121" s="16" t="n"/>
      <c r="G121" s="16" t="n"/>
      <c r="H121" s="16" t="n"/>
      <c r="I121" s="17" t="n"/>
      <c r="J121" s="19">
        <f>IF($A121="","",IF($C121="","⚠️ Thiếu ngày làm gần nhất",IF(AND(TODAY()-$C121&lt;=2,$H121&lt;&gt;"Có"),"💬 Cần nhắn hỏi thăm",IF(AND($I121&lt;&gt;"",$I121&gt;=TODAY()),"📅 Đã hẹn "&amp;TEXT($I121,"dd/mm"),IF(TODAY()-$C121&gt;=2*IF($G121="",30,$G121),"🔴 Lâu rồi chưa quay lại",IF(TODAY()-$C121&gt;=IF($G121="",30,$G121),"🟡 Tới kỳ chăm sóc tiếp","🟢 Chưa tới kỳ — chưa cần làm gì"))))))</f>
        <v/>
      </c>
    </row>
    <row r="122">
      <c r="A122" s="16" t="n"/>
      <c r="B122" s="16" t="n"/>
      <c r="C122" s="17" t="n"/>
      <c r="D122" s="18" t="n"/>
      <c r="E122" s="18" t="n"/>
      <c r="F122" s="16" t="n"/>
      <c r="G122" s="16" t="n"/>
      <c r="H122" s="16" t="n"/>
      <c r="I122" s="17" t="n"/>
      <c r="J122" s="19">
        <f>IF($A122="","",IF($C122="","⚠️ Thiếu ngày làm gần nhất",IF(AND(TODAY()-$C122&lt;=2,$H122&lt;&gt;"Có"),"💬 Cần nhắn hỏi thăm",IF(AND($I122&lt;&gt;"",$I122&gt;=TODAY()),"📅 Đã hẹn "&amp;TEXT($I122,"dd/mm"),IF(TODAY()-$C122&gt;=2*IF($G122="",30,$G122),"🔴 Lâu rồi chưa quay lại",IF(TODAY()-$C122&gt;=IF($G122="",30,$G122),"🟡 Tới kỳ chăm sóc tiếp","🟢 Chưa tới kỳ — chưa cần làm gì"))))))</f>
        <v/>
      </c>
    </row>
    <row r="123">
      <c r="A123" s="16" t="n"/>
      <c r="B123" s="16" t="n"/>
      <c r="C123" s="17" t="n"/>
      <c r="D123" s="18" t="n"/>
      <c r="E123" s="18" t="n"/>
      <c r="F123" s="16" t="n"/>
      <c r="G123" s="16" t="n"/>
      <c r="H123" s="16" t="n"/>
      <c r="I123" s="17" t="n"/>
      <c r="J123" s="19">
        <f>IF($A123="","",IF($C123="","⚠️ Thiếu ngày làm gần nhất",IF(AND(TODAY()-$C123&lt;=2,$H123&lt;&gt;"Có"),"💬 Cần nhắn hỏi thăm",IF(AND($I123&lt;&gt;"",$I123&gt;=TODAY()),"📅 Đã hẹn "&amp;TEXT($I123,"dd/mm"),IF(TODAY()-$C123&gt;=2*IF($G123="",30,$G123),"🔴 Lâu rồi chưa quay lại",IF(TODAY()-$C123&gt;=IF($G123="",30,$G123),"🟡 Tới kỳ chăm sóc tiếp","🟢 Chưa tới kỳ — chưa cần làm gì"))))))</f>
        <v/>
      </c>
    </row>
    <row r="124">
      <c r="A124" s="16" t="n"/>
      <c r="B124" s="16" t="n"/>
      <c r="C124" s="17" t="n"/>
      <c r="D124" s="18" t="n"/>
      <c r="E124" s="18" t="n"/>
      <c r="F124" s="16" t="n"/>
      <c r="G124" s="16" t="n"/>
      <c r="H124" s="16" t="n"/>
      <c r="I124" s="17" t="n"/>
      <c r="J124" s="19">
        <f>IF($A124="","",IF($C124="","⚠️ Thiếu ngày làm gần nhất",IF(AND(TODAY()-$C124&lt;=2,$H124&lt;&gt;"Có"),"💬 Cần nhắn hỏi thăm",IF(AND($I124&lt;&gt;"",$I124&gt;=TODAY()),"📅 Đã hẹn "&amp;TEXT($I124,"dd/mm"),IF(TODAY()-$C124&gt;=2*IF($G124="",30,$G124),"🔴 Lâu rồi chưa quay lại",IF(TODAY()-$C124&gt;=IF($G124="",30,$G124),"🟡 Tới kỳ chăm sóc tiếp","🟢 Chưa tới kỳ — chưa cần làm gì"))))))</f>
        <v/>
      </c>
    </row>
    <row r="125">
      <c r="A125" s="16" t="n"/>
      <c r="B125" s="16" t="n"/>
      <c r="C125" s="17" t="n"/>
      <c r="D125" s="18" t="n"/>
      <c r="E125" s="18" t="n"/>
      <c r="F125" s="16" t="n"/>
      <c r="G125" s="16" t="n"/>
      <c r="H125" s="16" t="n"/>
      <c r="I125" s="17" t="n"/>
      <c r="J125" s="19">
        <f>IF($A125="","",IF($C125="","⚠️ Thiếu ngày làm gần nhất",IF(AND(TODAY()-$C125&lt;=2,$H125&lt;&gt;"Có"),"💬 Cần nhắn hỏi thăm",IF(AND($I125&lt;&gt;"",$I125&gt;=TODAY()),"📅 Đã hẹn "&amp;TEXT($I125,"dd/mm"),IF(TODAY()-$C125&gt;=2*IF($G125="",30,$G125),"🔴 Lâu rồi chưa quay lại",IF(TODAY()-$C125&gt;=IF($G125="",30,$G125),"🟡 Tới kỳ chăm sóc tiếp","🟢 Chưa tới kỳ — chưa cần làm gì"))))))</f>
        <v/>
      </c>
    </row>
    <row r="126">
      <c r="A126" s="16" t="n"/>
      <c r="B126" s="16" t="n"/>
      <c r="C126" s="17" t="n"/>
      <c r="D126" s="18" t="n"/>
      <c r="E126" s="18" t="n"/>
      <c r="F126" s="16" t="n"/>
      <c r="G126" s="16" t="n"/>
      <c r="H126" s="16" t="n"/>
      <c r="I126" s="17" t="n"/>
      <c r="J126" s="19">
        <f>IF($A126="","",IF($C126="","⚠️ Thiếu ngày làm gần nhất",IF(AND(TODAY()-$C126&lt;=2,$H126&lt;&gt;"Có"),"💬 Cần nhắn hỏi thăm",IF(AND($I126&lt;&gt;"",$I126&gt;=TODAY()),"📅 Đã hẹn "&amp;TEXT($I126,"dd/mm"),IF(TODAY()-$C126&gt;=2*IF($G126="",30,$G126),"🔴 Lâu rồi chưa quay lại",IF(TODAY()-$C126&gt;=IF($G126="",30,$G126),"🟡 Tới kỳ chăm sóc tiếp","🟢 Chưa tới kỳ — chưa cần làm gì"))))))</f>
        <v/>
      </c>
    </row>
    <row r="127">
      <c r="A127" s="16" t="n"/>
      <c r="B127" s="16" t="n"/>
      <c r="C127" s="17" t="n"/>
      <c r="D127" s="18" t="n"/>
      <c r="E127" s="18" t="n"/>
      <c r="F127" s="16" t="n"/>
      <c r="G127" s="16" t="n"/>
      <c r="H127" s="16" t="n"/>
      <c r="I127" s="17" t="n"/>
      <c r="J127" s="19">
        <f>IF($A127="","",IF($C127="","⚠️ Thiếu ngày làm gần nhất",IF(AND(TODAY()-$C127&lt;=2,$H127&lt;&gt;"Có"),"💬 Cần nhắn hỏi thăm",IF(AND($I127&lt;&gt;"",$I127&gt;=TODAY()),"📅 Đã hẹn "&amp;TEXT($I127,"dd/mm"),IF(TODAY()-$C127&gt;=2*IF($G127="",30,$G127),"🔴 Lâu rồi chưa quay lại",IF(TODAY()-$C127&gt;=IF($G127="",30,$G127),"🟡 Tới kỳ chăm sóc tiếp","🟢 Chưa tới kỳ — chưa cần làm gì"))))))</f>
        <v/>
      </c>
    </row>
    <row r="128">
      <c r="A128" s="16" t="n"/>
      <c r="B128" s="16" t="n"/>
      <c r="C128" s="17" t="n"/>
      <c r="D128" s="18" t="n"/>
      <c r="E128" s="18" t="n"/>
      <c r="F128" s="16" t="n"/>
      <c r="G128" s="16" t="n"/>
      <c r="H128" s="16" t="n"/>
      <c r="I128" s="17" t="n"/>
      <c r="J128" s="19">
        <f>IF($A128="","",IF($C128="","⚠️ Thiếu ngày làm gần nhất",IF(AND(TODAY()-$C128&lt;=2,$H128&lt;&gt;"Có"),"💬 Cần nhắn hỏi thăm",IF(AND($I128&lt;&gt;"",$I128&gt;=TODAY()),"📅 Đã hẹn "&amp;TEXT($I128,"dd/mm"),IF(TODAY()-$C128&gt;=2*IF($G128="",30,$G128),"🔴 Lâu rồi chưa quay lại",IF(TODAY()-$C128&gt;=IF($G128="",30,$G128),"🟡 Tới kỳ chăm sóc tiếp","🟢 Chưa tới kỳ — chưa cần làm gì"))))))</f>
        <v/>
      </c>
    </row>
    <row r="129">
      <c r="A129" s="16" t="n"/>
      <c r="B129" s="16" t="n"/>
      <c r="C129" s="17" t="n"/>
      <c r="D129" s="18" t="n"/>
      <c r="E129" s="18" t="n"/>
      <c r="F129" s="16" t="n"/>
      <c r="G129" s="16" t="n"/>
      <c r="H129" s="16" t="n"/>
      <c r="I129" s="17" t="n"/>
      <c r="J129" s="19">
        <f>IF($A129="","",IF($C129="","⚠️ Thiếu ngày làm gần nhất",IF(AND(TODAY()-$C129&lt;=2,$H129&lt;&gt;"Có"),"💬 Cần nhắn hỏi thăm",IF(AND($I129&lt;&gt;"",$I129&gt;=TODAY()),"📅 Đã hẹn "&amp;TEXT($I129,"dd/mm"),IF(TODAY()-$C129&gt;=2*IF($G129="",30,$G129),"🔴 Lâu rồi chưa quay lại",IF(TODAY()-$C129&gt;=IF($G129="",30,$G129),"🟡 Tới kỳ chăm sóc tiếp","🟢 Chưa tới kỳ — chưa cần làm gì"))))))</f>
        <v/>
      </c>
    </row>
    <row r="130">
      <c r="A130" s="16" t="n"/>
      <c r="B130" s="16" t="n"/>
      <c r="C130" s="17" t="n"/>
      <c r="D130" s="18" t="n"/>
      <c r="E130" s="18" t="n"/>
      <c r="F130" s="16" t="n"/>
      <c r="G130" s="16" t="n"/>
      <c r="H130" s="16" t="n"/>
      <c r="I130" s="17" t="n"/>
      <c r="J130" s="19">
        <f>IF($A130="","",IF($C130="","⚠️ Thiếu ngày làm gần nhất",IF(AND(TODAY()-$C130&lt;=2,$H130&lt;&gt;"Có"),"💬 Cần nhắn hỏi thăm",IF(AND($I130&lt;&gt;"",$I130&gt;=TODAY()),"📅 Đã hẹn "&amp;TEXT($I130,"dd/mm"),IF(TODAY()-$C130&gt;=2*IF($G130="",30,$G130),"🔴 Lâu rồi chưa quay lại",IF(TODAY()-$C130&gt;=IF($G130="",30,$G130),"🟡 Tới kỳ chăm sóc tiếp","🟢 Chưa tới kỳ — chưa cần làm gì"))))))</f>
        <v/>
      </c>
    </row>
    <row r="131">
      <c r="A131" s="16" t="n"/>
      <c r="B131" s="16" t="n"/>
      <c r="C131" s="17" t="n"/>
      <c r="D131" s="18" t="n"/>
      <c r="E131" s="18" t="n"/>
      <c r="F131" s="16" t="n"/>
      <c r="G131" s="16" t="n"/>
      <c r="H131" s="16" t="n"/>
      <c r="I131" s="17" t="n"/>
      <c r="J131" s="19">
        <f>IF($A131="","",IF($C131="","⚠️ Thiếu ngày làm gần nhất",IF(AND(TODAY()-$C131&lt;=2,$H131&lt;&gt;"Có"),"💬 Cần nhắn hỏi thăm",IF(AND($I131&lt;&gt;"",$I131&gt;=TODAY()),"📅 Đã hẹn "&amp;TEXT($I131,"dd/mm"),IF(TODAY()-$C131&gt;=2*IF($G131="",30,$G131),"🔴 Lâu rồi chưa quay lại",IF(TODAY()-$C131&gt;=IF($G131="",30,$G131),"🟡 Tới kỳ chăm sóc tiếp","🟢 Chưa tới kỳ — chưa cần làm gì"))))))</f>
        <v/>
      </c>
    </row>
    <row r="132">
      <c r="A132" s="16" t="n"/>
      <c r="B132" s="16" t="n"/>
      <c r="C132" s="17" t="n"/>
      <c r="D132" s="18" t="n"/>
      <c r="E132" s="18" t="n"/>
      <c r="F132" s="16" t="n"/>
      <c r="G132" s="16" t="n"/>
      <c r="H132" s="16" t="n"/>
      <c r="I132" s="17" t="n"/>
      <c r="J132" s="19">
        <f>IF($A132="","",IF($C132="","⚠️ Thiếu ngày làm gần nhất",IF(AND(TODAY()-$C132&lt;=2,$H132&lt;&gt;"Có"),"💬 Cần nhắn hỏi thăm",IF(AND($I132&lt;&gt;"",$I132&gt;=TODAY()),"📅 Đã hẹn "&amp;TEXT($I132,"dd/mm"),IF(TODAY()-$C132&gt;=2*IF($G132="",30,$G132),"🔴 Lâu rồi chưa quay lại",IF(TODAY()-$C132&gt;=IF($G132="",30,$G132),"🟡 Tới kỳ chăm sóc tiếp","🟢 Chưa tới kỳ — chưa cần làm gì"))))))</f>
        <v/>
      </c>
    </row>
    <row r="133">
      <c r="A133" s="16" t="n"/>
      <c r="B133" s="16" t="n"/>
      <c r="C133" s="17" t="n"/>
      <c r="D133" s="18" t="n"/>
      <c r="E133" s="18" t="n"/>
      <c r="F133" s="16" t="n"/>
      <c r="G133" s="16" t="n"/>
      <c r="H133" s="16" t="n"/>
      <c r="I133" s="17" t="n"/>
      <c r="J133" s="19">
        <f>IF($A133="","",IF($C133="","⚠️ Thiếu ngày làm gần nhất",IF(AND(TODAY()-$C133&lt;=2,$H133&lt;&gt;"Có"),"💬 Cần nhắn hỏi thăm",IF(AND($I133&lt;&gt;"",$I133&gt;=TODAY()),"📅 Đã hẹn "&amp;TEXT($I133,"dd/mm"),IF(TODAY()-$C133&gt;=2*IF($G133="",30,$G133),"🔴 Lâu rồi chưa quay lại",IF(TODAY()-$C133&gt;=IF($G133="",30,$G133),"🟡 Tới kỳ chăm sóc tiếp","🟢 Chưa tới kỳ — chưa cần làm gì"))))))</f>
        <v/>
      </c>
    </row>
    <row r="134">
      <c r="A134" s="16" t="n"/>
      <c r="B134" s="16" t="n"/>
      <c r="C134" s="17" t="n"/>
      <c r="D134" s="18" t="n"/>
      <c r="E134" s="18" t="n"/>
      <c r="F134" s="16" t="n"/>
      <c r="G134" s="16" t="n"/>
      <c r="H134" s="16" t="n"/>
      <c r="I134" s="17" t="n"/>
      <c r="J134" s="19">
        <f>IF($A134="","",IF($C134="","⚠️ Thiếu ngày làm gần nhất",IF(AND(TODAY()-$C134&lt;=2,$H134&lt;&gt;"Có"),"💬 Cần nhắn hỏi thăm",IF(AND($I134&lt;&gt;"",$I134&gt;=TODAY()),"📅 Đã hẹn "&amp;TEXT($I134,"dd/mm"),IF(TODAY()-$C134&gt;=2*IF($G134="",30,$G134),"🔴 Lâu rồi chưa quay lại",IF(TODAY()-$C134&gt;=IF($G134="",30,$G134),"🟡 Tới kỳ chăm sóc tiếp","🟢 Chưa tới kỳ — chưa cần làm gì"))))))</f>
        <v/>
      </c>
    </row>
    <row r="135">
      <c r="A135" s="16" t="n"/>
      <c r="B135" s="16" t="n"/>
      <c r="C135" s="17" t="n"/>
      <c r="D135" s="18" t="n"/>
      <c r="E135" s="18" t="n"/>
      <c r="F135" s="16" t="n"/>
      <c r="G135" s="16" t="n"/>
      <c r="H135" s="16" t="n"/>
      <c r="I135" s="17" t="n"/>
      <c r="J135" s="19">
        <f>IF($A135="","",IF($C135="","⚠️ Thiếu ngày làm gần nhất",IF(AND(TODAY()-$C135&lt;=2,$H135&lt;&gt;"Có"),"💬 Cần nhắn hỏi thăm",IF(AND($I135&lt;&gt;"",$I135&gt;=TODAY()),"📅 Đã hẹn "&amp;TEXT($I135,"dd/mm"),IF(TODAY()-$C135&gt;=2*IF($G135="",30,$G135),"🔴 Lâu rồi chưa quay lại",IF(TODAY()-$C135&gt;=IF($G135="",30,$G135),"🟡 Tới kỳ chăm sóc tiếp","🟢 Chưa tới kỳ — chưa cần làm gì"))))))</f>
        <v/>
      </c>
    </row>
    <row r="136">
      <c r="A136" s="16" t="n"/>
      <c r="B136" s="16" t="n"/>
      <c r="C136" s="17" t="n"/>
      <c r="D136" s="18" t="n"/>
      <c r="E136" s="18" t="n"/>
      <c r="F136" s="16" t="n"/>
      <c r="G136" s="16" t="n"/>
      <c r="H136" s="16" t="n"/>
      <c r="I136" s="17" t="n"/>
      <c r="J136" s="19">
        <f>IF($A136="","",IF($C136="","⚠️ Thiếu ngày làm gần nhất",IF(AND(TODAY()-$C136&lt;=2,$H136&lt;&gt;"Có"),"💬 Cần nhắn hỏi thăm",IF(AND($I136&lt;&gt;"",$I136&gt;=TODAY()),"📅 Đã hẹn "&amp;TEXT($I136,"dd/mm"),IF(TODAY()-$C136&gt;=2*IF($G136="",30,$G136),"🔴 Lâu rồi chưa quay lại",IF(TODAY()-$C136&gt;=IF($G136="",30,$G136),"🟡 Tới kỳ chăm sóc tiếp","🟢 Chưa tới kỳ — chưa cần làm gì"))))))</f>
        <v/>
      </c>
    </row>
    <row r="137">
      <c r="A137" s="16" t="n"/>
      <c r="B137" s="16" t="n"/>
      <c r="C137" s="17" t="n"/>
      <c r="D137" s="18" t="n"/>
      <c r="E137" s="18" t="n"/>
      <c r="F137" s="16" t="n"/>
      <c r="G137" s="16" t="n"/>
      <c r="H137" s="16" t="n"/>
      <c r="I137" s="17" t="n"/>
      <c r="J137" s="19">
        <f>IF($A137="","",IF($C137="","⚠️ Thiếu ngày làm gần nhất",IF(AND(TODAY()-$C137&lt;=2,$H137&lt;&gt;"Có"),"💬 Cần nhắn hỏi thăm",IF(AND($I137&lt;&gt;"",$I137&gt;=TODAY()),"📅 Đã hẹn "&amp;TEXT($I137,"dd/mm"),IF(TODAY()-$C137&gt;=2*IF($G137="",30,$G137),"🔴 Lâu rồi chưa quay lại",IF(TODAY()-$C137&gt;=IF($G137="",30,$G137),"🟡 Tới kỳ chăm sóc tiếp","🟢 Chưa tới kỳ — chưa cần làm gì"))))))</f>
        <v/>
      </c>
    </row>
    <row r="138">
      <c r="A138" s="16" t="n"/>
      <c r="B138" s="16" t="n"/>
      <c r="C138" s="17" t="n"/>
      <c r="D138" s="18" t="n"/>
      <c r="E138" s="18" t="n"/>
      <c r="F138" s="16" t="n"/>
      <c r="G138" s="16" t="n"/>
      <c r="H138" s="16" t="n"/>
      <c r="I138" s="17" t="n"/>
      <c r="J138" s="19">
        <f>IF($A138="","",IF($C138="","⚠️ Thiếu ngày làm gần nhất",IF(AND(TODAY()-$C138&lt;=2,$H138&lt;&gt;"Có"),"💬 Cần nhắn hỏi thăm",IF(AND($I138&lt;&gt;"",$I138&gt;=TODAY()),"📅 Đã hẹn "&amp;TEXT($I138,"dd/mm"),IF(TODAY()-$C138&gt;=2*IF($G138="",30,$G138),"🔴 Lâu rồi chưa quay lại",IF(TODAY()-$C138&gt;=IF($G138="",30,$G138),"🟡 Tới kỳ chăm sóc tiếp","🟢 Chưa tới kỳ — chưa cần làm gì"))))))</f>
        <v/>
      </c>
    </row>
    <row r="139">
      <c r="A139" s="16" t="n"/>
      <c r="B139" s="16" t="n"/>
      <c r="C139" s="17" t="n"/>
      <c r="D139" s="18" t="n"/>
      <c r="E139" s="18" t="n"/>
      <c r="F139" s="16" t="n"/>
      <c r="G139" s="16" t="n"/>
      <c r="H139" s="16" t="n"/>
      <c r="I139" s="17" t="n"/>
      <c r="J139" s="19">
        <f>IF($A139="","",IF($C139="","⚠️ Thiếu ngày làm gần nhất",IF(AND(TODAY()-$C139&lt;=2,$H139&lt;&gt;"Có"),"💬 Cần nhắn hỏi thăm",IF(AND($I139&lt;&gt;"",$I139&gt;=TODAY()),"📅 Đã hẹn "&amp;TEXT($I139,"dd/mm"),IF(TODAY()-$C139&gt;=2*IF($G139="",30,$G139),"🔴 Lâu rồi chưa quay lại",IF(TODAY()-$C139&gt;=IF($G139="",30,$G139),"🟡 Tới kỳ chăm sóc tiếp","🟢 Chưa tới kỳ — chưa cần làm gì"))))))</f>
        <v/>
      </c>
    </row>
    <row r="140">
      <c r="A140" s="16" t="n"/>
      <c r="B140" s="16" t="n"/>
      <c r="C140" s="17" t="n"/>
      <c r="D140" s="18" t="n"/>
      <c r="E140" s="18" t="n"/>
      <c r="F140" s="16" t="n"/>
      <c r="G140" s="16" t="n"/>
      <c r="H140" s="16" t="n"/>
      <c r="I140" s="17" t="n"/>
      <c r="J140" s="19">
        <f>IF($A140="","",IF($C140="","⚠️ Thiếu ngày làm gần nhất",IF(AND(TODAY()-$C140&lt;=2,$H140&lt;&gt;"Có"),"💬 Cần nhắn hỏi thăm",IF(AND($I140&lt;&gt;"",$I140&gt;=TODAY()),"📅 Đã hẹn "&amp;TEXT($I140,"dd/mm"),IF(TODAY()-$C140&gt;=2*IF($G140="",30,$G140),"🔴 Lâu rồi chưa quay lại",IF(TODAY()-$C140&gt;=IF($G140="",30,$G140),"🟡 Tới kỳ chăm sóc tiếp","🟢 Chưa tới kỳ — chưa cần làm gì"))))))</f>
        <v/>
      </c>
    </row>
    <row r="141">
      <c r="A141" s="16" t="n"/>
      <c r="B141" s="16" t="n"/>
      <c r="C141" s="17" t="n"/>
      <c r="D141" s="18" t="n"/>
      <c r="E141" s="18" t="n"/>
      <c r="F141" s="16" t="n"/>
      <c r="G141" s="16" t="n"/>
      <c r="H141" s="16" t="n"/>
      <c r="I141" s="17" t="n"/>
      <c r="J141" s="19">
        <f>IF($A141="","",IF($C141="","⚠️ Thiếu ngày làm gần nhất",IF(AND(TODAY()-$C141&lt;=2,$H141&lt;&gt;"Có"),"💬 Cần nhắn hỏi thăm",IF(AND($I141&lt;&gt;"",$I141&gt;=TODAY()),"📅 Đã hẹn "&amp;TEXT($I141,"dd/mm"),IF(TODAY()-$C141&gt;=2*IF($G141="",30,$G141),"🔴 Lâu rồi chưa quay lại",IF(TODAY()-$C141&gt;=IF($G141="",30,$G141),"🟡 Tới kỳ chăm sóc tiếp","🟢 Chưa tới kỳ — chưa cần làm gì"))))))</f>
        <v/>
      </c>
    </row>
    <row r="142">
      <c r="A142" s="16" t="n"/>
      <c r="B142" s="16" t="n"/>
      <c r="C142" s="17" t="n"/>
      <c r="D142" s="18" t="n"/>
      <c r="E142" s="18" t="n"/>
      <c r="F142" s="16" t="n"/>
      <c r="G142" s="16" t="n"/>
      <c r="H142" s="16" t="n"/>
      <c r="I142" s="17" t="n"/>
      <c r="J142" s="19">
        <f>IF($A142="","",IF($C142="","⚠️ Thiếu ngày làm gần nhất",IF(AND(TODAY()-$C142&lt;=2,$H142&lt;&gt;"Có"),"💬 Cần nhắn hỏi thăm",IF(AND($I142&lt;&gt;"",$I142&gt;=TODAY()),"📅 Đã hẹn "&amp;TEXT($I142,"dd/mm"),IF(TODAY()-$C142&gt;=2*IF($G142="",30,$G142),"🔴 Lâu rồi chưa quay lại",IF(TODAY()-$C142&gt;=IF($G142="",30,$G142),"🟡 Tới kỳ chăm sóc tiếp","🟢 Chưa tới kỳ — chưa cần làm gì"))))))</f>
        <v/>
      </c>
    </row>
    <row r="143">
      <c r="A143" s="16" t="n"/>
      <c r="B143" s="16" t="n"/>
      <c r="C143" s="17" t="n"/>
      <c r="D143" s="18" t="n"/>
      <c r="E143" s="18" t="n"/>
      <c r="F143" s="16" t="n"/>
      <c r="G143" s="16" t="n"/>
      <c r="H143" s="16" t="n"/>
      <c r="I143" s="17" t="n"/>
      <c r="J143" s="19">
        <f>IF($A143="","",IF($C143="","⚠️ Thiếu ngày làm gần nhất",IF(AND(TODAY()-$C143&lt;=2,$H143&lt;&gt;"Có"),"💬 Cần nhắn hỏi thăm",IF(AND($I143&lt;&gt;"",$I143&gt;=TODAY()),"📅 Đã hẹn "&amp;TEXT($I143,"dd/mm"),IF(TODAY()-$C143&gt;=2*IF($G143="",30,$G143),"🔴 Lâu rồi chưa quay lại",IF(TODAY()-$C143&gt;=IF($G143="",30,$G143),"🟡 Tới kỳ chăm sóc tiếp","🟢 Chưa tới kỳ — chưa cần làm gì"))))))</f>
        <v/>
      </c>
    </row>
    <row r="144">
      <c r="A144" s="16" t="n"/>
      <c r="B144" s="16" t="n"/>
      <c r="C144" s="17" t="n"/>
      <c r="D144" s="18" t="n"/>
      <c r="E144" s="18" t="n"/>
      <c r="F144" s="16" t="n"/>
      <c r="G144" s="16" t="n"/>
      <c r="H144" s="16" t="n"/>
      <c r="I144" s="17" t="n"/>
      <c r="J144" s="19">
        <f>IF($A144="","",IF($C144="","⚠️ Thiếu ngày làm gần nhất",IF(AND(TODAY()-$C144&lt;=2,$H144&lt;&gt;"Có"),"💬 Cần nhắn hỏi thăm",IF(AND($I144&lt;&gt;"",$I144&gt;=TODAY()),"📅 Đã hẹn "&amp;TEXT($I144,"dd/mm"),IF(TODAY()-$C144&gt;=2*IF($G144="",30,$G144),"🔴 Lâu rồi chưa quay lại",IF(TODAY()-$C144&gt;=IF($G144="",30,$G144),"🟡 Tới kỳ chăm sóc tiếp","🟢 Chưa tới kỳ — chưa cần làm gì"))))))</f>
        <v/>
      </c>
    </row>
    <row r="145">
      <c r="A145" s="16" t="n"/>
      <c r="B145" s="16" t="n"/>
      <c r="C145" s="17" t="n"/>
      <c r="D145" s="18" t="n"/>
      <c r="E145" s="18" t="n"/>
      <c r="F145" s="16" t="n"/>
      <c r="G145" s="16" t="n"/>
      <c r="H145" s="16" t="n"/>
      <c r="I145" s="17" t="n"/>
      <c r="J145" s="19">
        <f>IF($A145="","",IF($C145="","⚠️ Thiếu ngày làm gần nhất",IF(AND(TODAY()-$C145&lt;=2,$H145&lt;&gt;"Có"),"💬 Cần nhắn hỏi thăm",IF(AND($I145&lt;&gt;"",$I145&gt;=TODAY()),"📅 Đã hẹn "&amp;TEXT($I145,"dd/mm"),IF(TODAY()-$C145&gt;=2*IF($G145="",30,$G145),"🔴 Lâu rồi chưa quay lại",IF(TODAY()-$C145&gt;=IF($G145="",30,$G145),"🟡 Tới kỳ chăm sóc tiếp","🟢 Chưa tới kỳ — chưa cần làm gì"))))))</f>
        <v/>
      </c>
    </row>
    <row r="146">
      <c r="A146" s="16" t="n"/>
      <c r="B146" s="16" t="n"/>
      <c r="C146" s="17" t="n"/>
      <c r="D146" s="18" t="n"/>
      <c r="E146" s="18" t="n"/>
      <c r="F146" s="16" t="n"/>
      <c r="G146" s="16" t="n"/>
      <c r="H146" s="16" t="n"/>
      <c r="I146" s="17" t="n"/>
      <c r="J146" s="19">
        <f>IF($A146="","",IF($C146="","⚠️ Thiếu ngày làm gần nhất",IF(AND(TODAY()-$C146&lt;=2,$H146&lt;&gt;"Có"),"💬 Cần nhắn hỏi thăm",IF(AND($I146&lt;&gt;"",$I146&gt;=TODAY()),"📅 Đã hẹn "&amp;TEXT($I146,"dd/mm"),IF(TODAY()-$C146&gt;=2*IF($G146="",30,$G146),"🔴 Lâu rồi chưa quay lại",IF(TODAY()-$C146&gt;=IF($G146="",30,$G146),"🟡 Tới kỳ chăm sóc tiếp","🟢 Chưa tới kỳ — chưa cần làm gì"))))))</f>
        <v/>
      </c>
    </row>
    <row r="147">
      <c r="A147" s="16" t="n"/>
      <c r="B147" s="16" t="n"/>
      <c r="C147" s="17" t="n"/>
      <c r="D147" s="18" t="n"/>
      <c r="E147" s="18" t="n"/>
      <c r="F147" s="16" t="n"/>
      <c r="G147" s="16" t="n"/>
      <c r="H147" s="16" t="n"/>
      <c r="I147" s="17" t="n"/>
      <c r="J147" s="19">
        <f>IF($A147="","",IF($C147="","⚠️ Thiếu ngày làm gần nhất",IF(AND(TODAY()-$C147&lt;=2,$H147&lt;&gt;"Có"),"💬 Cần nhắn hỏi thăm",IF(AND($I147&lt;&gt;"",$I147&gt;=TODAY()),"📅 Đã hẹn "&amp;TEXT($I147,"dd/mm"),IF(TODAY()-$C147&gt;=2*IF($G147="",30,$G147),"🔴 Lâu rồi chưa quay lại",IF(TODAY()-$C147&gt;=IF($G147="",30,$G147),"🟡 Tới kỳ chăm sóc tiếp","🟢 Chưa tới kỳ — chưa cần làm gì"))))))</f>
        <v/>
      </c>
    </row>
    <row r="148">
      <c r="A148" s="16" t="n"/>
      <c r="B148" s="16" t="n"/>
      <c r="C148" s="17" t="n"/>
      <c r="D148" s="18" t="n"/>
      <c r="E148" s="18" t="n"/>
      <c r="F148" s="16" t="n"/>
      <c r="G148" s="16" t="n"/>
      <c r="H148" s="16" t="n"/>
      <c r="I148" s="17" t="n"/>
      <c r="J148" s="19">
        <f>IF($A148="","",IF($C148="","⚠️ Thiếu ngày làm gần nhất",IF(AND(TODAY()-$C148&lt;=2,$H148&lt;&gt;"Có"),"💬 Cần nhắn hỏi thăm",IF(AND($I148&lt;&gt;"",$I148&gt;=TODAY()),"📅 Đã hẹn "&amp;TEXT($I148,"dd/mm"),IF(TODAY()-$C148&gt;=2*IF($G148="",30,$G148),"🔴 Lâu rồi chưa quay lại",IF(TODAY()-$C148&gt;=IF($G148="",30,$G148),"🟡 Tới kỳ chăm sóc tiếp","🟢 Chưa tới kỳ — chưa cần làm gì"))))))</f>
        <v/>
      </c>
    </row>
    <row r="149">
      <c r="A149" s="16" t="n"/>
      <c r="B149" s="16" t="n"/>
      <c r="C149" s="17" t="n"/>
      <c r="D149" s="18" t="n"/>
      <c r="E149" s="18" t="n"/>
      <c r="F149" s="16" t="n"/>
      <c r="G149" s="16" t="n"/>
      <c r="H149" s="16" t="n"/>
      <c r="I149" s="17" t="n"/>
      <c r="J149" s="19">
        <f>IF($A149="","",IF($C149="","⚠️ Thiếu ngày làm gần nhất",IF(AND(TODAY()-$C149&lt;=2,$H149&lt;&gt;"Có"),"💬 Cần nhắn hỏi thăm",IF(AND($I149&lt;&gt;"",$I149&gt;=TODAY()),"📅 Đã hẹn "&amp;TEXT($I149,"dd/mm"),IF(TODAY()-$C149&gt;=2*IF($G149="",30,$G149),"🔴 Lâu rồi chưa quay lại",IF(TODAY()-$C149&gt;=IF($G149="",30,$G149),"🟡 Tới kỳ chăm sóc tiếp","🟢 Chưa tới kỳ — chưa cần làm gì"))))))</f>
        <v/>
      </c>
    </row>
    <row r="150">
      <c r="A150" s="16" t="n"/>
      <c r="B150" s="16" t="n"/>
      <c r="C150" s="17" t="n"/>
      <c r="D150" s="18" t="n"/>
      <c r="E150" s="18" t="n"/>
      <c r="F150" s="16" t="n"/>
      <c r="G150" s="16" t="n"/>
      <c r="H150" s="16" t="n"/>
      <c r="I150" s="17" t="n"/>
      <c r="J150" s="19">
        <f>IF($A150="","",IF($C150="","⚠️ Thiếu ngày làm gần nhất",IF(AND(TODAY()-$C150&lt;=2,$H150&lt;&gt;"Có"),"💬 Cần nhắn hỏi thăm",IF(AND($I150&lt;&gt;"",$I150&gt;=TODAY()),"📅 Đã hẹn "&amp;TEXT($I150,"dd/mm"),IF(TODAY()-$C150&gt;=2*IF($G150="",30,$G150),"🔴 Lâu rồi chưa quay lại",IF(TODAY()-$C150&gt;=IF($G150="",30,$G150),"🟡 Tới kỳ chăm sóc tiếp","🟢 Chưa tới kỳ — chưa cần làm gì"))))))</f>
        <v/>
      </c>
    </row>
    <row r="151">
      <c r="A151" s="16" t="n"/>
      <c r="B151" s="16" t="n"/>
      <c r="C151" s="17" t="n"/>
      <c r="D151" s="18" t="n"/>
      <c r="E151" s="18" t="n"/>
      <c r="F151" s="16" t="n"/>
      <c r="G151" s="16" t="n"/>
      <c r="H151" s="16" t="n"/>
      <c r="I151" s="17" t="n"/>
      <c r="J151" s="19">
        <f>IF($A151="","",IF($C151="","⚠️ Thiếu ngày làm gần nhất",IF(AND(TODAY()-$C151&lt;=2,$H151&lt;&gt;"Có"),"💬 Cần nhắn hỏi thăm",IF(AND($I151&lt;&gt;"",$I151&gt;=TODAY()),"📅 Đã hẹn "&amp;TEXT($I151,"dd/mm"),IF(TODAY()-$C151&gt;=2*IF($G151="",30,$G151),"🔴 Lâu rồi chưa quay lại",IF(TODAY()-$C151&gt;=IF($G151="",30,$G151),"🟡 Tới kỳ chăm sóc tiếp","🟢 Chưa tới kỳ — chưa cần làm gì"))))))</f>
        <v/>
      </c>
    </row>
    <row r="152">
      <c r="A152" s="16" t="n"/>
      <c r="B152" s="16" t="n"/>
      <c r="C152" s="17" t="n"/>
      <c r="D152" s="18" t="n"/>
      <c r="E152" s="18" t="n"/>
      <c r="F152" s="16" t="n"/>
      <c r="G152" s="16" t="n"/>
      <c r="H152" s="16" t="n"/>
      <c r="I152" s="17" t="n"/>
      <c r="J152" s="19">
        <f>IF($A152="","",IF($C152="","⚠️ Thiếu ngày làm gần nhất",IF(AND(TODAY()-$C152&lt;=2,$H152&lt;&gt;"Có"),"💬 Cần nhắn hỏi thăm",IF(AND($I152&lt;&gt;"",$I152&gt;=TODAY()),"📅 Đã hẹn "&amp;TEXT($I152,"dd/mm"),IF(TODAY()-$C152&gt;=2*IF($G152="",30,$G152),"🔴 Lâu rồi chưa quay lại",IF(TODAY()-$C152&gt;=IF($G152="",30,$G152),"🟡 Tới kỳ chăm sóc tiếp","🟢 Chưa tới kỳ — chưa cần làm gì"))))))</f>
        <v/>
      </c>
    </row>
    <row r="153">
      <c r="A153" s="16" t="n"/>
      <c r="B153" s="16" t="n"/>
      <c r="C153" s="17" t="n"/>
      <c r="D153" s="18" t="n"/>
      <c r="E153" s="18" t="n"/>
      <c r="F153" s="16" t="n"/>
      <c r="G153" s="16" t="n"/>
      <c r="H153" s="16" t="n"/>
      <c r="I153" s="17" t="n"/>
      <c r="J153" s="19">
        <f>IF($A153="","",IF($C153="","⚠️ Thiếu ngày làm gần nhất",IF(AND(TODAY()-$C153&lt;=2,$H153&lt;&gt;"Có"),"💬 Cần nhắn hỏi thăm",IF(AND($I153&lt;&gt;"",$I153&gt;=TODAY()),"📅 Đã hẹn "&amp;TEXT($I153,"dd/mm"),IF(TODAY()-$C153&gt;=2*IF($G153="",30,$G153),"🔴 Lâu rồi chưa quay lại",IF(TODAY()-$C153&gt;=IF($G153="",30,$G153),"🟡 Tới kỳ chăm sóc tiếp","🟢 Chưa tới kỳ — chưa cần làm gì"))))))</f>
        <v/>
      </c>
    </row>
    <row r="154">
      <c r="A154" s="16" t="n"/>
      <c r="B154" s="16" t="n"/>
      <c r="C154" s="17" t="n"/>
      <c r="D154" s="18" t="n"/>
      <c r="E154" s="18" t="n"/>
      <c r="F154" s="16" t="n"/>
      <c r="G154" s="16" t="n"/>
      <c r="H154" s="16" t="n"/>
      <c r="I154" s="17" t="n"/>
      <c r="J154" s="19">
        <f>IF($A154="","",IF($C154="","⚠️ Thiếu ngày làm gần nhất",IF(AND(TODAY()-$C154&lt;=2,$H154&lt;&gt;"Có"),"💬 Cần nhắn hỏi thăm",IF(AND($I154&lt;&gt;"",$I154&gt;=TODAY()),"📅 Đã hẹn "&amp;TEXT($I154,"dd/mm"),IF(TODAY()-$C154&gt;=2*IF($G154="",30,$G154),"🔴 Lâu rồi chưa quay lại",IF(TODAY()-$C154&gt;=IF($G154="",30,$G154),"🟡 Tới kỳ chăm sóc tiếp","🟢 Chưa tới kỳ — chưa cần làm gì"))))))</f>
        <v/>
      </c>
    </row>
    <row r="155">
      <c r="A155" s="16" t="n"/>
      <c r="B155" s="16" t="n"/>
      <c r="C155" s="17" t="n"/>
      <c r="D155" s="18" t="n"/>
      <c r="E155" s="18" t="n"/>
      <c r="F155" s="16" t="n"/>
      <c r="G155" s="16" t="n"/>
      <c r="H155" s="16" t="n"/>
      <c r="I155" s="17" t="n"/>
      <c r="J155" s="19">
        <f>IF($A155="","",IF($C155="","⚠️ Thiếu ngày làm gần nhất",IF(AND(TODAY()-$C155&lt;=2,$H155&lt;&gt;"Có"),"💬 Cần nhắn hỏi thăm",IF(AND($I155&lt;&gt;"",$I155&gt;=TODAY()),"📅 Đã hẹn "&amp;TEXT($I155,"dd/mm"),IF(TODAY()-$C155&gt;=2*IF($G155="",30,$G155),"🔴 Lâu rồi chưa quay lại",IF(TODAY()-$C155&gt;=IF($G155="",30,$G155),"🟡 Tới kỳ chăm sóc tiếp","🟢 Chưa tới kỳ — chưa cần làm gì"))))))</f>
        <v/>
      </c>
    </row>
    <row r="156">
      <c r="A156" s="16" t="n"/>
      <c r="B156" s="16" t="n"/>
      <c r="C156" s="17" t="n"/>
      <c r="D156" s="18" t="n"/>
      <c r="E156" s="18" t="n"/>
      <c r="F156" s="16" t="n"/>
      <c r="G156" s="16" t="n"/>
      <c r="H156" s="16" t="n"/>
      <c r="I156" s="17" t="n"/>
      <c r="J156" s="19">
        <f>IF($A156="","",IF($C156="","⚠️ Thiếu ngày làm gần nhất",IF(AND(TODAY()-$C156&lt;=2,$H156&lt;&gt;"Có"),"💬 Cần nhắn hỏi thăm",IF(AND($I156&lt;&gt;"",$I156&gt;=TODAY()),"📅 Đã hẹn "&amp;TEXT($I156,"dd/mm"),IF(TODAY()-$C156&gt;=2*IF($G156="",30,$G156),"🔴 Lâu rồi chưa quay lại",IF(TODAY()-$C156&gt;=IF($G156="",30,$G156),"🟡 Tới kỳ chăm sóc tiếp","🟢 Chưa tới kỳ — chưa cần làm gì"))))))</f>
        <v/>
      </c>
    </row>
    <row r="157">
      <c r="A157" s="16" t="n"/>
      <c r="B157" s="16" t="n"/>
      <c r="C157" s="17" t="n"/>
      <c r="D157" s="18" t="n"/>
      <c r="E157" s="18" t="n"/>
      <c r="F157" s="16" t="n"/>
      <c r="G157" s="16" t="n"/>
      <c r="H157" s="16" t="n"/>
      <c r="I157" s="17" t="n"/>
      <c r="J157" s="19">
        <f>IF($A157="","",IF($C157="","⚠️ Thiếu ngày làm gần nhất",IF(AND(TODAY()-$C157&lt;=2,$H157&lt;&gt;"Có"),"💬 Cần nhắn hỏi thăm",IF(AND($I157&lt;&gt;"",$I157&gt;=TODAY()),"📅 Đã hẹn "&amp;TEXT($I157,"dd/mm"),IF(TODAY()-$C157&gt;=2*IF($G157="",30,$G157),"🔴 Lâu rồi chưa quay lại",IF(TODAY()-$C157&gt;=IF($G157="",30,$G157),"🟡 Tới kỳ chăm sóc tiếp","🟢 Chưa tới kỳ — chưa cần làm gì"))))))</f>
        <v/>
      </c>
    </row>
    <row r="158">
      <c r="A158" s="16" t="n"/>
      <c r="B158" s="16" t="n"/>
      <c r="C158" s="17" t="n"/>
      <c r="D158" s="18" t="n"/>
      <c r="E158" s="18" t="n"/>
      <c r="F158" s="16" t="n"/>
      <c r="G158" s="16" t="n"/>
      <c r="H158" s="16" t="n"/>
      <c r="I158" s="17" t="n"/>
      <c r="J158" s="19">
        <f>IF($A158="","",IF($C158="","⚠️ Thiếu ngày làm gần nhất",IF(AND(TODAY()-$C158&lt;=2,$H158&lt;&gt;"Có"),"💬 Cần nhắn hỏi thăm",IF(AND($I158&lt;&gt;"",$I158&gt;=TODAY()),"📅 Đã hẹn "&amp;TEXT($I158,"dd/mm"),IF(TODAY()-$C158&gt;=2*IF($G158="",30,$G158),"🔴 Lâu rồi chưa quay lại",IF(TODAY()-$C158&gt;=IF($G158="",30,$G158),"🟡 Tới kỳ chăm sóc tiếp","🟢 Chưa tới kỳ — chưa cần làm gì"))))))</f>
        <v/>
      </c>
    </row>
    <row r="159">
      <c r="A159" s="16" t="n"/>
      <c r="B159" s="16" t="n"/>
      <c r="C159" s="17" t="n"/>
      <c r="D159" s="18" t="n"/>
      <c r="E159" s="18" t="n"/>
      <c r="F159" s="16" t="n"/>
      <c r="G159" s="16" t="n"/>
      <c r="H159" s="16" t="n"/>
      <c r="I159" s="17" t="n"/>
      <c r="J159" s="19">
        <f>IF($A159="","",IF($C159="","⚠️ Thiếu ngày làm gần nhất",IF(AND(TODAY()-$C159&lt;=2,$H159&lt;&gt;"Có"),"💬 Cần nhắn hỏi thăm",IF(AND($I159&lt;&gt;"",$I159&gt;=TODAY()),"📅 Đã hẹn "&amp;TEXT($I159,"dd/mm"),IF(TODAY()-$C159&gt;=2*IF($G159="",30,$G159),"🔴 Lâu rồi chưa quay lại",IF(TODAY()-$C159&gt;=IF($G159="",30,$G159),"🟡 Tới kỳ chăm sóc tiếp","🟢 Chưa tới kỳ — chưa cần làm gì"))))))</f>
        <v/>
      </c>
    </row>
    <row r="160">
      <c r="A160" s="16" t="n"/>
      <c r="B160" s="16" t="n"/>
      <c r="C160" s="17" t="n"/>
      <c r="D160" s="18" t="n"/>
      <c r="E160" s="18" t="n"/>
      <c r="F160" s="16" t="n"/>
      <c r="G160" s="16" t="n"/>
      <c r="H160" s="16" t="n"/>
      <c r="I160" s="17" t="n"/>
      <c r="J160" s="19">
        <f>IF($A160="","",IF($C160="","⚠️ Thiếu ngày làm gần nhất",IF(AND(TODAY()-$C160&lt;=2,$H160&lt;&gt;"Có"),"💬 Cần nhắn hỏi thăm",IF(AND($I160&lt;&gt;"",$I160&gt;=TODAY()),"📅 Đã hẹn "&amp;TEXT($I160,"dd/mm"),IF(TODAY()-$C160&gt;=2*IF($G160="",30,$G160),"🔴 Lâu rồi chưa quay lại",IF(TODAY()-$C160&gt;=IF($G160="",30,$G160),"🟡 Tới kỳ chăm sóc tiếp","🟢 Chưa tới kỳ — chưa cần làm gì"))))))</f>
        <v/>
      </c>
    </row>
    <row r="161">
      <c r="A161" s="16" t="n"/>
      <c r="B161" s="16" t="n"/>
      <c r="C161" s="17" t="n"/>
      <c r="D161" s="18" t="n"/>
      <c r="E161" s="18" t="n"/>
      <c r="F161" s="16" t="n"/>
      <c r="G161" s="16" t="n"/>
      <c r="H161" s="16" t="n"/>
      <c r="I161" s="17" t="n"/>
      <c r="J161" s="19">
        <f>IF($A161="","",IF($C161="","⚠️ Thiếu ngày làm gần nhất",IF(AND(TODAY()-$C161&lt;=2,$H161&lt;&gt;"Có"),"💬 Cần nhắn hỏi thăm",IF(AND($I161&lt;&gt;"",$I161&gt;=TODAY()),"📅 Đã hẹn "&amp;TEXT($I161,"dd/mm"),IF(TODAY()-$C161&gt;=2*IF($G161="",30,$G161),"🔴 Lâu rồi chưa quay lại",IF(TODAY()-$C161&gt;=IF($G161="",30,$G161),"🟡 Tới kỳ chăm sóc tiếp","🟢 Chưa tới kỳ — chưa cần làm gì"))))))</f>
        <v/>
      </c>
    </row>
    <row r="162">
      <c r="A162" s="16" t="n"/>
      <c r="B162" s="16" t="n"/>
      <c r="C162" s="17" t="n"/>
      <c r="D162" s="18" t="n"/>
      <c r="E162" s="18" t="n"/>
      <c r="F162" s="16" t="n"/>
      <c r="G162" s="16" t="n"/>
      <c r="H162" s="16" t="n"/>
      <c r="I162" s="17" t="n"/>
      <c r="J162" s="19">
        <f>IF($A162="","",IF($C162="","⚠️ Thiếu ngày làm gần nhất",IF(AND(TODAY()-$C162&lt;=2,$H162&lt;&gt;"Có"),"💬 Cần nhắn hỏi thăm",IF(AND($I162&lt;&gt;"",$I162&gt;=TODAY()),"📅 Đã hẹn "&amp;TEXT($I162,"dd/mm"),IF(TODAY()-$C162&gt;=2*IF($G162="",30,$G162),"🔴 Lâu rồi chưa quay lại",IF(TODAY()-$C162&gt;=IF($G162="",30,$G162),"🟡 Tới kỳ chăm sóc tiếp","🟢 Chưa tới kỳ — chưa cần làm gì"))))))</f>
        <v/>
      </c>
    </row>
    <row r="163">
      <c r="A163" s="16" t="n"/>
      <c r="B163" s="16" t="n"/>
      <c r="C163" s="17" t="n"/>
      <c r="D163" s="18" t="n"/>
      <c r="E163" s="18" t="n"/>
      <c r="F163" s="16" t="n"/>
      <c r="G163" s="16" t="n"/>
      <c r="H163" s="16" t="n"/>
      <c r="I163" s="17" t="n"/>
      <c r="J163" s="19">
        <f>IF($A163="","",IF($C163="","⚠️ Thiếu ngày làm gần nhất",IF(AND(TODAY()-$C163&lt;=2,$H163&lt;&gt;"Có"),"💬 Cần nhắn hỏi thăm",IF(AND($I163&lt;&gt;"",$I163&gt;=TODAY()),"📅 Đã hẹn "&amp;TEXT($I163,"dd/mm"),IF(TODAY()-$C163&gt;=2*IF($G163="",30,$G163),"🔴 Lâu rồi chưa quay lại",IF(TODAY()-$C163&gt;=IF($G163="",30,$G163),"🟡 Tới kỳ chăm sóc tiếp","🟢 Chưa tới kỳ — chưa cần làm gì"))))))</f>
        <v/>
      </c>
    </row>
    <row r="164">
      <c r="A164" s="16" t="n"/>
      <c r="B164" s="16" t="n"/>
      <c r="C164" s="17" t="n"/>
      <c r="D164" s="18" t="n"/>
      <c r="E164" s="18" t="n"/>
      <c r="F164" s="16" t="n"/>
      <c r="G164" s="16" t="n"/>
      <c r="H164" s="16" t="n"/>
      <c r="I164" s="17" t="n"/>
      <c r="J164" s="19">
        <f>IF($A164="","",IF($C164="","⚠️ Thiếu ngày làm gần nhất",IF(AND(TODAY()-$C164&lt;=2,$H164&lt;&gt;"Có"),"💬 Cần nhắn hỏi thăm",IF(AND($I164&lt;&gt;"",$I164&gt;=TODAY()),"📅 Đã hẹn "&amp;TEXT($I164,"dd/mm"),IF(TODAY()-$C164&gt;=2*IF($G164="",30,$G164),"🔴 Lâu rồi chưa quay lại",IF(TODAY()-$C164&gt;=IF($G164="",30,$G164),"🟡 Tới kỳ chăm sóc tiếp","🟢 Chưa tới kỳ — chưa cần làm gì"))))))</f>
        <v/>
      </c>
    </row>
    <row r="165">
      <c r="A165" s="16" t="n"/>
      <c r="B165" s="16" t="n"/>
      <c r="C165" s="17" t="n"/>
      <c r="D165" s="18" t="n"/>
      <c r="E165" s="18" t="n"/>
      <c r="F165" s="16" t="n"/>
      <c r="G165" s="16" t="n"/>
      <c r="H165" s="16" t="n"/>
      <c r="I165" s="17" t="n"/>
      <c r="J165" s="19">
        <f>IF($A165="","",IF($C165="","⚠️ Thiếu ngày làm gần nhất",IF(AND(TODAY()-$C165&lt;=2,$H165&lt;&gt;"Có"),"💬 Cần nhắn hỏi thăm",IF(AND($I165&lt;&gt;"",$I165&gt;=TODAY()),"📅 Đã hẹn "&amp;TEXT($I165,"dd/mm"),IF(TODAY()-$C165&gt;=2*IF($G165="",30,$G165),"🔴 Lâu rồi chưa quay lại",IF(TODAY()-$C165&gt;=IF($G165="",30,$G165),"🟡 Tới kỳ chăm sóc tiếp","🟢 Chưa tới kỳ — chưa cần làm gì"))))))</f>
        <v/>
      </c>
    </row>
    <row r="166">
      <c r="A166" s="16" t="n"/>
      <c r="B166" s="16" t="n"/>
      <c r="C166" s="17" t="n"/>
      <c r="D166" s="18" t="n"/>
      <c r="E166" s="18" t="n"/>
      <c r="F166" s="16" t="n"/>
      <c r="G166" s="16" t="n"/>
      <c r="H166" s="16" t="n"/>
      <c r="I166" s="17" t="n"/>
      <c r="J166" s="19">
        <f>IF($A166="","",IF($C166="","⚠️ Thiếu ngày làm gần nhất",IF(AND(TODAY()-$C166&lt;=2,$H166&lt;&gt;"Có"),"💬 Cần nhắn hỏi thăm",IF(AND($I166&lt;&gt;"",$I166&gt;=TODAY()),"📅 Đã hẹn "&amp;TEXT($I166,"dd/mm"),IF(TODAY()-$C166&gt;=2*IF($G166="",30,$G166),"🔴 Lâu rồi chưa quay lại",IF(TODAY()-$C166&gt;=IF($G166="",30,$G166),"🟡 Tới kỳ chăm sóc tiếp","🟢 Chưa tới kỳ — chưa cần làm gì"))))))</f>
        <v/>
      </c>
    </row>
    <row r="167">
      <c r="A167" s="16" t="n"/>
      <c r="B167" s="16" t="n"/>
      <c r="C167" s="17" t="n"/>
      <c r="D167" s="18" t="n"/>
      <c r="E167" s="18" t="n"/>
      <c r="F167" s="16" t="n"/>
      <c r="G167" s="16" t="n"/>
      <c r="H167" s="16" t="n"/>
      <c r="I167" s="17" t="n"/>
      <c r="J167" s="19">
        <f>IF($A167="","",IF($C167="","⚠️ Thiếu ngày làm gần nhất",IF(AND(TODAY()-$C167&lt;=2,$H167&lt;&gt;"Có"),"💬 Cần nhắn hỏi thăm",IF(AND($I167&lt;&gt;"",$I167&gt;=TODAY()),"📅 Đã hẹn "&amp;TEXT($I167,"dd/mm"),IF(TODAY()-$C167&gt;=2*IF($G167="",30,$G167),"🔴 Lâu rồi chưa quay lại",IF(TODAY()-$C167&gt;=IF($G167="",30,$G167),"🟡 Tới kỳ chăm sóc tiếp","🟢 Chưa tới kỳ — chưa cần làm gì"))))))</f>
        <v/>
      </c>
    </row>
    <row r="168">
      <c r="A168" s="16" t="n"/>
      <c r="B168" s="16" t="n"/>
      <c r="C168" s="17" t="n"/>
      <c r="D168" s="18" t="n"/>
      <c r="E168" s="18" t="n"/>
      <c r="F168" s="16" t="n"/>
      <c r="G168" s="16" t="n"/>
      <c r="H168" s="16" t="n"/>
      <c r="I168" s="17" t="n"/>
      <c r="J168" s="19">
        <f>IF($A168="","",IF($C168="","⚠️ Thiếu ngày làm gần nhất",IF(AND(TODAY()-$C168&lt;=2,$H168&lt;&gt;"Có"),"💬 Cần nhắn hỏi thăm",IF(AND($I168&lt;&gt;"",$I168&gt;=TODAY()),"📅 Đã hẹn "&amp;TEXT($I168,"dd/mm"),IF(TODAY()-$C168&gt;=2*IF($G168="",30,$G168),"🔴 Lâu rồi chưa quay lại",IF(TODAY()-$C168&gt;=IF($G168="",30,$G168),"🟡 Tới kỳ chăm sóc tiếp","🟢 Chưa tới kỳ — chưa cần làm gì"))))))</f>
        <v/>
      </c>
    </row>
    <row r="169">
      <c r="A169" s="16" t="n"/>
      <c r="B169" s="16" t="n"/>
      <c r="C169" s="17" t="n"/>
      <c r="D169" s="18" t="n"/>
      <c r="E169" s="18" t="n"/>
      <c r="F169" s="16" t="n"/>
      <c r="G169" s="16" t="n"/>
      <c r="H169" s="16" t="n"/>
      <c r="I169" s="17" t="n"/>
      <c r="J169" s="19">
        <f>IF($A169="","",IF($C169="","⚠️ Thiếu ngày làm gần nhất",IF(AND(TODAY()-$C169&lt;=2,$H169&lt;&gt;"Có"),"💬 Cần nhắn hỏi thăm",IF(AND($I169&lt;&gt;"",$I169&gt;=TODAY()),"📅 Đã hẹn "&amp;TEXT($I169,"dd/mm"),IF(TODAY()-$C169&gt;=2*IF($G169="",30,$G169),"🔴 Lâu rồi chưa quay lại",IF(TODAY()-$C169&gt;=IF($G169="",30,$G169),"🟡 Tới kỳ chăm sóc tiếp","🟢 Chưa tới kỳ — chưa cần làm gì"))))))</f>
        <v/>
      </c>
    </row>
    <row r="170">
      <c r="A170" s="16" t="n"/>
      <c r="B170" s="16" t="n"/>
      <c r="C170" s="17" t="n"/>
      <c r="D170" s="18" t="n"/>
      <c r="E170" s="18" t="n"/>
      <c r="F170" s="16" t="n"/>
      <c r="G170" s="16" t="n"/>
      <c r="H170" s="16" t="n"/>
      <c r="I170" s="17" t="n"/>
      <c r="J170" s="19">
        <f>IF($A170="","",IF($C170="","⚠️ Thiếu ngày làm gần nhất",IF(AND(TODAY()-$C170&lt;=2,$H170&lt;&gt;"Có"),"💬 Cần nhắn hỏi thăm",IF(AND($I170&lt;&gt;"",$I170&gt;=TODAY()),"📅 Đã hẹn "&amp;TEXT($I170,"dd/mm"),IF(TODAY()-$C170&gt;=2*IF($G170="",30,$G170),"🔴 Lâu rồi chưa quay lại",IF(TODAY()-$C170&gt;=IF($G170="",30,$G170),"🟡 Tới kỳ chăm sóc tiếp","🟢 Chưa tới kỳ — chưa cần làm gì"))))))</f>
        <v/>
      </c>
    </row>
    <row r="171">
      <c r="A171" s="16" t="n"/>
      <c r="B171" s="16" t="n"/>
      <c r="C171" s="17" t="n"/>
      <c r="D171" s="18" t="n"/>
      <c r="E171" s="18" t="n"/>
      <c r="F171" s="16" t="n"/>
      <c r="G171" s="16" t="n"/>
      <c r="H171" s="16" t="n"/>
      <c r="I171" s="17" t="n"/>
      <c r="J171" s="19">
        <f>IF($A171="","",IF($C171="","⚠️ Thiếu ngày làm gần nhất",IF(AND(TODAY()-$C171&lt;=2,$H171&lt;&gt;"Có"),"💬 Cần nhắn hỏi thăm",IF(AND($I171&lt;&gt;"",$I171&gt;=TODAY()),"📅 Đã hẹn "&amp;TEXT($I171,"dd/mm"),IF(TODAY()-$C171&gt;=2*IF($G171="",30,$G171),"🔴 Lâu rồi chưa quay lại",IF(TODAY()-$C171&gt;=IF($G171="",30,$G171),"🟡 Tới kỳ chăm sóc tiếp","🟢 Chưa tới kỳ — chưa cần làm gì"))))))</f>
        <v/>
      </c>
    </row>
    <row r="172">
      <c r="A172" s="16" t="n"/>
      <c r="B172" s="16" t="n"/>
      <c r="C172" s="17" t="n"/>
      <c r="D172" s="18" t="n"/>
      <c r="E172" s="18" t="n"/>
      <c r="F172" s="16" t="n"/>
      <c r="G172" s="16" t="n"/>
      <c r="H172" s="16" t="n"/>
      <c r="I172" s="17" t="n"/>
      <c r="J172" s="19">
        <f>IF($A172="","",IF($C172="","⚠️ Thiếu ngày làm gần nhất",IF(AND(TODAY()-$C172&lt;=2,$H172&lt;&gt;"Có"),"💬 Cần nhắn hỏi thăm",IF(AND($I172&lt;&gt;"",$I172&gt;=TODAY()),"📅 Đã hẹn "&amp;TEXT($I172,"dd/mm"),IF(TODAY()-$C172&gt;=2*IF($G172="",30,$G172),"🔴 Lâu rồi chưa quay lại",IF(TODAY()-$C172&gt;=IF($G172="",30,$G172),"🟡 Tới kỳ chăm sóc tiếp","🟢 Chưa tới kỳ — chưa cần làm gì"))))))</f>
        <v/>
      </c>
    </row>
    <row r="173">
      <c r="A173" s="16" t="n"/>
      <c r="B173" s="16" t="n"/>
      <c r="C173" s="17" t="n"/>
      <c r="D173" s="18" t="n"/>
      <c r="E173" s="18" t="n"/>
      <c r="F173" s="16" t="n"/>
      <c r="G173" s="16" t="n"/>
      <c r="H173" s="16" t="n"/>
      <c r="I173" s="17" t="n"/>
      <c r="J173" s="19">
        <f>IF($A173="","",IF($C173="","⚠️ Thiếu ngày làm gần nhất",IF(AND(TODAY()-$C173&lt;=2,$H173&lt;&gt;"Có"),"💬 Cần nhắn hỏi thăm",IF(AND($I173&lt;&gt;"",$I173&gt;=TODAY()),"📅 Đã hẹn "&amp;TEXT($I173,"dd/mm"),IF(TODAY()-$C173&gt;=2*IF($G173="",30,$G173),"🔴 Lâu rồi chưa quay lại",IF(TODAY()-$C173&gt;=IF($G173="",30,$G173),"🟡 Tới kỳ chăm sóc tiếp","🟢 Chưa tới kỳ — chưa cần làm gì"))))))</f>
        <v/>
      </c>
    </row>
    <row r="174">
      <c r="A174" s="16" t="n"/>
      <c r="B174" s="16" t="n"/>
      <c r="C174" s="17" t="n"/>
      <c r="D174" s="18" t="n"/>
      <c r="E174" s="18" t="n"/>
      <c r="F174" s="16" t="n"/>
      <c r="G174" s="16" t="n"/>
      <c r="H174" s="16" t="n"/>
      <c r="I174" s="17" t="n"/>
      <c r="J174" s="19">
        <f>IF($A174="","",IF($C174="","⚠️ Thiếu ngày làm gần nhất",IF(AND(TODAY()-$C174&lt;=2,$H174&lt;&gt;"Có"),"💬 Cần nhắn hỏi thăm",IF(AND($I174&lt;&gt;"",$I174&gt;=TODAY()),"📅 Đã hẹn "&amp;TEXT($I174,"dd/mm"),IF(TODAY()-$C174&gt;=2*IF($G174="",30,$G174),"🔴 Lâu rồi chưa quay lại",IF(TODAY()-$C174&gt;=IF($G174="",30,$G174),"🟡 Tới kỳ chăm sóc tiếp","🟢 Chưa tới kỳ — chưa cần làm gì"))))))</f>
        <v/>
      </c>
    </row>
    <row r="175">
      <c r="A175" s="16" t="n"/>
      <c r="B175" s="16" t="n"/>
      <c r="C175" s="17" t="n"/>
      <c r="D175" s="18" t="n"/>
      <c r="E175" s="18" t="n"/>
      <c r="F175" s="16" t="n"/>
      <c r="G175" s="16" t="n"/>
      <c r="H175" s="16" t="n"/>
      <c r="I175" s="17" t="n"/>
      <c r="J175" s="19">
        <f>IF($A175="","",IF($C175="","⚠️ Thiếu ngày làm gần nhất",IF(AND(TODAY()-$C175&lt;=2,$H175&lt;&gt;"Có"),"💬 Cần nhắn hỏi thăm",IF(AND($I175&lt;&gt;"",$I175&gt;=TODAY()),"📅 Đã hẹn "&amp;TEXT($I175,"dd/mm"),IF(TODAY()-$C175&gt;=2*IF($G175="",30,$G175),"🔴 Lâu rồi chưa quay lại",IF(TODAY()-$C175&gt;=IF($G175="",30,$G175),"🟡 Tới kỳ chăm sóc tiếp","🟢 Chưa tới kỳ — chưa cần làm gì"))))))</f>
        <v/>
      </c>
    </row>
    <row r="176">
      <c r="A176" s="16" t="n"/>
      <c r="B176" s="16" t="n"/>
      <c r="C176" s="17" t="n"/>
      <c r="D176" s="18" t="n"/>
      <c r="E176" s="18" t="n"/>
      <c r="F176" s="16" t="n"/>
      <c r="G176" s="16" t="n"/>
      <c r="H176" s="16" t="n"/>
      <c r="I176" s="17" t="n"/>
      <c r="J176" s="19">
        <f>IF($A176="","",IF($C176="","⚠️ Thiếu ngày làm gần nhất",IF(AND(TODAY()-$C176&lt;=2,$H176&lt;&gt;"Có"),"💬 Cần nhắn hỏi thăm",IF(AND($I176&lt;&gt;"",$I176&gt;=TODAY()),"📅 Đã hẹn "&amp;TEXT($I176,"dd/mm"),IF(TODAY()-$C176&gt;=2*IF($G176="",30,$G176),"🔴 Lâu rồi chưa quay lại",IF(TODAY()-$C176&gt;=IF($G176="",30,$G176),"🟡 Tới kỳ chăm sóc tiếp","🟢 Chưa tới kỳ — chưa cần làm gì"))))))</f>
        <v/>
      </c>
    </row>
    <row r="177">
      <c r="A177" s="16" t="n"/>
      <c r="B177" s="16" t="n"/>
      <c r="C177" s="17" t="n"/>
      <c r="D177" s="18" t="n"/>
      <c r="E177" s="18" t="n"/>
      <c r="F177" s="16" t="n"/>
      <c r="G177" s="16" t="n"/>
      <c r="H177" s="16" t="n"/>
      <c r="I177" s="17" t="n"/>
      <c r="J177" s="19">
        <f>IF($A177="","",IF($C177="","⚠️ Thiếu ngày làm gần nhất",IF(AND(TODAY()-$C177&lt;=2,$H177&lt;&gt;"Có"),"💬 Cần nhắn hỏi thăm",IF(AND($I177&lt;&gt;"",$I177&gt;=TODAY()),"📅 Đã hẹn "&amp;TEXT($I177,"dd/mm"),IF(TODAY()-$C177&gt;=2*IF($G177="",30,$G177),"🔴 Lâu rồi chưa quay lại",IF(TODAY()-$C177&gt;=IF($G177="",30,$G177),"🟡 Tới kỳ chăm sóc tiếp","🟢 Chưa tới kỳ — chưa cần làm gì"))))))</f>
        <v/>
      </c>
    </row>
    <row r="178">
      <c r="A178" s="16" t="n"/>
      <c r="B178" s="16" t="n"/>
      <c r="C178" s="17" t="n"/>
      <c r="D178" s="18" t="n"/>
      <c r="E178" s="18" t="n"/>
      <c r="F178" s="16" t="n"/>
      <c r="G178" s="16" t="n"/>
      <c r="H178" s="16" t="n"/>
      <c r="I178" s="17" t="n"/>
      <c r="J178" s="19">
        <f>IF($A178="","",IF($C178="","⚠️ Thiếu ngày làm gần nhất",IF(AND(TODAY()-$C178&lt;=2,$H178&lt;&gt;"Có"),"💬 Cần nhắn hỏi thăm",IF(AND($I178&lt;&gt;"",$I178&gt;=TODAY()),"📅 Đã hẹn "&amp;TEXT($I178,"dd/mm"),IF(TODAY()-$C178&gt;=2*IF($G178="",30,$G178),"🔴 Lâu rồi chưa quay lại",IF(TODAY()-$C178&gt;=IF($G178="",30,$G178),"🟡 Tới kỳ chăm sóc tiếp","🟢 Chưa tới kỳ — chưa cần làm gì"))))))</f>
        <v/>
      </c>
    </row>
    <row r="179">
      <c r="A179" s="16" t="n"/>
      <c r="B179" s="16" t="n"/>
      <c r="C179" s="17" t="n"/>
      <c r="D179" s="18" t="n"/>
      <c r="E179" s="18" t="n"/>
      <c r="F179" s="16" t="n"/>
      <c r="G179" s="16" t="n"/>
      <c r="H179" s="16" t="n"/>
      <c r="I179" s="17" t="n"/>
      <c r="J179" s="19">
        <f>IF($A179="","",IF($C179="","⚠️ Thiếu ngày làm gần nhất",IF(AND(TODAY()-$C179&lt;=2,$H179&lt;&gt;"Có"),"💬 Cần nhắn hỏi thăm",IF(AND($I179&lt;&gt;"",$I179&gt;=TODAY()),"📅 Đã hẹn "&amp;TEXT($I179,"dd/mm"),IF(TODAY()-$C179&gt;=2*IF($G179="",30,$G179),"🔴 Lâu rồi chưa quay lại",IF(TODAY()-$C179&gt;=IF($G179="",30,$G179),"🟡 Tới kỳ chăm sóc tiếp","🟢 Chưa tới kỳ — chưa cần làm gì"))))))</f>
        <v/>
      </c>
    </row>
    <row r="180">
      <c r="A180" s="16" t="n"/>
      <c r="B180" s="16" t="n"/>
      <c r="C180" s="17" t="n"/>
      <c r="D180" s="18" t="n"/>
      <c r="E180" s="18" t="n"/>
      <c r="F180" s="16" t="n"/>
      <c r="G180" s="16" t="n"/>
      <c r="H180" s="16" t="n"/>
      <c r="I180" s="17" t="n"/>
      <c r="J180" s="19">
        <f>IF($A180="","",IF($C180="","⚠️ Thiếu ngày làm gần nhất",IF(AND(TODAY()-$C180&lt;=2,$H180&lt;&gt;"Có"),"💬 Cần nhắn hỏi thăm",IF(AND($I180&lt;&gt;"",$I180&gt;=TODAY()),"📅 Đã hẹn "&amp;TEXT($I180,"dd/mm"),IF(TODAY()-$C180&gt;=2*IF($G180="",30,$G180),"🔴 Lâu rồi chưa quay lại",IF(TODAY()-$C180&gt;=IF($G180="",30,$G180),"🟡 Tới kỳ chăm sóc tiếp","🟢 Chưa tới kỳ — chưa cần làm gì"))))))</f>
        <v/>
      </c>
    </row>
    <row r="181">
      <c r="A181" s="16" t="n"/>
      <c r="B181" s="16" t="n"/>
      <c r="C181" s="17" t="n"/>
      <c r="D181" s="18" t="n"/>
      <c r="E181" s="18" t="n"/>
      <c r="F181" s="16" t="n"/>
      <c r="G181" s="16" t="n"/>
      <c r="H181" s="16" t="n"/>
      <c r="I181" s="17" t="n"/>
      <c r="J181" s="19">
        <f>IF($A181="","",IF($C181="","⚠️ Thiếu ngày làm gần nhất",IF(AND(TODAY()-$C181&lt;=2,$H181&lt;&gt;"Có"),"💬 Cần nhắn hỏi thăm",IF(AND($I181&lt;&gt;"",$I181&gt;=TODAY()),"📅 Đã hẹn "&amp;TEXT($I181,"dd/mm"),IF(TODAY()-$C181&gt;=2*IF($G181="",30,$G181),"🔴 Lâu rồi chưa quay lại",IF(TODAY()-$C181&gt;=IF($G181="",30,$G181),"🟡 Tới kỳ chăm sóc tiếp","🟢 Chưa tới kỳ — chưa cần làm gì"))))))</f>
        <v/>
      </c>
    </row>
    <row r="182">
      <c r="A182" s="16" t="n"/>
      <c r="B182" s="16" t="n"/>
      <c r="C182" s="17" t="n"/>
      <c r="D182" s="18" t="n"/>
      <c r="E182" s="18" t="n"/>
      <c r="F182" s="16" t="n"/>
      <c r="G182" s="16" t="n"/>
      <c r="H182" s="16" t="n"/>
      <c r="I182" s="17" t="n"/>
      <c r="J182" s="19">
        <f>IF($A182="","",IF($C182="","⚠️ Thiếu ngày làm gần nhất",IF(AND(TODAY()-$C182&lt;=2,$H182&lt;&gt;"Có"),"💬 Cần nhắn hỏi thăm",IF(AND($I182&lt;&gt;"",$I182&gt;=TODAY()),"📅 Đã hẹn "&amp;TEXT($I182,"dd/mm"),IF(TODAY()-$C182&gt;=2*IF($G182="",30,$G182),"🔴 Lâu rồi chưa quay lại",IF(TODAY()-$C182&gt;=IF($G182="",30,$G182),"🟡 Tới kỳ chăm sóc tiếp","🟢 Chưa tới kỳ — chưa cần làm gì"))))))</f>
        <v/>
      </c>
    </row>
    <row r="183">
      <c r="A183" s="16" t="n"/>
      <c r="B183" s="16" t="n"/>
      <c r="C183" s="17" t="n"/>
      <c r="D183" s="18" t="n"/>
      <c r="E183" s="18" t="n"/>
      <c r="F183" s="16" t="n"/>
      <c r="G183" s="16" t="n"/>
      <c r="H183" s="16" t="n"/>
      <c r="I183" s="17" t="n"/>
      <c r="J183" s="19">
        <f>IF($A183="","",IF($C183="","⚠️ Thiếu ngày làm gần nhất",IF(AND(TODAY()-$C183&lt;=2,$H183&lt;&gt;"Có"),"💬 Cần nhắn hỏi thăm",IF(AND($I183&lt;&gt;"",$I183&gt;=TODAY()),"📅 Đã hẹn "&amp;TEXT($I183,"dd/mm"),IF(TODAY()-$C183&gt;=2*IF($G183="",30,$G183),"🔴 Lâu rồi chưa quay lại",IF(TODAY()-$C183&gt;=IF($G183="",30,$G183),"🟡 Tới kỳ chăm sóc tiếp","🟢 Chưa tới kỳ — chưa cần làm gì"))))))</f>
        <v/>
      </c>
    </row>
    <row r="184">
      <c r="A184" s="16" t="n"/>
      <c r="B184" s="16" t="n"/>
      <c r="C184" s="17" t="n"/>
      <c r="D184" s="18" t="n"/>
      <c r="E184" s="18" t="n"/>
      <c r="F184" s="16" t="n"/>
      <c r="G184" s="16" t="n"/>
      <c r="H184" s="16" t="n"/>
      <c r="I184" s="17" t="n"/>
      <c r="J184" s="19">
        <f>IF($A184="","",IF($C184="","⚠️ Thiếu ngày làm gần nhất",IF(AND(TODAY()-$C184&lt;=2,$H184&lt;&gt;"Có"),"💬 Cần nhắn hỏi thăm",IF(AND($I184&lt;&gt;"",$I184&gt;=TODAY()),"📅 Đã hẹn "&amp;TEXT($I184,"dd/mm"),IF(TODAY()-$C184&gt;=2*IF($G184="",30,$G184),"🔴 Lâu rồi chưa quay lại",IF(TODAY()-$C184&gt;=IF($G184="",30,$G184),"🟡 Tới kỳ chăm sóc tiếp","🟢 Chưa tới kỳ — chưa cần làm gì"))))))</f>
        <v/>
      </c>
    </row>
    <row r="185">
      <c r="A185" s="16" t="n"/>
      <c r="B185" s="16" t="n"/>
      <c r="C185" s="17" t="n"/>
      <c r="D185" s="18" t="n"/>
      <c r="E185" s="18" t="n"/>
      <c r="F185" s="16" t="n"/>
      <c r="G185" s="16" t="n"/>
      <c r="H185" s="16" t="n"/>
      <c r="I185" s="17" t="n"/>
      <c r="J185" s="19">
        <f>IF($A185="","",IF($C185="","⚠️ Thiếu ngày làm gần nhất",IF(AND(TODAY()-$C185&lt;=2,$H185&lt;&gt;"Có"),"💬 Cần nhắn hỏi thăm",IF(AND($I185&lt;&gt;"",$I185&gt;=TODAY()),"📅 Đã hẹn "&amp;TEXT($I185,"dd/mm"),IF(TODAY()-$C185&gt;=2*IF($G185="",30,$G185),"🔴 Lâu rồi chưa quay lại",IF(TODAY()-$C185&gt;=IF($G185="",30,$G185),"🟡 Tới kỳ chăm sóc tiếp","🟢 Chưa tới kỳ — chưa cần làm gì"))))))</f>
        <v/>
      </c>
    </row>
    <row r="186">
      <c r="A186" s="16" t="n"/>
      <c r="B186" s="16" t="n"/>
      <c r="C186" s="17" t="n"/>
      <c r="D186" s="18" t="n"/>
      <c r="E186" s="18" t="n"/>
      <c r="F186" s="16" t="n"/>
      <c r="G186" s="16" t="n"/>
      <c r="H186" s="16" t="n"/>
      <c r="I186" s="17" t="n"/>
      <c r="J186" s="19">
        <f>IF($A186="","",IF($C186="","⚠️ Thiếu ngày làm gần nhất",IF(AND(TODAY()-$C186&lt;=2,$H186&lt;&gt;"Có"),"💬 Cần nhắn hỏi thăm",IF(AND($I186&lt;&gt;"",$I186&gt;=TODAY()),"📅 Đã hẹn "&amp;TEXT($I186,"dd/mm"),IF(TODAY()-$C186&gt;=2*IF($G186="",30,$G186),"🔴 Lâu rồi chưa quay lại",IF(TODAY()-$C186&gt;=IF($G186="",30,$G186),"🟡 Tới kỳ chăm sóc tiếp","🟢 Chưa tới kỳ — chưa cần làm gì"))))))</f>
        <v/>
      </c>
    </row>
    <row r="187">
      <c r="A187" s="16" t="n"/>
      <c r="B187" s="16" t="n"/>
      <c r="C187" s="17" t="n"/>
      <c r="D187" s="18" t="n"/>
      <c r="E187" s="18" t="n"/>
      <c r="F187" s="16" t="n"/>
      <c r="G187" s="16" t="n"/>
      <c r="H187" s="16" t="n"/>
      <c r="I187" s="17" t="n"/>
      <c r="J187" s="19">
        <f>IF($A187="","",IF($C187="","⚠️ Thiếu ngày làm gần nhất",IF(AND(TODAY()-$C187&lt;=2,$H187&lt;&gt;"Có"),"💬 Cần nhắn hỏi thăm",IF(AND($I187&lt;&gt;"",$I187&gt;=TODAY()),"📅 Đã hẹn "&amp;TEXT($I187,"dd/mm"),IF(TODAY()-$C187&gt;=2*IF($G187="",30,$G187),"🔴 Lâu rồi chưa quay lại",IF(TODAY()-$C187&gt;=IF($G187="",30,$G187),"🟡 Tới kỳ chăm sóc tiếp","🟢 Chưa tới kỳ — chưa cần làm gì"))))))</f>
        <v/>
      </c>
    </row>
    <row r="188">
      <c r="A188" s="16" t="n"/>
      <c r="B188" s="16" t="n"/>
      <c r="C188" s="17" t="n"/>
      <c r="D188" s="18" t="n"/>
      <c r="E188" s="18" t="n"/>
      <c r="F188" s="16" t="n"/>
      <c r="G188" s="16" t="n"/>
      <c r="H188" s="16" t="n"/>
      <c r="I188" s="17" t="n"/>
      <c r="J188" s="19">
        <f>IF($A188="","",IF($C188="","⚠️ Thiếu ngày làm gần nhất",IF(AND(TODAY()-$C188&lt;=2,$H188&lt;&gt;"Có"),"💬 Cần nhắn hỏi thăm",IF(AND($I188&lt;&gt;"",$I188&gt;=TODAY()),"📅 Đã hẹn "&amp;TEXT($I188,"dd/mm"),IF(TODAY()-$C188&gt;=2*IF($G188="",30,$G188),"🔴 Lâu rồi chưa quay lại",IF(TODAY()-$C188&gt;=IF($G188="",30,$G188),"🟡 Tới kỳ chăm sóc tiếp","🟢 Chưa tới kỳ — chưa cần làm gì"))))))</f>
        <v/>
      </c>
    </row>
    <row r="189">
      <c r="A189" s="16" t="n"/>
      <c r="B189" s="16" t="n"/>
      <c r="C189" s="17" t="n"/>
      <c r="D189" s="18" t="n"/>
      <c r="E189" s="18" t="n"/>
      <c r="F189" s="16" t="n"/>
      <c r="G189" s="16" t="n"/>
      <c r="H189" s="16" t="n"/>
      <c r="I189" s="17" t="n"/>
      <c r="J189" s="19">
        <f>IF($A189="","",IF($C189="","⚠️ Thiếu ngày làm gần nhất",IF(AND(TODAY()-$C189&lt;=2,$H189&lt;&gt;"Có"),"💬 Cần nhắn hỏi thăm",IF(AND($I189&lt;&gt;"",$I189&gt;=TODAY()),"📅 Đã hẹn "&amp;TEXT($I189,"dd/mm"),IF(TODAY()-$C189&gt;=2*IF($G189="",30,$G189),"🔴 Lâu rồi chưa quay lại",IF(TODAY()-$C189&gt;=IF($G189="",30,$G189),"🟡 Tới kỳ chăm sóc tiếp","🟢 Chưa tới kỳ — chưa cần làm gì"))))))</f>
        <v/>
      </c>
    </row>
    <row r="190">
      <c r="A190" s="16" t="n"/>
      <c r="B190" s="16" t="n"/>
      <c r="C190" s="17" t="n"/>
      <c r="D190" s="18" t="n"/>
      <c r="E190" s="18" t="n"/>
      <c r="F190" s="16" t="n"/>
      <c r="G190" s="16" t="n"/>
      <c r="H190" s="16" t="n"/>
      <c r="I190" s="17" t="n"/>
      <c r="J190" s="19">
        <f>IF($A190="","",IF($C190="","⚠️ Thiếu ngày làm gần nhất",IF(AND(TODAY()-$C190&lt;=2,$H190&lt;&gt;"Có"),"💬 Cần nhắn hỏi thăm",IF(AND($I190&lt;&gt;"",$I190&gt;=TODAY()),"📅 Đã hẹn "&amp;TEXT($I190,"dd/mm"),IF(TODAY()-$C190&gt;=2*IF($G190="",30,$G190),"🔴 Lâu rồi chưa quay lại",IF(TODAY()-$C190&gt;=IF($G190="",30,$G190),"🟡 Tới kỳ chăm sóc tiếp","🟢 Chưa tới kỳ — chưa cần làm gì"))))))</f>
        <v/>
      </c>
    </row>
    <row r="191">
      <c r="A191" s="16" t="n"/>
      <c r="B191" s="16" t="n"/>
      <c r="C191" s="17" t="n"/>
      <c r="D191" s="18" t="n"/>
      <c r="E191" s="18" t="n"/>
      <c r="F191" s="16" t="n"/>
      <c r="G191" s="16" t="n"/>
      <c r="H191" s="16" t="n"/>
      <c r="I191" s="17" t="n"/>
      <c r="J191" s="19">
        <f>IF($A191="","",IF($C191="","⚠️ Thiếu ngày làm gần nhất",IF(AND(TODAY()-$C191&lt;=2,$H191&lt;&gt;"Có"),"💬 Cần nhắn hỏi thăm",IF(AND($I191&lt;&gt;"",$I191&gt;=TODAY()),"📅 Đã hẹn "&amp;TEXT($I191,"dd/mm"),IF(TODAY()-$C191&gt;=2*IF($G191="",30,$G191),"🔴 Lâu rồi chưa quay lại",IF(TODAY()-$C191&gt;=IF($G191="",30,$G191),"🟡 Tới kỳ chăm sóc tiếp","🟢 Chưa tới kỳ — chưa cần làm gì"))))))</f>
        <v/>
      </c>
    </row>
    <row r="192">
      <c r="A192" s="16" t="n"/>
      <c r="B192" s="16" t="n"/>
      <c r="C192" s="17" t="n"/>
      <c r="D192" s="18" t="n"/>
      <c r="E192" s="18" t="n"/>
      <c r="F192" s="16" t="n"/>
      <c r="G192" s="16" t="n"/>
      <c r="H192" s="16" t="n"/>
      <c r="I192" s="17" t="n"/>
      <c r="J192" s="19">
        <f>IF($A192="","",IF($C192="","⚠️ Thiếu ngày làm gần nhất",IF(AND(TODAY()-$C192&lt;=2,$H192&lt;&gt;"Có"),"💬 Cần nhắn hỏi thăm",IF(AND($I192&lt;&gt;"",$I192&gt;=TODAY()),"📅 Đã hẹn "&amp;TEXT($I192,"dd/mm"),IF(TODAY()-$C192&gt;=2*IF($G192="",30,$G192),"🔴 Lâu rồi chưa quay lại",IF(TODAY()-$C192&gt;=IF($G192="",30,$G192),"🟡 Tới kỳ chăm sóc tiếp","🟢 Chưa tới kỳ — chưa cần làm gì"))))))</f>
        <v/>
      </c>
    </row>
    <row r="193">
      <c r="A193" s="16" t="n"/>
      <c r="B193" s="16" t="n"/>
      <c r="C193" s="17" t="n"/>
      <c r="D193" s="18" t="n"/>
      <c r="E193" s="18" t="n"/>
      <c r="F193" s="16" t="n"/>
      <c r="G193" s="16" t="n"/>
      <c r="H193" s="16" t="n"/>
      <c r="I193" s="17" t="n"/>
      <c r="J193" s="19">
        <f>IF($A193="","",IF($C193="","⚠️ Thiếu ngày làm gần nhất",IF(AND(TODAY()-$C193&lt;=2,$H193&lt;&gt;"Có"),"💬 Cần nhắn hỏi thăm",IF(AND($I193&lt;&gt;"",$I193&gt;=TODAY()),"📅 Đã hẹn "&amp;TEXT($I193,"dd/mm"),IF(TODAY()-$C193&gt;=2*IF($G193="",30,$G193),"🔴 Lâu rồi chưa quay lại",IF(TODAY()-$C193&gt;=IF($G193="",30,$G193),"🟡 Tới kỳ chăm sóc tiếp","🟢 Chưa tới kỳ — chưa cần làm gì"))))))</f>
        <v/>
      </c>
    </row>
    <row r="194">
      <c r="A194" s="16" t="n"/>
      <c r="B194" s="16" t="n"/>
      <c r="C194" s="17" t="n"/>
      <c r="D194" s="18" t="n"/>
      <c r="E194" s="18" t="n"/>
      <c r="F194" s="16" t="n"/>
      <c r="G194" s="16" t="n"/>
      <c r="H194" s="16" t="n"/>
      <c r="I194" s="17" t="n"/>
      <c r="J194" s="19">
        <f>IF($A194="","",IF($C194="","⚠️ Thiếu ngày làm gần nhất",IF(AND(TODAY()-$C194&lt;=2,$H194&lt;&gt;"Có"),"💬 Cần nhắn hỏi thăm",IF(AND($I194&lt;&gt;"",$I194&gt;=TODAY()),"📅 Đã hẹn "&amp;TEXT($I194,"dd/mm"),IF(TODAY()-$C194&gt;=2*IF($G194="",30,$G194),"🔴 Lâu rồi chưa quay lại",IF(TODAY()-$C194&gt;=IF($G194="",30,$G194),"🟡 Tới kỳ chăm sóc tiếp","🟢 Chưa tới kỳ — chưa cần làm gì"))))))</f>
        <v/>
      </c>
    </row>
    <row r="195">
      <c r="A195" s="16" t="n"/>
      <c r="B195" s="16" t="n"/>
      <c r="C195" s="17" t="n"/>
      <c r="D195" s="18" t="n"/>
      <c r="E195" s="18" t="n"/>
      <c r="F195" s="16" t="n"/>
      <c r="G195" s="16" t="n"/>
      <c r="H195" s="16" t="n"/>
      <c r="I195" s="17" t="n"/>
      <c r="J195" s="19">
        <f>IF($A195="","",IF($C195="","⚠️ Thiếu ngày làm gần nhất",IF(AND(TODAY()-$C195&lt;=2,$H195&lt;&gt;"Có"),"💬 Cần nhắn hỏi thăm",IF(AND($I195&lt;&gt;"",$I195&gt;=TODAY()),"📅 Đã hẹn "&amp;TEXT($I195,"dd/mm"),IF(TODAY()-$C195&gt;=2*IF($G195="",30,$G195),"🔴 Lâu rồi chưa quay lại",IF(TODAY()-$C195&gt;=IF($G195="",30,$G195),"🟡 Tới kỳ chăm sóc tiếp","🟢 Chưa tới kỳ — chưa cần làm gì"))))))</f>
        <v/>
      </c>
    </row>
    <row r="196">
      <c r="A196" s="16" t="n"/>
      <c r="B196" s="16" t="n"/>
      <c r="C196" s="17" t="n"/>
      <c r="D196" s="18" t="n"/>
      <c r="E196" s="18" t="n"/>
      <c r="F196" s="16" t="n"/>
      <c r="G196" s="16" t="n"/>
      <c r="H196" s="16" t="n"/>
      <c r="I196" s="17" t="n"/>
      <c r="J196" s="19">
        <f>IF($A196="","",IF($C196="","⚠️ Thiếu ngày làm gần nhất",IF(AND(TODAY()-$C196&lt;=2,$H196&lt;&gt;"Có"),"💬 Cần nhắn hỏi thăm",IF(AND($I196&lt;&gt;"",$I196&gt;=TODAY()),"📅 Đã hẹn "&amp;TEXT($I196,"dd/mm"),IF(TODAY()-$C196&gt;=2*IF($G196="",30,$G196),"🔴 Lâu rồi chưa quay lại",IF(TODAY()-$C196&gt;=IF($G196="",30,$G196),"🟡 Tới kỳ chăm sóc tiếp","🟢 Chưa tới kỳ — chưa cần làm gì"))))))</f>
        <v/>
      </c>
    </row>
    <row r="197">
      <c r="A197" s="16" t="n"/>
      <c r="B197" s="16" t="n"/>
      <c r="C197" s="17" t="n"/>
      <c r="D197" s="18" t="n"/>
      <c r="E197" s="18" t="n"/>
      <c r="F197" s="16" t="n"/>
      <c r="G197" s="16" t="n"/>
      <c r="H197" s="16" t="n"/>
      <c r="I197" s="17" t="n"/>
      <c r="J197" s="19">
        <f>IF($A197="","",IF($C197="","⚠️ Thiếu ngày làm gần nhất",IF(AND(TODAY()-$C197&lt;=2,$H197&lt;&gt;"Có"),"💬 Cần nhắn hỏi thăm",IF(AND($I197&lt;&gt;"",$I197&gt;=TODAY()),"📅 Đã hẹn "&amp;TEXT($I197,"dd/mm"),IF(TODAY()-$C197&gt;=2*IF($G197="",30,$G197),"🔴 Lâu rồi chưa quay lại",IF(TODAY()-$C197&gt;=IF($G197="",30,$G197),"🟡 Tới kỳ chăm sóc tiếp","🟢 Chưa tới kỳ — chưa cần làm gì"))))))</f>
        <v/>
      </c>
    </row>
    <row r="198">
      <c r="A198" s="16" t="n"/>
      <c r="B198" s="16" t="n"/>
      <c r="C198" s="17" t="n"/>
      <c r="D198" s="18" t="n"/>
      <c r="E198" s="18" t="n"/>
      <c r="F198" s="16" t="n"/>
      <c r="G198" s="16" t="n"/>
      <c r="H198" s="16" t="n"/>
      <c r="I198" s="17" t="n"/>
      <c r="J198" s="19">
        <f>IF($A198="","",IF($C198="","⚠️ Thiếu ngày làm gần nhất",IF(AND(TODAY()-$C198&lt;=2,$H198&lt;&gt;"Có"),"💬 Cần nhắn hỏi thăm",IF(AND($I198&lt;&gt;"",$I198&gt;=TODAY()),"📅 Đã hẹn "&amp;TEXT($I198,"dd/mm"),IF(TODAY()-$C198&gt;=2*IF($G198="",30,$G198),"🔴 Lâu rồi chưa quay lại",IF(TODAY()-$C198&gt;=IF($G198="",30,$G198),"🟡 Tới kỳ chăm sóc tiếp","🟢 Chưa tới kỳ — chưa cần làm gì"))))))</f>
        <v/>
      </c>
    </row>
    <row r="199">
      <c r="A199" s="16" t="n"/>
      <c r="B199" s="16" t="n"/>
      <c r="C199" s="17" t="n"/>
      <c r="D199" s="18" t="n"/>
      <c r="E199" s="18" t="n"/>
      <c r="F199" s="16" t="n"/>
      <c r="G199" s="16" t="n"/>
      <c r="H199" s="16" t="n"/>
      <c r="I199" s="17" t="n"/>
      <c r="J199" s="19">
        <f>IF($A199="","",IF($C199="","⚠️ Thiếu ngày làm gần nhất",IF(AND(TODAY()-$C199&lt;=2,$H199&lt;&gt;"Có"),"💬 Cần nhắn hỏi thăm",IF(AND($I199&lt;&gt;"",$I199&gt;=TODAY()),"📅 Đã hẹn "&amp;TEXT($I199,"dd/mm"),IF(TODAY()-$C199&gt;=2*IF($G199="",30,$G199),"🔴 Lâu rồi chưa quay lại",IF(TODAY()-$C199&gt;=IF($G199="",30,$G199),"🟡 Tới kỳ chăm sóc tiếp","🟢 Chưa tới kỳ — chưa cần làm gì"))))))</f>
        <v/>
      </c>
    </row>
    <row r="200">
      <c r="A200" s="16" t="n"/>
      <c r="B200" s="16" t="n"/>
      <c r="C200" s="17" t="n"/>
      <c r="D200" s="18" t="n"/>
      <c r="E200" s="18" t="n"/>
      <c r="F200" s="16" t="n"/>
      <c r="G200" s="16" t="n"/>
      <c r="H200" s="16" t="n"/>
      <c r="I200" s="17" t="n"/>
      <c r="J200" s="19">
        <f>IF($A200="","",IF($C200="","⚠️ Thiếu ngày làm gần nhất",IF(AND(TODAY()-$C200&lt;=2,$H200&lt;&gt;"Có"),"💬 Cần nhắn hỏi thăm",IF(AND($I200&lt;&gt;"",$I200&gt;=TODAY()),"📅 Đã hẹn "&amp;TEXT($I200,"dd/mm"),IF(TODAY()-$C200&gt;=2*IF($G200="",30,$G200),"🔴 Lâu rồi chưa quay lại",IF(TODAY()-$C200&gt;=IF($G200="",30,$G200),"🟡 Tới kỳ chăm sóc tiếp","🟢 Chưa tới kỳ — chưa cần làm gì"))))))</f>
        <v/>
      </c>
    </row>
    <row r="201">
      <c r="A201" s="16" t="n"/>
      <c r="B201" s="16" t="n"/>
      <c r="C201" s="17" t="n"/>
      <c r="D201" s="18" t="n"/>
      <c r="E201" s="18" t="n"/>
      <c r="F201" s="16" t="n"/>
      <c r="G201" s="16" t="n"/>
      <c r="H201" s="16" t="n"/>
      <c r="I201" s="17" t="n"/>
      <c r="J201" s="19">
        <f>IF($A201="","",IF($C201="","⚠️ Thiếu ngày làm gần nhất",IF(AND(TODAY()-$C201&lt;=2,$H201&lt;&gt;"Có"),"💬 Cần nhắn hỏi thăm",IF(AND($I201&lt;&gt;"",$I201&gt;=TODAY()),"📅 Đã hẹn "&amp;TEXT($I201,"dd/mm"),IF(TODAY()-$C201&gt;=2*IF($G201="",30,$G201),"🔴 Lâu rồi chưa quay lại",IF(TODAY()-$C201&gt;=IF($G201="",30,$G201),"🟡 Tới kỳ chăm sóc tiếp","🟢 Chưa tới kỳ — chưa cần làm gì"))))))</f>
        <v/>
      </c>
    </row>
    <row r="202">
      <c r="A202" s="16" t="n"/>
      <c r="B202" s="16" t="n"/>
      <c r="C202" s="17" t="n"/>
      <c r="D202" s="18" t="n"/>
      <c r="E202" s="18" t="n"/>
      <c r="F202" s="16" t="n"/>
      <c r="G202" s="16" t="n"/>
      <c r="H202" s="16" t="n"/>
      <c r="I202" s="17" t="n"/>
      <c r="J202" s="19">
        <f>IF($A202="","",IF($C202="","⚠️ Thiếu ngày làm gần nhất",IF(AND(TODAY()-$C202&lt;=2,$H202&lt;&gt;"Có"),"💬 Cần nhắn hỏi thăm",IF(AND($I202&lt;&gt;"",$I202&gt;=TODAY()),"📅 Đã hẹn "&amp;TEXT($I202,"dd/mm"),IF(TODAY()-$C202&gt;=2*IF($G202="",30,$G202),"🔴 Lâu rồi chưa quay lại",IF(TODAY()-$C202&gt;=IF($G202="",30,$G202),"🟡 Tới kỳ chăm sóc tiếp","🟢 Chưa tới kỳ — chưa cần làm gì"))))))</f>
        <v/>
      </c>
    </row>
    <row r="203">
      <c r="A203" s="16" t="n"/>
      <c r="B203" s="16" t="n"/>
      <c r="C203" s="17" t="n"/>
      <c r="D203" s="18" t="n"/>
      <c r="E203" s="18" t="n"/>
      <c r="F203" s="16" t="n"/>
      <c r="G203" s="16" t="n"/>
      <c r="H203" s="16" t="n"/>
      <c r="I203" s="17" t="n"/>
      <c r="J203" s="19">
        <f>IF($A203="","",IF($C203="","⚠️ Thiếu ngày làm gần nhất",IF(AND(TODAY()-$C203&lt;=2,$H203&lt;&gt;"Có"),"💬 Cần nhắn hỏi thăm",IF(AND($I203&lt;&gt;"",$I203&gt;=TODAY()),"📅 Đã hẹn "&amp;TEXT($I203,"dd/mm"),IF(TODAY()-$C203&gt;=2*IF($G203="",30,$G203),"🔴 Lâu rồi chưa quay lại",IF(TODAY()-$C203&gt;=IF($G203="",30,$G203),"🟡 Tới kỳ chăm sóc tiếp","🟢 Chưa tới kỳ — chưa cần làm gì"))))))</f>
        <v/>
      </c>
    </row>
    <row r="204">
      <c r="A204" s="16" t="n"/>
      <c r="B204" s="16" t="n"/>
      <c r="C204" s="17" t="n"/>
      <c r="D204" s="18" t="n"/>
      <c r="E204" s="18" t="n"/>
      <c r="F204" s="16" t="n"/>
      <c r="G204" s="16" t="n"/>
      <c r="H204" s="16" t="n"/>
      <c r="I204" s="17" t="n"/>
      <c r="J204" s="19">
        <f>IF($A204="","",IF($C204="","⚠️ Thiếu ngày làm gần nhất",IF(AND(TODAY()-$C204&lt;=2,$H204&lt;&gt;"Có"),"💬 Cần nhắn hỏi thăm",IF(AND($I204&lt;&gt;"",$I204&gt;=TODAY()),"📅 Đã hẹn "&amp;TEXT($I204,"dd/mm"),IF(TODAY()-$C204&gt;=2*IF($G204="",30,$G204),"🔴 Lâu rồi chưa quay lại",IF(TODAY()-$C204&gt;=IF($G204="",30,$G204),"🟡 Tới kỳ chăm sóc tiếp","🟢 Chưa tới kỳ — chưa cần làm gì"))))))</f>
        <v/>
      </c>
    </row>
    <row r="205">
      <c r="A205" s="16" t="n"/>
      <c r="B205" s="16" t="n"/>
      <c r="C205" s="17" t="n"/>
      <c r="D205" s="18" t="n"/>
      <c r="E205" s="18" t="n"/>
      <c r="F205" s="16" t="n"/>
      <c r="G205" s="16" t="n"/>
      <c r="H205" s="16" t="n"/>
      <c r="I205" s="17" t="n"/>
      <c r="J205" s="19">
        <f>IF($A205="","",IF($C205="","⚠️ Thiếu ngày làm gần nhất",IF(AND(TODAY()-$C205&lt;=2,$H205&lt;&gt;"Có"),"💬 Cần nhắn hỏi thăm",IF(AND($I205&lt;&gt;"",$I205&gt;=TODAY()),"📅 Đã hẹn "&amp;TEXT($I205,"dd/mm"),IF(TODAY()-$C205&gt;=2*IF($G205="",30,$G205),"🔴 Lâu rồi chưa quay lại",IF(TODAY()-$C205&gt;=IF($G205="",30,$G205),"🟡 Tới kỳ chăm sóc tiếp","🟢 Chưa tới kỳ — chưa cần làm gì"))))))</f>
        <v/>
      </c>
    </row>
    <row r="206">
      <c r="A206" s="16" t="n"/>
      <c r="B206" s="16" t="n"/>
      <c r="C206" s="17" t="n"/>
      <c r="D206" s="18" t="n"/>
      <c r="E206" s="18" t="n"/>
      <c r="F206" s="16" t="n"/>
      <c r="G206" s="16" t="n"/>
      <c r="H206" s="16" t="n"/>
      <c r="I206" s="17" t="n"/>
      <c r="J206" s="19">
        <f>IF($A206="","",IF($C206="","⚠️ Thiếu ngày làm gần nhất",IF(AND(TODAY()-$C206&lt;=2,$H206&lt;&gt;"Có"),"💬 Cần nhắn hỏi thăm",IF(AND($I206&lt;&gt;"",$I206&gt;=TODAY()),"📅 Đã hẹn "&amp;TEXT($I206,"dd/mm"),IF(TODAY()-$C206&gt;=2*IF($G206="",30,$G206),"🔴 Lâu rồi chưa quay lại",IF(TODAY()-$C206&gt;=IF($G206="",30,$G206),"🟡 Tới kỳ chăm sóc tiếp","🟢 Chưa tới kỳ — chưa cần làm gì"))))))</f>
        <v/>
      </c>
    </row>
    <row r="207">
      <c r="A207" s="16" t="n"/>
      <c r="B207" s="16" t="n"/>
      <c r="C207" s="17" t="n"/>
      <c r="D207" s="18" t="n"/>
      <c r="E207" s="18" t="n"/>
      <c r="F207" s="16" t="n"/>
      <c r="G207" s="16" t="n"/>
      <c r="H207" s="16" t="n"/>
      <c r="I207" s="17" t="n"/>
      <c r="J207" s="19">
        <f>IF($A207="","",IF($C207="","⚠️ Thiếu ngày làm gần nhất",IF(AND(TODAY()-$C207&lt;=2,$H207&lt;&gt;"Có"),"💬 Cần nhắn hỏi thăm",IF(AND($I207&lt;&gt;"",$I207&gt;=TODAY()),"📅 Đã hẹn "&amp;TEXT($I207,"dd/mm"),IF(TODAY()-$C207&gt;=2*IF($G207="",30,$G207),"🔴 Lâu rồi chưa quay lại",IF(TODAY()-$C207&gt;=IF($G207="",30,$G207),"🟡 Tới kỳ chăm sóc tiếp","🟢 Chưa tới kỳ — chưa cần làm gì"))))))</f>
        <v/>
      </c>
    </row>
    <row r="208">
      <c r="A208" s="16" t="n"/>
      <c r="B208" s="16" t="n"/>
      <c r="C208" s="17" t="n"/>
      <c r="D208" s="18" t="n"/>
      <c r="E208" s="18" t="n"/>
      <c r="F208" s="16" t="n"/>
      <c r="G208" s="16" t="n"/>
      <c r="H208" s="16" t="n"/>
      <c r="I208" s="17" t="n"/>
      <c r="J208" s="19">
        <f>IF($A208="","",IF($C208="","⚠️ Thiếu ngày làm gần nhất",IF(AND(TODAY()-$C208&lt;=2,$H208&lt;&gt;"Có"),"💬 Cần nhắn hỏi thăm",IF(AND($I208&lt;&gt;"",$I208&gt;=TODAY()),"📅 Đã hẹn "&amp;TEXT($I208,"dd/mm"),IF(TODAY()-$C208&gt;=2*IF($G208="",30,$G208),"🔴 Lâu rồi chưa quay lại",IF(TODAY()-$C208&gt;=IF($G208="",30,$G208),"🟡 Tới kỳ chăm sóc tiếp","🟢 Chưa tới kỳ — chưa cần làm gì"))))))</f>
        <v/>
      </c>
    </row>
    <row r="209">
      <c r="A209" s="16" t="n"/>
      <c r="B209" s="16" t="n"/>
      <c r="C209" s="17" t="n"/>
      <c r="D209" s="18" t="n"/>
      <c r="E209" s="18" t="n"/>
      <c r="F209" s="16" t="n"/>
      <c r="G209" s="16" t="n"/>
      <c r="H209" s="16" t="n"/>
      <c r="I209" s="17" t="n"/>
      <c r="J209" s="19">
        <f>IF($A209="","",IF($C209="","⚠️ Thiếu ngày làm gần nhất",IF(AND(TODAY()-$C209&lt;=2,$H209&lt;&gt;"Có"),"💬 Cần nhắn hỏi thăm",IF(AND($I209&lt;&gt;"",$I209&gt;=TODAY()),"📅 Đã hẹn "&amp;TEXT($I209,"dd/mm"),IF(TODAY()-$C209&gt;=2*IF($G209="",30,$G209),"🔴 Lâu rồi chưa quay lại",IF(TODAY()-$C209&gt;=IF($G209="",30,$G209),"🟡 Tới kỳ chăm sóc tiếp","🟢 Chưa tới kỳ — chưa cần làm gì"))))))</f>
        <v/>
      </c>
    </row>
    <row r="210">
      <c r="A210" s="16" t="n"/>
      <c r="B210" s="16" t="n"/>
      <c r="C210" s="17" t="n"/>
      <c r="D210" s="18" t="n"/>
      <c r="E210" s="18" t="n"/>
      <c r="F210" s="16" t="n"/>
      <c r="G210" s="16" t="n"/>
      <c r="H210" s="16" t="n"/>
      <c r="I210" s="17" t="n"/>
      <c r="J210" s="19">
        <f>IF($A210="","",IF($C210="","⚠️ Thiếu ngày làm gần nhất",IF(AND(TODAY()-$C210&lt;=2,$H210&lt;&gt;"Có"),"💬 Cần nhắn hỏi thăm",IF(AND($I210&lt;&gt;"",$I210&gt;=TODAY()),"📅 Đã hẹn "&amp;TEXT($I210,"dd/mm"),IF(TODAY()-$C210&gt;=2*IF($G210="",30,$G210),"🔴 Lâu rồi chưa quay lại",IF(TODAY()-$C210&gt;=IF($G210="",30,$G210),"🟡 Tới kỳ chăm sóc tiếp","🟢 Chưa tới kỳ — chưa cần làm gì"))))))</f>
        <v/>
      </c>
    </row>
    <row r="211">
      <c r="A211" s="16" t="n"/>
      <c r="B211" s="16" t="n"/>
      <c r="C211" s="17" t="n"/>
      <c r="D211" s="18" t="n"/>
      <c r="E211" s="18" t="n"/>
      <c r="F211" s="16" t="n"/>
      <c r="G211" s="16" t="n"/>
      <c r="H211" s="16" t="n"/>
      <c r="I211" s="17" t="n"/>
      <c r="J211" s="19">
        <f>IF($A211="","",IF($C211="","⚠️ Thiếu ngày làm gần nhất",IF(AND(TODAY()-$C211&lt;=2,$H211&lt;&gt;"Có"),"💬 Cần nhắn hỏi thăm",IF(AND($I211&lt;&gt;"",$I211&gt;=TODAY()),"📅 Đã hẹn "&amp;TEXT($I211,"dd/mm"),IF(TODAY()-$C211&gt;=2*IF($G211="",30,$G211),"🔴 Lâu rồi chưa quay lại",IF(TODAY()-$C211&gt;=IF($G211="",30,$G211),"🟡 Tới kỳ chăm sóc tiếp","🟢 Chưa tới kỳ — chưa cần làm gì"))))))</f>
        <v/>
      </c>
    </row>
    <row r="212">
      <c r="A212" s="16" t="n"/>
      <c r="B212" s="16" t="n"/>
      <c r="C212" s="17" t="n"/>
      <c r="D212" s="18" t="n"/>
      <c r="E212" s="18" t="n"/>
      <c r="F212" s="16" t="n"/>
      <c r="G212" s="16" t="n"/>
      <c r="H212" s="16" t="n"/>
      <c r="I212" s="17" t="n"/>
      <c r="J212" s="19">
        <f>IF($A212="","",IF($C212="","⚠️ Thiếu ngày làm gần nhất",IF(AND(TODAY()-$C212&lt;=2,$H212&lt;&gt;"Có"),"💬 Cần nhắn hỏi thăm",IF(AND($I212&lt;&gt;"",$I212&gt;=TODAY()),"📅 Đã hẹn "&amp;TEXT($I212,"dd/mm"),IF(TODAY()-$C212&gt;=2*IF($G212="",30,$G212),"🔴 Lâu rồi chưa quay lại",IF(TODAY()-$C212&gt;=IF($G212="",30,$G212),"🟡 Tới kỳ chăm sóc tiếp","🟢 Chưa tới kỳ — chưa cần làm gì"))))))</f>
        <v/>
      </c>
    </row>
    <row r="213">
      <c r="A213" s="16" t="n"/>
      <c r="B213" s="16" t="n"/>
      <c r="C213" s="17" t="n"/>
      <c r="D213" s="18" t="n"/>
      <c r="E213" s="18" t="n"/>
      <c r="F213" s="16" t="n"/>
      <c r="G213" s="16" t="n"/>
      <c r="H213" s="16" t="n"/>
      <c r="I213" s="17" t="n"/>
      <c r="J213" s="19">
        <f>IF($A213="","",IF($C213="","⚠️ Thiếu ngày làm gần nhất",IF(AND(TODAY()-$C213&lt;=2,$H213&lt;&gt;"Có"),"💬 Cần nhắn hỏi thăm",IF(AND($I213&lt;&gt;"",$I213&gt;=TODAY()),"📅 Đã hẹn "&amp;TEXT($I213,"dd/mm"),IF(TODAY()-$C213&gt;=2*IF($G213="",30,$G213),"🔴 Lâu rồi chưa quay lại",IF(TODAY()-$C213&gt;=IF($G213="",30,$G213),"🟡 Tới kỳ chăm sóc tiếp","🟢 Chưa tới kỳ — chưa cần làm gì"))))))</f>
        <v/>
      </c>
    </row>
    <row r="214">
      <c r="A214" s="16" t="n"/>
      <c r="B214" s="16" t="n"/>
      <c r="C214" s="17" t="n"/>
      <c r="D214" s="18" t="n"/>
      <c r="E214" s="18" t="n"/>
      <c r="F214" s="16" t="n"/>
      <c r="G214" s="16" t="n"/>
      <c r="H214" s="16" t="n"/>
      <c r="I214" s="17" t="n"/>
      <c r="J214" s="19">
        <f>IF($A214="","",IF($C214="","⚠️ Thiếu ngày làm gần nhất",IF(AND(TODAY()-$C214&lt;=2,$H214&lt;&gt;"Có"),"💬 Cần nhắn hỏi thăm",IF(AND($I214&lt;&gt;"",$I214&gt;=TODAY()),"📅 Đã hẹn "&amp;TEXT($I214,"dd/mm"),IF(TODAY()-$C214&gt;=2*IF($G214="",30,$G214),"🔴 Lâu rồi chưa quay lại",IF(TODAY()-$C214&gt;=IF($G214="",30,$G214),"🟡 Tới kỳ chăm sóc tiếp","🟢 Chưa tới kỳ — chưa cần làm gì"))))))</f>
        <v/>
      </c>
    </row>
    <row r="215">
      <c r="A215" s="16" t="n"/>
      <c r="B215" s="16" t="n"/>
      <c r="C215" s="17" t="n"/>
      <c r="D215" s="18" t="n"/>
      <c r="E215" s="18" t="n"/>
      <c r="F215" s="16" t="n"/>
      <c r="G215" s="16" t="n"/>
      <c r="H215" s="16" t="n"/>
      <c r="I215" s="17" t="n"/>
      <c r="J215" s="19">
        <f>IF($A215="","",IF($C215="","⚠️ Thiếu ngày làm gần nhất",IF(AND(TODAY()-$C215&lt;=2,$H215&lt;&gt;"Có"),"💬 Cần nhắn hỏi thăm",IF(AND($I215&lt;&gt;"",$I215&gt;=TODAY()),"📅 Đã hẹn "&amp;TEXT($I215,"dd/mm"),IF(TODAY()-$C215&gt;=2*IF($G215="",30,$G215),"🔴 Lâu rồi chưa quay lại",IF(TODAY()-$C215&gt;=IF($G215="",30,$G215),"🟡 Tới kỳ chăm sóc tiếp","🟢 Chưa tới kỳ — chưa cần làm gì"))))))</f>
        <v/>
      </c>
    </row>
    <row r="216">
      <c r="A216" s="16" t="n"/>
      <c r="B216" s="16" t="n"/>
      <c r="C216" s="17" t="n"/>
      <c r="D216" s="18" t="n"/>
      <c r="E216" s="18" t="n"/>
      <c r="F216" s="16" t="n"/>
      <c r="G216" s="16" t="n"/>
      <c r="H216" s="16" t="n"/>
      <c r="I216" s="17" t="n"/>
      <c r="J216" s="19">
        <f>IF($A216="","",IF($C216="","⚠️ Thiếu ngày làm gần nhất",IF(AND(TODAY()-$C216&lt;=2,$H216&lt;&gt;"Có"),"💬 Cần nhắn hỏi thăm",IF(AND($I216&lt;&gt;"",$I216&gt;=TODAY()),"📅 Đã hẹn "&amp;TEXT($I216,"dd/mm"),IF(TODAY()-$C216&gt;=2*IF($G216="",30,$G216),"🔴 Lâu rồi chưa quay lại",IF(TODAY()-$C216&gt;=IF($G216="",30,$G216),"🟡 Tới kỳ chăm sóc tiếp","🟢 Chưa tới kỳ — chưa cần làm gì"))))))</f>
        <v/>
      </c>
    </row>
    <row r="217">
      <c r="A217" s="16" t="n"/>
      <c r="B217" s="16" t="n"/>
      <c r="C217" s="17" t="n"/>
      <c r="D217" s="18" t="n"/>
      <c r="E217" s="18" t="n"/>
      <c r="F217" s="16" t="n"/>
      <c r="G217" s="16" t="n"/>
      <c r="H217" s="16" t="n"/>
      <c r="I217" s="17" t="n"/>
      <c r="J217" s="19">
        <f>IF($A217="","",IF($C217="","⚠️ Thiếu ngày làm gần nhất",IF(AND(TODAY()-$C217&lt;=2,$H217&lt;&gt;"Có"),"💬 Cần nhắn hỏi thăm",IF(AND($I217&lt;&gt;"",$I217&gt;=TODAY()),"📅 Đã hẹn "&amp;TEXT($I217,"dd/mm"),IF(TODAY()-$C217&gt;=2*IF($G217="",30,$G217),"🔴 Lâu rồi chưa quay lại",IF(TODAY()-$C217&gt;=IF($G217="",30,$G217),"🟡 Tới kỳ chăm sóc tiếp","🟢 Chưa tới kỳ — chưa cần làm gì"))))))</f>
        <v/>
      </c>
    </row>
    <row r="218">
      <c r="A218" s="16" t="n"/>
      <c r="B218" s="16" t="n"/>
      <c r="C218" s="17" t="n"/>
      <c r="D218" s="18" t="n"/>
      <c r="E218" s="18" t="n"/>
      <c r="F218" s="16" t="n"/>
      <c r="G218" s="16" t="n"/>
      <c r="H218" s="16" t="n"/>
      <c r="I218" s="17" t="n"/>
      <c r="J218" s="19">
        <f>IF($A218="","",IF($C218="","⚠️ Thiếu ngày làm gần nhất",IF(AND(TODAY()-$C218&lt;=2,$H218&lt;&gt;"Có"),"💬 Cần nhắn hỏi thăm",IF(AND($I218&lt;&gt;"",$I218&gt;=TODAY()),"📅 Đã hẹn "&amp;TEXT($I218,"dd/mm"),IF(TODAY()-$C218&gt;=2*IF($G218="",30,$G218),"🔴 Lâu rồi chưa quay lại",IF(TODAY()-$C218&gt;=IF($G218="",30,$G218),"🟡 Tới kỳ chăm sóc tiếp","🟢 Chưa tới kỳ — chưa cần làm gì"))))))</f>
        <v/>
      </c>
    </row>
    <row r="219">
      <c r="A219" s="16" t="n"/>
      <c r="B219" s="16" t="n"/>
      <c r="C219" s="17" t="n"/>
      <c r="D219" s="18" t="n"/>
      <c r="E219" s="18" t="n"/>
      <c r="F219" s="16" t="n"/>
      <c r="G219" s="16" t="n"/>
      <c r="H219" s="16" t="n"/>
      <c r="I219" s="17" t="n"/>
      <c r="J219" s="19">
        <f>IF($A219="","",IF($C219="","⚠️ Thiếu ngày làm gần nhất",IF(AND(TODAY()-$C219&lt;=2,$H219&lt;&gt;"Có"),"💬 Cần nhắn hỏi thăm",IF(AND($I219&lt;&gt;"",$I219&gt;=TODAY()),"📅 Đã hẹn "&amp;TEXT($I219,"dd/mm"),IF(TODAY()-$C219&gt;=2*IF($G219="",30,$G219),"🔴 Lâu rồi chưa quay lại",IF(TODAY()-$C219&gt;=IF($G219="",30,$G219),"🟡 Tới kỳ chăm sóc tiếp","🟢 Chưa tới kỳ — chưa cần làm gì"))))))</f>
        <v/>
      </c>
    </row>
    <row r="220">
      <c r="A220" s="16" t="n"/>
      <c r="B220" s="16" t="n"/>
      <c r="C220" s="17" t="n"/>
      <c r="D220" s="18" t="n"/>
      <c r="E220" s="18" t="n"/>
      <c r="F220" s="16" t="n"/>
      <c r="G220" s="16" t="n"/>
      <c r="H220" s="16" t="n"/>
      <c r="I220" s="17" t="n"/>
      <c r="J220" s="19">
        <f>IF($A220="","",IF($C220="","⚠️ Thiếu ngày làm gần nhất",IF(AND(TODAY()-$C220&lt;=2,$H220&lt;&gt;"Có"),"💬 Cần nhắn hỏi thăm",IF(AND($I220&lt;&gt;"",$I220&gt;=TODAY()),"📅 Đã hẹn "&amp;TEXT($I220,"dd/mm"),IF(TODAY()-$C220&gt;=2*IF($G220="",30,$G220),"🔴 Lâu rồi chưa quay lại",IF(TODAY()-$C220&gt;=IF($G220="",30,$G220),"🟡 Tới kỳ chăm sóc tiếp","🟢 Chưa tới kỳ — chưa cần làm gì"))))))</f>
        <v/>
      </c>
    </row>
    <row r="221">
      <c r="A221" s="16" t="n"/>
      <c r="B221" s="16" t="n"/>
      <c r="C221" s="17" t="n"/>
      <c r="D221" s="18" t="n"/>
      <c r="E221" s="18" t="n"/>
      <c r="F221" s="16" t="n"/>
      <c r="G221" s="16" t="n"/>
      <c r="H221" s="16" t="n"/>
      <c r="I221" s="17" t="n"/>
      <c r="J221" s="19">
        <f>IF($A221="","",IF($C221="","⚠️ Thiếu ngày làm gần nhất",IF(AND(TODAY()-$C221&lt;=2,$H221&lt;&gt;"Có"),"💬 Cần nhắn hỏi thăm",IF(AND($I221&lt;&gt;"",$I221&gt;=TODAY()),"📅 Đã hẹn "&amp;TEXT($I221,"dd/mm"),IF(TODAY()-$C221&gt;=2*IF($G221="",30,$G221),"🔴 Lâu rồi chưa quay lại",IF(TODAY()-$C221&gt;=IF($G221="",30,$G221),"🟡 Tới kỳ chăm sóc tiếp","🟢 Chưa tới kỳ — chưa cần làm gì"))))))</f>
        <v/>
      </c>
    </row>
    <row r="222">
      <c r="A222" s="16" t="n"/>
      <c r="B222" s="16" t="n"/>
      <c r="C222" s="17" t="n"/>
      <c r="D222" s="18" t="n"/>
      <c r="E222" s="18" t="n"/>
      <c r="F222" s="16" t="n"/>
      <c r="G222" s="16" t="n"/>
      <c r="H222" s="16" t="n"/>
      <c r="I222" s="17" t="n"/>
      <c r="J222" s="19">
        <f>IF($A222="","",IF($C222="","⚠️ Thiếu ngày làm gần nhất",IF(AND(TODAY()-$C222&lt;=2,$H222&lt;&gt;"Có"),"💬 Cần nhắn hỏi thăm",IF(AND($I222&lt;&gt;"",$I222&gt;=TODAY()),"📅 Đã hẹn "&amp;TEXT($I222,"dd/mm"),IF(TODAY()-$C222&gt;=2*IF($G222="",30,$G222),"🔴 Lâu rồi chưa quay lại",IF(TODAY()-$C222&gt;=IF($G222="",30,$G222),"🟡 Tới kỳ chăm sóc tiếp","🟢 Chưa tới kỳ — chưa cần làm gì"))))))</f>
        <v/>
      </c>
    </row>
    <row r="223">
      <c r="A223" s="16" t="n"/>
      <c r="B223" s="16" t="n"/>
      <c r="C223" s="17" t="n"/>
      <c r="D223" s="18" t="n"/>
      <c r="E223" s="18" t="n"/>
      <c r="F223" s="16" t="n"/>
      <c r="G223" s="16" t="n"/>
      <c r="H223" s="16" t="n"/>
      <c r="I223" s="17" t="n"/>
      <c r="J223" s="19">
        <f>IF($A223="","",IF($C223="","⚠️ Thiếu ngày làm gần nhất",IF(AND(TODAY()-$C223&lt;=2,$H223&lt;&gt;"Có"),"💬 Cần nhắn hỏi thăm",IF(AND($I223&lt;&gt;"",$I223&gt;=TODAY()),"📅 Đã hẹn "&amp;TEXT($I223,"dd/mm"),IF(TODAY()-$C223&gt;=2*IF($G223="",30,$G223),"🔴 Lâu rồi chưa quay lại",IF(TODAY()-$C223&gt;=IF($G223="",30,$G223),"🟡 Tới kỳ chăm sóc tiếp","🟢 Chưa tới kỳ — chưa cần làm gì"))))))</f>
        <v/>
      </c>
    </row>
    <row r="224">
      <c r="A224" s="16" t="n"/>
      <c r="B224" s="16" t="n"/>
      <c r="C224" s="17" t="n"/>
      <c r="D224" s="18" t="n"/>
      <c r="E224" s="18" t="n"/>
      <c r="F224" s="16" t="n"/>
      <c r="G224" s="16" t="n"/>
      <c r="H224" s="16" t="n"/>
      <c r="I224" s="17" t="n"/>
      <c r="J224" s="19">
        <f>IF($A224="","",IF($C224="","⚠️ Thiếu ngày làm gần nhất",IF(AND(TODAY()-$C224&lt;=2,$H224&lt;&gt;"Có"),"💬 Cần nhắn hỏi thăm",IF(AND($I224&lt;&gt;"",$I224&gt;=TODAY()),"📅 Đã hẹn "&amp;TEXT($I224,"dd/mm"),IF(TODAY()-$C224&gt;=2*IF($G224="",30,$G224),"🔴 Lâu rồi chưa quay lại",IF(TODAY()-$C224&gt;=IF($G224="",30,$G224),"🟡 Tới kỳ chăm sóc tiếp","🟢 Chưa tới kỳ — chưa cần làm gì"))))))</f>
        <v/>
      </c>
    </row>
    <row r="225">
      <c r="A225" s="16" t="n"/>
      <c r="B225" s="16" t="n"/>
      <c r="C225" s="17" t="n"/>
      <c r="D225" s="18" t="n"/>
      <c r="E225" s="18" t="n"/>
      <c r="F225" s="16" t="n"/>
      <c r="G225" s="16" t="n"/>
      <c r="H225" s="16" t="n"/>
      <c r="I225" s="17" t="n"/>
      <c r="J225" s="19">
        <f>IF($A225="","",IF($C225="","⚠️ Thiếu ngày làm gần nhất",IF(AND(TODAY()-$C225&lt;=2,$H225&lt;&gt;"Có"),"💬 Cần nhắn hỏi thăm",IF(AND($I225&lt;&gt;"",$I225&gt;=TODAY()),"📅 Đã hẹn "&amp;TEXT($I225,"dd/mm"),IF(TODAY()-$C225&gt;=2*IF($G225="",30,$G225),"🔴 Lâu rồi chưa quay lại",IF(TODAY()-$C225&gt;=IF($G225="",30,$G225),"🟡 Tới kỳ chăm sóc tiếp","🟢 Chưa tới kỳ — chưa cần làm gì"))))))</f>
        <v/>
      </c>
    </row>
    <row r="226">
      <c r="A226" s="16" t="n"/>
      <c r="B226" s="16" t="n"/>
      <c r="C226" s="17" t="n"/>
      <c r="D226" s="18" t="n"/>
      <c r="E226" s="18" t="n"/>
      <c r="F226" s="16" t="n"/>
      <c r="G226" s="16" t="n"/>
      <c r="H226" s="16" t="n"/>
      <c r="I226" s="17" t="n"/>
      <c r="J226" s="19">
        <f>IF($A226="","",IF($C226="","⚠️ Thiếu ngày làm gần nhất",IF(AND(TODAY()-$C226&lt;=2,$H226&lt;&gt;"Có"),"💬 Cần nhắn hỏi thăm",IF(AND($I226&lt;&gt;"",$I226&gt;=TODAY()),"📅 Đã hẹn "&amp;TEXT($I226,"dd/mm"),IF(TODAY()-$C226&gt;=2*IF($G226="",30,$G226),"🔴 Lâu rồi chưa quay lại",IF(TODAY()-$C226&gt;=IF($G226="",30,$G226),"🟡 Tới kỳ chăm sóc tiếp","🟢 Chưa tới kỳ — chưa cần làm gì"))))))</f>
        <v/>
      </c>
    </row>
    <row r="227">
      <c r="A227" s="16" t="n"/>
      <c r="B227" s="16" t="n"/>
      <c r="C227" s="17" t="n"/>
      <c r="D227" s="18" t="n"/>
      <c r="E227" s="18" t="n"/>
      <c r="F227" s="16" t="n"/>
      <c r="G227" s="16" t="n"/>
      <c r="H227" s="16" t="n"/>
      <c r="I227" s="17" t="n"/>
      <c r="J227" s="19">
        <f>IF($A227="","",IF($C227="","⚠️ Thiếu ngày làm gần nhất",IF(AND(TODAY()-$C227&lt;=2,$H227&lt;&gt;"Có"),"💬 Cần nhắn hỏi thăm",IF(AND($I227&lt;&gt;"",$I227&gt;=TODAY()),"📅 Đã hẹn "&amp;TEXT($I227,"dd/mm"),IF(TODAY()-$C227&gt;=2*IF($G227="",30,$G227),"🔴 Lâu rồi chưa quay lại",IF(TODAY()-$C227&gt;=IF($G227="",30,$G227),"🟡 Tới kỳ chăm sóc tiếp","🟢 Chưa tới kỳ — chưa cần làm gì"))))))</f>
        <v/>
      </c>
    </row>
    <row r="228">
      <c r="A228" s="16" t="n"/>
      <c r="B228" s="16" t="n"/>
      <c r="C228" s="17" t="n"/>
      <c r="D228" s="18" t="n"/>
      <c r="E228" s="18" t="n"/>
      <c r="F228" s="16" t="n"/>
      <c r="G228" s="16" t="n"/>
      <c r="H228" s="16" t="n"/>
      <c r="I228" s="17" t="n"/>
      <c r="J228" s="19">
        <f>IF($A228="","",IF($C228="","⚠️ Thiếu ngày làm gần nhất",IF(AND(TODAY()-$C228&lt;=2,$H228&lt;&gt;"Có"),"💬 Cần nhắn hỏi thăm",IF(AND($I228&lt;&gt;"",$I228&gt;=TODAY()),"📅 Đã hẹn "&amp;TEXT($I228,"dd/mm"),IF(TODAY()-$C228&gt;=2*IF($G228="",30,$G228),"🔴 Lâu rồi chưa quay lại",IF(TODAY()-$C228&gt;=IF($G228="",30,$G228),"🟡 Tới kỳ chăm sóc tiếp","🟢 Chưa tới kỳ — chưa cần làm gì"))))))</f>
        <v/>
      </c>
    </row>
    <row r="229">
      <c r="A229" s="16" t="n"/>
      <c r="B229" s="16" t="n"/>
      <c r="C229" s="17" t="n"/>
      <c r="D229" s="18" t="n"/>
      <c r="E229" s="18" t="n"/>
      <c r="F229" s="16" t="n"/>
      <c r="G229" s="16" t="n"/>
      <c r="H229" s="16" t="n"/>
      <c r="I229" s="17" t="n"/>
      <c r="J229" s="19">
        <f>IF($A229="","",IF($C229="","⚠️ Thiếu ngày làm gần nhất",IF(AND(TODAY()-$C229&lt;=2,$H229&lt;&gt;"Có"),"💬 Cần nhắn hỏi thăm",IF(AND($I229&lt;&gt;"",$I229&gt;=TODAY()),"📅 Đã hẹn "&amp;TEXT($I229,"dd/mm"),IF(TODAY()-$C229&gt;=2*IF($G229="",30,$G229),"🔴 Lâu rồi chưa quay lại",IF(TODAY()-$C229&gt;=IF($G229="",30,$G229),"🟡 Tới kỳ chăm sóc tiếp","🟢 Chưa tới kỳ — chưa cần làm gì"))))))</f>
        <v/>
      </c>
    </row>
    <row r="230">
      <c r="A230" s="16" t="n"/>
      <c r="B230" s="16" t="n"/>
      <c r="C230" s="17" t="n"/>
      <c r="D230" s="18" t="n"/>
      <c r="E230" s="18" t="n"/>
      <c r="F230" s="16" t="n"/>
      <c r="G230" s="16" t="n"/>
      <c r="H230" s="16" t="n"/>
      <c r="I230" s="17" t="n"/>
      <c r="J230" s="19">
        <f>IF($A230="","",IF($C230="","⚠️ Thiếu ngày làm gần nhất",IF(AND(TODAY()-$C230&lt;=2,$H230&lt;&gt;"Có"),"💬 Cần nhắn hỏi thăm",IF(AND($I230&lt;&gt;"",$I230&gt;=TODAY()),"📅 Đã hẹn "&amp;TEXT($I230,"dd/mm"),IF(TODAY()-$C230&gt;=2*IF($G230="",30,$G230),"🔴 Lâu rồi chưa quay lại",IF(TODAY()-$C230&gt;=IF($G230="",30,$G230),"🟡 Tới kỳ chăm sóc tiếp","🟢 Chưa tới kỳ — chưa cần làm gì"))))))</f>
        <v/>
      </c>
    </row>
    <row r="231">
      <c r="A231" s="16" t="n"/>
      <c r="B231" s="16" t="n"/>
      <c r="C231" s="17" t="n"/>
      <c r="D231" s="18" t="n"/>
      <c r="E231" s="18" t="n"/>
      <c r="F231" s="16" t="n"/>
      <c r="G231" s="16" t="n"/>
      <c r="H231" s="16" t="n"/>
      <c r="I231" s="17" t="n"/>
      <c r="J231" s="19">
        <f>IF($A231="","",IF($C231="","⚠️ Thiếu ngày làm gần nhất",IF(AND(TODAY()-$C231&lt;=2,$H231&lt;&gt;"Có"),"💬 Cần nhắn hỏi thăm",IF(AND($I231&lt;&gt;"",$I231&gt;=TODAY()),"📅 Đã hẹn "&amp;TEXT($I231,"dd/mm"),IF(TODAY()-$C231&gt;=2*IF($G231="",30,$G231),"🔴 Lâu rồi chưa quay lại",IF(TODAY()-$C231&gt;=IF($G231="",30,$G231),"🟡 Tới kỳ chăm sóc tiếp","🟢 Chưa tới kỳ — chưa cần làm gì"))))))</f>
        <v/>
      </c>
    </row>
    <row r="232">
      <c r="A232" s="16" t="n"/>
      <c r="B232" s="16" t="n"/>
      <c r="C232" s="17" t="n"/>
      <c r="D232" s="18" t="n"/>
      <c r="E232" s="18" t="n"/>
      <c r="F232" s="16" t="n"/>
      <c r="G232" s="16" t="n"/>
      <c r="H232" s="16" t="n"/>
      <c r="I232" s="17" t="n"/>
      <c r="J232" s="19">
        <f>IF($A232="","",IF($C232="","⚠️ Thiếu ngày làm gần nhất",IF(AND(TODAY()-$C232&lt;=2,$H232&lt;&gt;"Có"),"💬 Cần nhắn hỏi thăm",IF(AND($I232&lt;&gt;"",$I232&gt;=TODAY()),"📅 Đã hẹn "&amp;TEXT($I232,"dd/mm"),IF(TODAY()-$C232&gt;=2*IF($G232="",30,$G232),"🔴 Lâu rồi chưa quay lại",IF(TODAY()-$C232&gt;=IF($G232="",30,$G232),"🟡 Tới kỳ chăm sóc tiếp","🟢 Chưa tới kỳ — chưa cần làm gì"))))))</f>
        <v/>
      </c>
    </row>
    <row r="233">
      <c r="A233" s="16" t="n"/>
      <c r="B233" s="16" t="n"/>
      <c r="C233" s="17" t="n"/>
      <c r="D233" s="18" t="n"/>
      <c r="E233" s="18" t="n"/>
      <c r="F233" s="16" t="n"/>
      <c r="G233" s="16" t="n"/>
      <c r="H233" s="16" t="n"/>
      <c r="I233" s="17" t="n"/>
      <c r="J233" s="19">
        <f>IF($A233="","",IF($C233="","⚠️ Thiếu ngày làm gần nhất",IF(AND(TODAY()-$C233&lt;=2,$H233&lt;&gt;"Có"),"💬 Cần nhắn hỏi thăm",IF(AND($I233&lt;&gt;"",$I233&gt;=TODAY()),"📅 Đã hẹn "&amp;TEXT($I233,"dd/mm"),IF(TODAY()-$C233&gt;=2*IF($G233="",30,$G233),"🔴 Lâu rồi chưa quay lại",IF(TODAY()-$C233&gt;=IF($G233="",30,$G233),"🟡 Tới kỳ chăm sóc tiếp","🟢 Chưa tới kỳ — chưa cần làm gì"))))))</f>
        <v/>
      </c>
    </row>
    <row r="234">
      <c r="A234" s="16" t="n"/>
      <c r="B234" s="16" t="n"/>
      <c r="C234" s="17" t="n"/>
      <c r="D234" s="18" t="n"/>
      <c r="E234" s="18" t="n"/>
      <c r="F234" s="16" t="n"/>
      <c r="G234" s="16" t="n"/>
      <c r="H234" s="16" t="n"/>
      <c r="I234" s="17" t="n"/>
      <c r="J234" s="19">
        <f>IF($A234="","",IF($C234="","⚠️ Thiếu ngày làm gần nhất",IF(AND(TODAY()-$C234&lt;=2,$H234&lt;&gt;"Có"),"💬 Cần nhắn hỏi thăm",IF(AND($I234&lt;&gt;"",$I234&gt;=TODAY()),"📅 Đã hẹn "&amp;TEXT($I234,"dd/mm"),IF(TODAY()-$C234&gt;=2*IF($G234="",30,$G234),"🔴 Lâu rồi chưa quay lại",IF(TODAY()-$C234&gt;=IF($G234="",30,$G234),"🟡 Tới kỳ chăm sóc tiếp","🟢 Chưa tới kỳ — chưa cần làm gì"))))))</f>
        <v/>
      </c>
    </row>
    <row r="235">
      <c r="A235" s="16" t="n"/>
      <c r="B235" s="16" t="n"/>
      <c r="C235" s="17" t="n"/>
      <c r="D235" s="18" t="n"/>
      <c r="E235" s="18" t="n"/>
      <c r="F235" s="16" t="n"/>
      <c r="G235" s="16" t="n"/>
      <c r="H235" s="16" t="n"/>
      <c r="I235" s="17" t="n"/>
      <c r="J235" s="19">
        <f>IF($A235="","",IF($C235="","⚠️ Thiếu ngày làm gần nhất",IF(AND(TODAY()-$C235&lt;=2,$H235&lt;&gt;"Có"),"💬 Cần nhắn hỏi thăm",IF(AND($I235&lt;&gt;"",$I235&gt;=TODAY()),"📅 Đã hẹn "&amp;TEXT($I235,"dd/mm"),IF(TODAY()-$C235&gt;=2*IF($G235="",30,$G235),"🔴 Lâu rồi chưa quay lại",IF(TODAY()-$C235&gt;=IF($G235="",30,$G235),"🟡 Tới kỳ chăm sóc tiếp","🟢 Chưa tới kỳ — chưa cần làm gì"))))))</f>
        <v/>
      </c>
    </row>
    <row r="236">
      <c r="A236" s="16" t="n"/>
      <c r="B236" s="16" t="n"/>
      <c r="C236" s="17" t="n"/>
      <c r="D236" s="18" t="n"/>
      <c r="E236" s="18" t="n"/>
      <c r="F236" s="16" t="n"/>
      <c r="G236" s="16" t="n"/>
      <c r="H236" s="16" t="n"/>
      <c r="I236" s="17" t="n"/>
      <c r="J236" s="19">
        <f>IF($A236="","",IF($C236="","⚠️ Thiếu ngày làm gần nhất",IF(AND(TODAY()-$C236&lt;=2,$H236&lt;&gt;"Có"),"💬 Cần nhắn hỏi thăm",IF(AND($I236&lt;&gt;"",$I236&gt;=TODAY()),"📅 Đã hẹn "&amp;TEXT($I236,"dd/mm"),IF(TODAY()-$C236&gt;=2*IF($G236="",30,$G236),"🔴 Lâu rồi chưa quay lại",IF(TODAY()-$C236&gt;=IF($G236="",30,$G236),"🟡 Tới kỳ chăm sóc tiếp","🟢 Chưa tới kỳ — chưa cần làm gì"))))))</f>
        <v/>
      </c>
    </row>
    <row r="237">
      <c r="A237" s="16" t="n"/>
      <c r="B237" s="16" t="n"/>
      <c r="C237" s="17" t="n"/>
      <c r="D237" s="18" t="n"/>
      <c r="E237" s="18" t="n"/>
      <c r="F237" s="16" t="n"/>
      <c r="G237" s="16" t="n"/>
      <c r="H237" s="16" t="n"/>
      <c r="I237" s="17" t="n"/>
      <c r="J237" s="19">
        <f>IF($A237="","",IF($C237="","⚠️ Thiếu ngày làm gần nhất",IF(AND(TODAY()-$C237&lt;=2,$H237&lt;&gt;"Có"),"💬 Cần nhắn hỏi thăm",IF(AND($I237&lt;&gt;"",$I237&gt;=TODAY()),"📅 Đã hẹn "&amp;TEXT($I237,"dd/mm"),IF(TODAY()-$C237&gt;=2*IF($G237="",30,$G237),"🔴 Lâu rồi chưa quay lại",IF(TODAY()-$C237&gt;=IF($G237="",30,$G237),"🟡 Tới kỳ chăm sóc tiếp","🟢 Chưa tới kỳ — chưa cần làm gì"))))))</f>
        <v/>
      </c>
    </row>
    <row r="238">
      <c r="A238" s="16" t="n"/>
      <c r="B238" s="16" t="n"/>
      <c r="C238" s="17" t="n"/>
      <c r="D238" s="18" t="n"/>
      <c r="E238" s="18" t="n"/>
      <c r="F238" s="16" t="n"/>
      <c r="G238" s="16" t="n"/>
      <c r="H238" s="16" t="n"/>
      <c r="I238" s="17" t="n"/>
      <c r="J238" s="19">
        <f>IF($A238="","",IF($C238="","⚠️ Thiếu ngày làm gần nhất",IF(AND(TODAY()-$C238&lt;=2,$H238&lt;&gt;"Có"),"💬 Cần nhắn hỏi thăm",IF(AND($I238&lt;&gt;"",$I238&gt;=TODAY()),"📅 Đã hẹn "&amp;TEXT($I238,"dd/mm"),IF(TODAY()-$C238&gt;=2*IF($G238="",30,$G238),"🔴 Lâu rồi chưa quay lại",IF(TODAY()-$C238&gt;=IF($G238="",30,$G238),"🟡 Tới kỳ chăm sóc tiếp","🟢 Chưa tới kỳ — chưa cần làm gì"))))))</f>
        <v/>
      </c>
    </row>
    <row r="239">
      <c r="A239" s="16" t="n"/>
      <c r="B239" s="16" t="n"/>
      <c r="C239" s="17" t="n"/>
      <c r="D239" s="18" t="n"/>
      <c r="E239" s="18" t="n"/>
      <c r="F239" s="16" t="n"/>
      <c r="G239" s="16" t="n"/>
      <c r="H239" s="16" t="n"/>
      <c r="I239" s="17" t="n"/>
      <c r="J239" s="19">
        <f>IF($A239="","",IF($C239="","⚠️ Thiếu ngày làm gần nhất",IF(AND(TODAY()-$C239&lt;=2,$H239&lt;&gt;"Có"),"💬 Cần nhắn hỏi thăm",IF(AND($I239&lt;&gt;"",$I239&gt;=TODAY()),"📅 Đã hẹn "&amp;TEXT($I239,"dd/mm"),IF(TODAY()-$C239&gt;=2*IF($G239="",30,$G239),"🔴 Lâu rồi chưa quay lại",IF(TODAY()-$C239&gt;=IF($G239="",30,$G239),"🟡 Tới kỳ chăm sóc tiếp","🟢 Chưa tới kỳ — chưa cần làm gì"))))))</f>
        <v/>
      </c>
    </row>
    <row r="240">
      <c r="A240" s="16" t="n"/>
      <c r="B240" s="16" t="n"/>
      <c r="C240" s="17" t="n"/>
      <c r="D240" s="18" t="n"/>
      <c r="E240" s="18" t="n"/>
      <c r="F240" s="16" t="n"/>
      <c r="G240" s="16" t="n"/>
      <c r="H240" s="16" t="n"/>
      <c r="I240" s="17" t="n"/>
      <c r="J240" s="19">
        <f>IF($A240="","",IF($C240="","⚠️ Thiếu ngày làm gần nhất",IF(AND(TODAY()-$C240&lt;=2,$H240&lt;&gt;"Có"),"💬 Cần nhắn hỏi thăm",IF(AND($I240&lt;&gt;"",$I240&gt;=TODAY()),"📅 Đã hẹn "&amp;TEXT($I240,"dd/mm"),IF(TODAY()-$C240&gt;=2*IF($G240="",30,$G240),"🔴 Lâu rồi chưa quay lại",IF(TODAY()-$C240&gt;=IF($G240="",30,$G240),"🟡 Tới kỳ chăm sóc tiếp","🟢 Chưa tới kỳ — chưa cần làm gì"))))))</f>
        <v/>
      </c>
    </row>
    <row r="241">
      <c r="A241" s="16" t="n"/>
      <c r="B241" s="16" t="n"/>
      <c r="C241" s="17" t="n"/>
      <c r="D241" s="18" t="n"/>
      <c r="E241" s="18" t="n"/>
      <c r="F241" s="16" t="n"/>
      <c r="G241" s="16" t="n"/>
      <c r="H241" s="16" t="n"/>
      <c r="I241" s="17" t="n"/>
      <c r="J241" s="19">
        <f>IF($A241="","",IF($C241="","⚠️ Thiếu ngày làm gần nhất",IF(AND(TODAY()-$C241&lt;=2,$H241&lt;&gt;"Có"),"💬 Cần nhắn hỏi thăm",IF(AND($I241&lt;&gt;"",$I241&gt;=TODAY()),"📅 Đã hẹn "&amp;TEXT($I241,"dd/mm"),IF(TODAY()-$C241&gt;=2*IF($G241="",30,$G241),"🔴 Lâu rồi chưa quay lại",IF(TODAY()-$C241&gt;=IF($G241="",30,$G241),"🟡 Tới kỳ chăm sóc tiếp","🟢 Chưa tới kỳ — chưa cần làm gì"))))))</f>
        <v/>
      </c>
    </row>
    <row r="242">
      <c r="A242" s="16" t="n"/>
      <c r="B242" s="16" t="n"/>
      <c r="C242" s="17" t="n"/>
      <c r="D242" s="18" t="n"/>
      <c r="E242" s="18" t="n"/>
      <c r="F242" s="16" t="n"/>
      <c r="G242" s="16" t="n"/>
      <c r="H242" s="16" t="n"/>
      <c r="I242" s="17" t="n"/>
      <c r="J242" s="19">
        <f>IF($A242="","",IF($C242="","⚠️ Thiếu ngày làm gần nhất",IF(AND(TODAY()-$C242&lt;=2,$H242&lt;&gt;"Có"),"💬 Cần nhắn hỏi thăm",IF(AND($I242&lt;&gt;"",$I242&gt;=TODAY()),"📅 Đã hẹn "&amp;TEXT($I242,"dd/mm"),IF(TODAY()-$C242&gt;=2*IF($G242="",30,$G242),"🔴 Lâu rồi chưa quay lại",IF(TODAY()-$C242&gt;=IF($G242="",30,$G242),"🟡 Tới kỳ chăm sóc tiếp","🟢 Chưa tới kỳ — chưa cần làm gì"))))))</f>
        <v/>
      </c>
    </row>
    <row r="243">
      <c r="A243" s="16" t="n"/>
      <c r="B243" s="16" t="n"/>
      <c r="C243" s="17" t="n"/>
      <c r="D243" s="18" t="n"/>
      <c r="E243" s="18" t="n"/>
      <c r="F243" s="16" t="n"/>
      <c r="G243" s="16" t="n"/>
      <c r="H243" s="16" t="n"/>
      <c r="I243" s="17" t="n"/>
      <c r="J243" s="19">
        <f>IF($A243="","",IF($C243="","⚠️ Thiếu ngày làm gần nhất",IF(AND(TODAY()-$C243&lt;=2,$H243&lt;&gt;"Có"),"💬 Cần nhắn hỏi thăm",IF(AND($I243&lt;&gt;"",$I243&gt;=TODAY()),"📅 Đã hẹn "&amp;TEXT($I243,"dd/mm"),IF(TODAY()-$C243&gt;=2*IF($G243="",30,$G243),"🔴 Lâu rồi chưa quay lại",IF(TODAY()-$C243&gt;=IF($G243="",30,$G243),"🟡 Tới kỳ chăm sóc tiếp","🟢 Chưa tới kỳ — chưa cần làm gì"))))))</f>
        <v/>
      </c>
    </row>
    <row r="244">
      <c r="A244" s="16" t="n"/>
      <c r="B244" s="16" t="n"/>
      <c r="C244" s="17" t="n"/>
      <c r="D244" s="18" t="n"/>
      <c r="E244" s="18" t="n"/>
      <c r="F244" s="16" t="n"/>
      <c r="G244" s="16" t="n"/>
      <c r="H244" s="16" t="n"/>
      <c r="I244" s="17" t="n"/>
      <c r="J244" s="19">
        <f>IF($A244="","",IF($C244="","⚠️ Thiếu ngày làm gần nhất",IF(AND(TODAY()-$C244&lt;=2,$H244&lt;&gt;"Có"),"💬 Cần nhắn hỏi thăm",IF(AND($I244&lt;&gt;"",$I244&gt;=TODAY()),"📅 Đã hẹn "&amp;TEXT($I244,"dd/mm"),IF(TODAY()-$C244&gt;=2*IF($G244="",30,$G244),"🔴 Lâu rồi chưa quay lại",IF(TODAY()-$C244&gt;=IF($G244="",30,$G244),"🟡 Tới kỳ chăm sóc tiếp","🟢 Chưa tới kỳ — chưa cần làm gì"))))))</f>
        <v/>
      </c>
    </row>
    <row r="245">
      <c r="A245" s="16" t="n"/>
      <c r="B245" s="16" t="n"/>
      <c r="C245" s="17" t="n"/>
      <c r="D245" s="18" t="n"/>
      <c r="E245" s="18" t="n"/>
      <c r="F245" s="16" t="n"/>
      <c r="G245" s="16" t="n"/>
      <c r="H245" s="16" t="n"/>
      <c r="I245" s="17" t="n"/>
      <c r="J245" s="19">
        <f>IF($A245="","",IF($C245="","⚠️ Thiếu ngày làm gần nhất",IF(AND(TODAY()-$C245&lt;=2,$H245&lt;&gt;"Có"),"💬 Cần nhắn hỏi thăm",IF(AND($I245&lt;&gt;"",$I245&gt;=TODAY()),"📅 Đã hẹn "&amp;TEXT($I245,"dd/mm"),IF(TODAY()-$C245&gt;=2*IF($G245="",30,$G245),"🔴 Lâu rồi chưa quay lại",IF(TODAY()-$C245&gt;=IF($G245="",30,$G245),"🟡 Tới kỳ chăm sóc tiếp","🟢 Chưa tới kỳ — chưa cần làm gì"))))))</f>
        <v/>
      </c>
    </row>
    <row r="246">
      <c r="A246" s="16" t="n"/>
      <c r="B246" s="16" t="n"/>
      <c r="C246" s="17" t="n"/>
      <c r="D246" s="18" t="n"/>
      <c r="E246" s="18" t="n"/>
      <c r="F246" s="16" t="n"/>
      <c r="G246" s="16" t="n"/>
      <c r="H246" s="16" t="n"/>
      <c r="I246" s="17" t="n"/>
      <c r="J246" s="19">
        <f>IF($A246="","",IF($C246="","⚠️ Thiếu ngày làm gần nhất",IF(AND(TODAY()-$C246&lt;=2,$H246&lt;&gt;"Có"),"💬 Cần nhắn hỏi thăm",IF(AND($I246&lt;&gt;"",$I246&gt;=TODAY()),"📅 Đã hẹn "&amp;TEXT($I246,"dd/mm"),IF(TODAY()-$C246&gt;=2*IF($G246="",30,$G246),"🔴 Lâu rồi chưa quay lại",IF(TODAY()-$C246&gt;=IF($G246="",30,$G246),"🟡 Tới kỳ chăm sóc tiếp","🟢 Chưa tới kỳ — chưa cần làm gì"))))))</f>
        <v/>
      </c>
    </row>
    <row r="247">
      <c r="A247" s="16" t="n"/>
      <c r="B247" s="16" t="n"/>
      <c r="C247" s="17" t="n"/>
      <c r="D247" s="18" t="n"/>
      <c r="E247" s="18" t="n"/>
      <c r="F247" s="16" t="n"/>
      <c r="G247" s="16" t="n"/>
      <c r="H247" s="16" t="n"/>
      <c r="I247" s="17" t="n"/>
      <c r="J247" s="19">
        <f>IF($A247="","",IF($C247="","⚠️ Thiếu ngày làm gần nhất",IF(AND(TODAY()-$C247&lt;=2,$H247&lt;&gt;"Có"),"💬 Cần nhắn hỏi thăm",IF(AND($I247&lt;&gt;"",$I247&gt;=TODAY()),"📅 Đã hẹn "&amp;TEXT($I247,"dd/mm"),IF(TODAY()-$C247&gt;=2*IF($G247="",30,$G247),"🔴 Lâu rồi chưa quay lại",IF(TODAY()-$C247&gt;=IF($G247="",30,$G247),"🟡 Tới kỳ chăm sóc tiếp","🟢 Chưa tới kỳ — chưa cần làm gì"))))))</f>
        <v/>
      </c>
    </row>
    <row r="248">
      <c r="A248" s="16" t="n"/>
      <c r="B248" s="16" t="n"/>
      <c r="C248" s="17" t="n"/>
      <c r="D248" s="18" t="n"/>
      <c r="E248" s="18" t="n"/>
      <c r="F248" s="16" t="n"/>
      <c r="G248" s="16" t="n"/>
      <c r="H248" s="16" t="n"/>
      <c r="I248" s="17" t="n"/>
      <c r="J248" s="19">
        <f>IF($A248="","",IF($C248="","⚠️ Thiếu ngày làm gần nhất",IF(AND(TODAY()-$C248&lt;=2,$H248&lt;&gt;"Có"),"💬 Cần nhắn hỏi thăm",IF(AND($I248&lt;&gt;"",$I248&gt;=TODAY()),"📅 Đã hẹn "&amp;TEXT($I248,"dd/mm"),IF(TODAY()-$C248&gt;=2*IF($G248="",30,$G248),"🔴 Lâu rồi chưa quay lại",IF(TODAY()-$C248&gt;=IF($G248="",30,$G248),"🟡 Tới kỳ chăm sóc tiếp","🟢 Chưa tới kỳ — chưa cần làm gì"))))))</f>
        <v/>
      </c>
    </row>
    <row r="249">
      <c r="A249" s="16" t="n"/>
      <c r="B249" s="16" t="n"/>
      <c r="C249" s="17" t="n"/>
      <c r="D249" s="18" t="n"/>
      <c r="E249" s="18" t="n"/>
      <c r="F249" s="16" t="n"/>
      <c r="G249" s="16" t="n"/>
      <c r="H249" s="16" t="n"/>
      <c r="I249" s="17" t="n"/>
      <c r="J249" s="19">
        <f>IF($A249="","",IF($C249="","⚠️ Thiếu ngày làm gần nhất",IF(AND(TODAY()-$C249&lt;=2,$H249&lt;&gt;"Có"),"💬 Cần nhắn hỏi thăm",IF(AND($I249&lt;&gt;"",$I249&gt;=TODAY()),"📅 Đã hẹn "&amp;TEXT($I249,"dd/mm"),IF(TODAY()-$C249&gt;=2*IF($G249="",30,$G249),"🔴 Lâu rồi chưa quay lại",IF(TODAY()-$C249&gt;=IF($G249="",30,$G249),"🟡 Tới kỳ chăm sóc tiếp","🟢 Chưa tới kỳ — chưa cần làm gì"))))))</f>
        <v/>
      </c>
    </row>
    <row r="250">
      <c r="A250" s="16" t="n"/>
      <c r="B250" s="16" t="n"/>
      <c r="C250" s="17" t="n"/>
      <c r="D250" s="18" t="n"/>
      <c r="E250" s="18" t="n"/>
      <c r="F250" s="16" t="n"/>
      <c r="G250" s="16" t="n"/>
      <c r="H250" s="16" t="n"/>
      <c r="I250" s="17" t="n"/>
      <c r="J250" s="19">
        <f>IF($A250="","",IF($C250="","⚠️ Thiếu ngày làm gần nhất",IF(AND(TODAY()-$C250&lt;=2,$H250&lt;&gt;"Có"),"💬 Cần nhắn hỏi thăm",IF(AND($I250&lt;&gt;"",$I250&gt;=TODAY()),"📅 Đã hẹn "&amp;TEXT($I250,"dd/mm"),IF(TODAY()-$C250&gt;=2*IF($G250="",30,$G250),"🔴 Lâu rồi chưa quay lại",IF(TODAY()-$C250&gt;=IF($G250="",30,$G250),"🟡 Tới kỳ chăm sóc tiếp","🟢 Chưa tới kỳ — chưa cần làm gì"))))))</f>
        <v/>
      </c>
    </row>
    <row r="251">
      <c r="A251" s="16" t="n"/>
      <c r="B251" s="16" t="n"/>
      <c r="C251" s="17" t="n"/>
      <c r="D251" s="18" t="n"/>
      <c r="E251" s="18" t="n"/>
      <c r="F251" s="16" t="n"/>
      <c r="G251" s="16" t="n"/>
      <c r="H251" s="16" t="n"/>
      <c r="I251" s="17" t="n"/>
      <c r="J251" s="19">
        <f>IF($A251="","",IF($C251="","⚠️ Thiếu ngày làm gần nhất",IF(AND(TODAY()-$C251&lt;=2,$H251&lt;&gt;"Có"),"💬 Cần nhắn hỏi thăm",IF(AND($I251&lt;&gt;"",$I251&gt;=TODAY()),"📅 Đã hẹn "&amp;TEXT($I251,"dd/mm"),IF(TODAY()-$C251&gt;=2*IF($G251="",30,$G251),"🔴 Lâu rồi chưa quay lại",IF(TODAY()-$C251&gt;=IF($G251="",30,$G251),"🟡 Tới kỳ chăm sóc tiếp","🟢 Chưa tới kỳ — chưa cần làm gì"))))))</f>
        <v/>
      </c>
    </row>
    <row r="252">
      <c r="A252" s="16" t="n"/>
      <c r="B252" s="16" t="n"/>
      <c r="C252" s="17" t="n"/>
      <c r="D252" s="18" t="n"/>
      <c r="E252" s="18" t="n"/>
      <c r="F252" s="16" t="n"/>
      <c r="G252" s="16" t="n"/>
      <c r="H252" s="16" t="n"/>
      <c r="I252" s="17" t="n"/>
      <c r="J252" s="19">
        <f>IF($A252="","",IF($C252="","⚠️ Thiếu ngày làm gần nhất",IF(AND(TODAY()-$C252&lt;=2,$H252&lt;&gt;"Có"),"💬 Cần nhắn hỏi thăm",IF(AND($I252&lt;&gt;"",$I252&gt;=TODAY()),"📅 Đã hẹn "&amp;TEXT($I252,"dd/mm"),IF(TODAY()-$C252&gt;=2*IF($G252="",30,$G252),"🔴 Lâu rồi chưa quay lại",IF(TODAY()-$C252&gt;=IF($G252="",30,$G252),"🟡 Tới kỳ chăm sóc tiếp","🟢 Chưa tới kỳ — chưa cần làm gì"))))))</f>
        <v/>
      </c>
    </row>
    <row r="253">
      <c r="A253" s="16" t="n"/>
      <c r="B253" s="16" t="n"/>
      <c r="C253" s="17" t="n"/>
      <c r="D253" s="18" t="n"/>
      <c r="E253" s="18" t="n"/>
      <c r="F253" s="16" t="n"/>
      <c r="G253" s="16" t="n"/>
      <c r="H253" s="16" t="n"/>
      <c r="I253" s="17" t="n"/>
      <c r="J253" s="19">
        <f>IF($A253="","",IF($C253="","⚠️ Thiếu ngày làm gần nhất",IF(AND(TODAY()-$C253&lt;=2,$H253&lt;&gt;"Có"),"💬 Cần nhắn hỏi thăm",IF(AND($I253&lt;&gt;"",$I253&gt;=TODAY()),"📅 Đã hẹn "&amp;TEXT($I253,"dd/mm"),IF(TODAY()-$C253&gt;=2*IF($G253="",30,$G253),"🔴 Lâu rồi chưa quay lại",IF(TODAY()-$C253&gt;=IF($G253="",30,$G253),"🟡 Tới kỳ chăm sóc tiếp","🟢 Chưa tới kỳ — chưa cần làm gì"))))))</f>
        <v/>
      </c>
    </row>
    <row r="254">
      <c r="A254" s="16" t="n"/>
      <c r="B254" s="16" t="n"/>
      <c r="C254" s="17" t="n"/>
      <c r="D254" s="18" t="n"/>
      <c r="E254" s="18" t="n"/>
      <c r="F254" s="16" t="n"/>
      <c r="G254" s="16" t="n"/>
      <c r="H254" s="16" t="n"/>
      <c r="I254" s="17" t="n"/>
      <c r="J254" s="19">
        <f>IF($A254="","",IF($C254="","⚠️ Thiếu ngày làm gần nhất",IF(AND(TODAY()-$C254&lt;=2,$H254&lt;&gt;"Có"),"💬 Cần nhắn hỏi thăm",IF(AND($I254&lt;&gt;"",$I254&gt;=TODAY()),"📅 Đã hẹn "&amp;TEXT($I254,"dd/mm"),IF(TODAY()-$C254&gt;=2*IF($G254="",30,$G254),"🔴 Lâu rồi chưa quay lại",IF(TODAY()-$C254&gt;=IF($G254="",30,$G254),"🟡 Tới kỳ chăm sóc tiếp","🟢 Chưa tới kỳ — chưa cần làm gì"))))))</f>
        <v/>
      </c>
    </row>
    <row r="255">
      <c r="A255" s="16" t="n"/>
      <c r="B255" s="16" t="n"/>
      <c r="C255" s="17" t="n"/>
      <c r="D255" s="18" t="n"/>
      <c r="E255" s="18" t="n"/>
      <c r="F255" s="16" t="n"/>
      <c r="G255" s="16" t="n"/>
      <c r="H255" s="16" t="n"/>
      <c r="I255" s="17" t="n"/>
      <c r="J255" s="19">
        <f>IF($A255="","",IF($C255="","⚠️ Thiếu ngày làm gần nhất",IF(AND(TODAY()-$C255&lt;=2,$H255&lt;&gt;"Có"),"💬 Cần nhắn hỏi thăm",IF(AND($I255&lt;&gt;"",$I255&gt;=TODAY()),"📅 Đã hẹn "&amp;TEXT($I255,"dd/mm"),IF(TODAY()-$C255&gt;=2*IF($G255="",30,$G255),"🔴 Lâu rồi chưa quay lại",IF(TODAY()-$C255&gt;=IF($G255="",30,$G255),"🟡 Tới kỳ chăm sóc tiếp","🟢 Chưa tới kỳ — chưa cần làm gì"))))))</f>
        <v/>
      </c>
    </row>
    <row r="256">
      <c r="A256" s="16" t="n"/>
      <c r="B256" s="16" t="n"/>
      <c r="C256" s="17" t="n"/>
      <c r="D256" s="18" t="n"/>
      <c r="E256" s="18" t="n"/>
      <c r="F256" s="16" t="n"/>
      <c r="G256" s="16" t="n"/>
      <c r="H256" s="16" t="n"/>
      <c r="I256" s="17" t="n"/>
      <c r="J256" s="19">
        <f>IF($A256="","",IF($C256="","⚠️ Thiếu ngày làm gần nhất",IF(AND(TODAY()-$C256&lt;=2,$H256&lt;&gt;"Có"),"💬 Cần nhắn hỏi thăm",IF(AND($I256&lt;&gt;"",$I256&gt;=TODAY()),"📅 Đã hẹn "&amp;TEXT($I256,"dd/mm"),IF(TODAY()-$C256&gt;=2*IF($G256="",30,$G256),"🔴 Lâu rồi chưa quay lại",IF(TODAY()-$C256&gt;=IF($G256="",30,$G256),"🟡 Tới kỳ chăm sóc tiếp","🟢 Chưa tới kỳ — chưa cần làm gì"))))))</f>
        <v/>
      </c>
    </row>
    <row r="257">
      <c r="A257" s="16" t="n"/>
      <c r="B257" s="16" t="n"/>
      <c r="C257" s="17" t="n"/>
      <c r="D257" s="18" t="n"/>
      <c r="E257" s="18" t="n"/>
      <c r="F257" s="16" t="n"/>
      <c r="G257" s="16" t="n"/>
      <c r="H257" s="16" t="n"/>
      <c r="I257" s="17" t="n"/>
      <c r="J257" s="19">
        <f>IF($A257="","",IF($C257="","⚠️ Thiếu ngày làm gần nhất",IF(AND(TODAY()-$C257&lt;=2,$H257&lt;&gt;"Có"),"💬 Cần nhắn hỏi thăm",IF(AND($I257&lt;&gt;"",$I257&gt;=TODAY()),"📅 Đã hẹn "&amp;TEXT($I257,"dd/mm"),IF(TODAY()-$C257&gt;=2*IF($G257="",30,$G257),"🔴 Lâu rồi chưa quay lại",IF(TODAY()-$C257&gt;=IF($G257="",30,$G257),"🟡 Tới kỳ chăm sóc tiếp","🟢 Chưa tới kỳ — chưa cần làm gì"))))))</f>
        <v/>
      </c>
    </row>
    <row r="258">
      <c r="A258" s="16" t="n"/>
      <c r="B258" s="16" t="n"/>
      <c r="C258" s="17" t="n"/>
      <c r="D258" s="18" t="n"/>
      <c r="E258" s="18" t="n"/>
      <c r="F258" s="16" t="n"/>
      <c r="G258" s="16" t="n"/>
      <c r="H258" s="16" t="n"/>
      <c r="I258" s="17" t="n"/>
      <c r="J258" s="19">
        <f>IF($A258="","",IF($C258="","⚠️ Thiếu ngày làm gần nhất",IF(AND(TODAY()-$C258&lt;=2,$H258&lt;&gt;"Có"),"💬 Cần nhắn hỏi thăm",IF(AND($I258&lt;&gt;"",$I258&gt;=TODAY()),"📅 Đã hẹn "&amp;TEXT($I258,"dd/mm"),IF(TODAY()-$C258&gt;=2*IF($G258="",30,$G258),"🔴 Lâu rồi chưa quay lại",IF(TODAY()-$C258&gt;=IF($G258="",30,$G258),"🟡 Tới kỳ chăm sóc tiếp","🟢 Chưa tới kỳ — chưa cần làm gì"))))))</f>
        <v/>
      </c>
    </row>
    <row r="259">
      <c r="A259" s="16" t="n"/>
      <c r="B259" s="16" t="n"/>
      <c r="C259" s="17" t="n"/>
      <c r="D259" s="18" t="n"/>
      <c r="E259" s="18" t="n"/>
      <c r="F259" s="16" t="n"/>
      <c r="G259" s="16" t="n"/>
      <c r="H259" s="16" t="n"/>
      <c r="I259" s="17" t="n"/>
      <c r="J259" s="19">
        <f>IF($A259="","",IF($C259="","⚠️ Thiếu ngày làm gần nhất",IF(AND(TODAY()-$C259&lt;=2,$H259&lt;&gt;"Có"),"💬 Cần nhắn hỏi thăm",IF(AND($I259&lt;&gt;"",$I259&gt;=TODAY()),"📅 Đã hẹn "&amp;TEXT($I259,"dd/mm"),IF(TODAY()-$C259&gt;=2*IF($G259="",30,$G259),"🔴 Lâu rồi chưa quay lại",IF(TODAY()-$C259&gt;=IF($G259="",30,$G259),"🟡 Tới kỳ chăm sóc tiếp","🟢 Chưa tới kỳ — chưa cần làm gì"))))))</f>
        <v/>
      </c>
    </row>
    <row r="260">
      <c r="A260" s="16" t="n"/>
      <c r="B260" s="16" t="n"/>
      <c r="C260" s="17" t="n"/>
      <c r="D260" s="18" t="n"/>
      <c r="E260" s="18" t="n"/>
      <c r="F260" s="16" t="n"/>
      <c r="G260" s="16" t="n"/>
      <c r="H260" s="16" t="n"/>
      <c r="I260" s="17" t="n"/>
      <c r="J260" s="19">
        <f>IF($A260="","",IF($C260="","⚠️ Thiếu ngày làm gần nhất",IF(AND(TODAY()-$C260&lt;=2,$H260&lt;&gt;"Có"),"💬 Cần nhắn hỏi thăm",IF(AND($I260&lt;&gt;"",$I260&gt;=TODAY()),"📅 Đã hẹn "&amp;TEXT($I260,"dd/mm"),IF(TODAY()-$C260&gt;=2*IF($G260="",30,$G260),"🔴 Lâu rồi chưa quay lại",IF(TODAY()-$C260&gt;=IF($G260="",30,$G260),"🟡 Tới kỳ chăm sóc tiếp","🟢 Chưa tới kỳ — chưa cần làm gì"))))))</f>
        <v/>
      </c>
    </row>
    <row r="261">
      <c r="A261" s="16" t="n"/>
      <c r="B261" s="16" t="n"/>
      <c r="C261" s="17" t="n"/>
      <c r="D261" s="18" t="n"/>
      <c r="E261" s="18" t="n"/>
      <c r="F261" s="16" t="n"/>
      <c r="G261" s="16" t="n"/>
      <c r="H261" s="16" t="n"/>
      <c r="I261" s="17" t="n"/>
      <c r="J261" s="19">
        <f>IF($A261="","",IF($C261="","⚠️ Thiếu ngày làm gần nhất",IF(AND(TODAY()-$C261&lt;=2,$H261&lt;&gt;"Có"),"💬 Cần nhắn hỏi thăm",IF(AND($I261&lt;&gt;"",$I261&gt;=TODAY()),"📅 Đã hẹn "&amp;TEXT($I261,"dd/mm"),IF(TODAY()-$C261&gt;=2*IF($G261="",30,$G261),"🔴 Lâu rồi chưa quay lại",IF(TODAY()-$C261&gt;=IF($G261="",30,$G261),"🟡 Tới kỳ chăm sóc tiếp","🟢 Chưa tới kỳ — chưa cần làm gì"))))))</f>
        <v/>
      </c>
    </row>
    <row r="262">
      <c r="A262" s="16" t="n"/>
      <c r="B262" s="16" t="n"/>
      <c r="C262" s="17" t="n"/>
      <c r="D262" s="18" t="n"/>
      <c r="E262" s="18" t="n"/>
      <c r="F262" s="16" t="n"/>
      <c r="G262" s="16" t="n"/>
      <c r="H262" s="16" t="n"/>
      <c r="I262" s="17" t="n"/>
      <c r="J262" s="19">
        <f>IF($A262="","",IF($C262="","⚠️ Thiếu ngày làm gần nhất",IF(AND(TODAY()-$C262&lt;=2,$H262&lt;&gt;"Có"),"💬 Cần nhắn hỏi thăm",IF(AND($I262&lt;&gt;"",$I262&gt;=TODAY()),"📅 Đã hẹn "&amp;TEXT($I262,"dd/mm"),IF(TODAY()-$C262&gt;=2*IF($G262="",30,$G262),"🔴 Lâu rồi chưa quay lại",IF(TODAY()-$C262&gt;=IF($G262="",30,$G262),"🟡 Tới kỳ chăm sóc tiếp","🟢 Chưa tới kỳ — chưa cần làm gì"))))))</f>
        <v/>
      </c>
    </row>
    <row r="263">
      <c r="A263" s="16" t="n"/>
      <c r="B263" s="16" t="n"/>
      <c r="C263" s="17" t="n"/>
      <c r="D263" s="18" t="n"/>
      <c r="E263" s="18" t="n"/>
      <c r="F263" s="16" t="n"/>
      <c r="G263" s="16" t="n"/>
      <c r="H263" s="16" t="n"/>
      <c r="I263" s="17" t="n"/>
      <c r="J263" s="19">
        <f>IF($A263="","",IF($C263="","⚠️ Thiếu ngày làm gần nhất",IF(AND(TODAY()-$C263&lt;=2,$H263&lt;&gt;"Có"),"💬 Cần nhắn hỏi thăm",IF(AND($I263&lt;&gt;"",$I263&gt;=TODAY()),"📅 Đã hẹn "&amp;TEXT($I263,"dd/mm"),IF(TODAY()-$C263&gt;=2*IF($G263="",30,$G263),"🔴 Lâu rồi chưa quay lại",IF(TODAY()-$C263&gt;=IF($G263="",30,$G263),"🟡 Tới kỳ chăm sóc tiếp","🟢 Chưa tới kỳ — chưa cần làm gì"))))))</f>
        <v/>
      </c>
    </row>
    <row r="264">
      <c r="A264" s="16" t="n"/>
      <c r="B264" s="16" t="n"/>
      <c r="C264" s="17" t="n"/>
      <c r="D264" s="18" t="n"/>
      <c r="E264" s="18" t="n"/>
      <c r="F264" s="16" t="n"/>
      <c r="G264" s="16" t="n"/>
      <c r="H264" s="16" t="n"/>
      <c r="I264" s="17" t="n"/>
      <c r="J264" s="19">
        <f>IF($A264="","",IF($C264="","⚠️ Thiếu ngày làm gần nhất",IF(AND(TODAY()-$C264&lt;=2,$H264&lt;&gt;"Có"),"💬 Cần nhắn hỏi thăm",IF(AND($I264&lt;&gt;"",$I264&gt;=TODAY()),"📅 Đã hẹn "&amp;TEXT($I264,"dd/mm"),IF(TODAY()-$C264&gt;=2*IF($G264="",30,$G264),"🔴 Lâu rồi chưa quay lại",IF(TODAY()-$C264&gt;=IF($G264="",30,$G264),"🟡 Tới kỳ chăm sóc tiếp","🟢 Chưa tới kỳ — chưa cần làm gì"))))))</f>
        <v/>
      </c>
    </row>
    <row r="265">
      <c r="A265" s="16" t="n"/>
      <c r="B265" s="16" t="n"/>
      <c r="C265" s="17" t="n"/>
      <c r="D265" s="18" t="n"/>
      <c r="E265" s="18" t="n"/>
      <c r="F265" s="16" t="n"/>
      <c r="G265" s="16" t="n"/>
      <c r="H265" s="16" t="n"/>
      <c r="I265" s="17" t="n"/>
      <c r="J265" s="19">
        <f>IF($A265="","",IF($C265="","⚠️ Thiếu ngày làm gần nhất",IF(AND(TODAY()-$C265&lt;=2,$H265&lt;&gt;"Có"),"💬 Cần nhắn hỏi thăm",IF(AND($I265&lt;&gt;"",$I265&gt;=TODAY()),"📅 Đã hẹn "&amp;TEXT($I265,"dd/mm"),IF(TODAY()-$C265&gt;=2*IF($G265="",30,$G265),"🔴 Lâu rồi chưa quay lại",IF(TODAY()-$C265&gt;=IF($G265="",30,$G265),"🟡 Tới kỳ chăm sóc tiếp","🟢 Chưa tới kỳ — chưa cần làm gì"))))))</f>
        <v/>
      </c>
    </row>
    <row r="266">
      <c r="A266" s="16" t="n"/>
      <c r="B266" s="16" t="n"/>
      <c r="C266" s="17" t="n"/>
      <c r="D266" s="18" t="n"/>
      <c r="E266" s="18" t="n"/>
      <c r="F266" s="16" t="n"/>
      <c r="G266" s="16" t="n"/>
      <c r="H266" s="16" t="n"/>
      <c r="I266" s="17" t="n"/>
      <c r="J266" s="19">
        <f>IF($A266="","",IF($C266="","⚠️ Thiếu ngày làm gần nhất",IF(AND(TODAY()-$C266&lt;=2,$H266&lt;&gt;"Có"),"💬 Cần nhắn hỏi thăm",IF(AND($I266&lt;&gt;"",$I266&gt;=TODAY()),"📅 Đã hẹn "&amp;TEXT($I266,"dd/mm"),IF(TODAY()-$C266&gt;=2*IF($G266="",30,$G266),"🔴 Lâu rồi chưa quay lại",IF(TODAY()-$C266&gt;=IF($G266="",30,$G266),"🟡 Tới kỳ chăm sóc tiếp","🟢 Chưa tới kỳ — chưa cần làm gì"))))))</f>
        <v/>
      </c>
    </row>
    <row r="267">
      <c r="A267" s="16" t="n"/>
      <c r="B267" s="16" t="n"/>
      <c r="C267" s="17" t="n"/>
      <c r="D267" s="18" t="n"/>
      <c r="E267" s="18" t="n"/>
      <c r="F267" s="16" t="n"/>
      <c r="G267" s="16" t="n"/>
      <c r="H267" s="16" t="n"/>
      <c r="I267" s="17" t="n"/>
      <c r="J267" s="19">
        <f>IF($A267="","",IF($C267="","⚠️ Thiếu ngày làm gần nhất",IF(AND(TODAY()-$C267&lt;=2,$H267&lt;&gt;"Có"),"💬 Cần nhắn hỏi thăm",IF(AND($I267&lt;&gt;"",$I267&gt;=TODAY()),"📅 Đã hẹn "&amp;TEXT($I267,"dd/mm"),IF(TODAY()-$C267&gt;=2*IF($G267="",30,$G267),"🔴 Lâu rồi chưa quay lại",IF(TODAY()-$C267&gt;=IF($G267="",30,$G267),"🟡 Tới kỳ chăm sóc tiếp","🟢 Chưa tới kỳ — chưa cần làm gì"))))))</f>
        <v/>
      </c>
    </row>
    <row r="268">
      <c r="A268" s="16" t="n"/>
      <c r="B268" s="16" t="n"/>
      <c r="C268" s="17" t="n"/>
      <c r="D268" s="18" t="n"/>
      <c r="E268" s="18" t="n"/>
      <c r="F268" s="16" t="n"/>
      <c r="G268" s="16" t="n"/>
      <c r="H268" s="16" t="n"/>
      <c r="I268" s="17" t="n"/>
      <c r="J268" s="19">
        <f>IF($A268="","",IF($C268="","⚠️ Thiếu ngày làm gần nhất",IF(AND(TODAY()-$C268&lt;=2,$H268&lt;&gt;"Có"),"💬 Cần nhắn hỏi thăm",IF(AND($I268&lt;&gt;"",$I268&gt;=TODAY()),"📅 Đã hẹn "&amp;TEXT($I268,"dd/mm"),IF(TODAY()-$C268&gt;=2*IF($G268="",30,$G268),"🔴 Lâu rồi chưa quay lại",IF(TODAY()-$C268&gt;=IF($G268="",30,$G268),"🟡 Tới kỳ chăm sóc tiếp","🟢 Chưa tới kỳ — chưa cần làm gì"))))))</f>
        <v/>
      </c>
    </row>
    <row r="269">
      <c r="A269" s="16" t="n"/>
      <c r="B269" s="16" t="n"/>
      <c r="C269" s="17" t="n"/>
      <c r="D269" s="18" t="n"/>
      <c r="E269" s="18" t="n"/>
      <c r="F269" s="16" t="n"/>
      <c r="G269" s="16" t="n"/>
      <c r="H269" s="16" t="n"/>
      <c r="I269" s="17" t="n"/>
      <c r="J269" s="19">
        <f>IF($A269="","",IF($C269="","⚠️ Thiếu ngày làm gần nhất",IF(AND(TODAY()-$C269&lt;=2,$H269&lt;&gt;"Có"),"💬 Cần nhắn hỏi thăm",IF(AND($I269&lt;&gt;"",$I269&gt;=TODAY()),"📅 Đã hẹn "&amp;TEXT($I269,"dd/mm"),IF(TODAY()-$C269&gt;=2*IF($G269="",30,$G269),"🔴 Lâu rồi chưa quay lại",IF(TODAY()-$C269&gt;=IF($G269="",30,$G269),"🟡 Tới kỳ chăm sóc tiếp","🟢 Chưa tới kỳ — chưa cần làm gì"))))))</f>
        <v/>
      </c>
    </row>
    <row r="270">
      <c r="A270" s="16" t="n"/>
      <c r="B270" s="16" t="n"/>
      <c r="C270" s="17" t="n"/>
      <c r="D270" s="18" t="n"/>
      <c r="E270" s="18" t="n"/>
      <c r="F270" s="16" t="n"/>
      <c r="G270" s="16" t="n"/>
      <c r="H270" s="16" t="n"/>
      <c r="I270" s="17" t="n"/>
      <c r="J270" s="19">
        <f>IF($A270="","",IF($C270="","⚠️ Thiếu ngày làm gần nhất",IF(AND(TODAY()-$C270&lt;=2,$H270&lt;&gt;"Có"),"💬 Cần nhắn hỏi thăm",IF(AND($I270&lt;&gt;"",$I270&gt;=TODAY()),"📅 Đã hẹn "&amp;TEXT($I270,"dd/mm"),IF(TODAY()-$C270&gt;=2*IF($G270="",30,$G270),"🔴 Lâu rồi chưa quay lại",IF(TODAY()-$C270&gt;=IF($G270="",30,$G270),"🟡 Tới kỳ chăm sóc tiếp","🟢 Chưa tới kỳ — chưa cần làm gì"))))))</f>
        <v/>
      </c>
    </row>
    <row r="271">
      <c r="A271" s="16" t="n"/>
      <c r="B271" s="16" t="n"/>
      <c r="C271" s="17" t="n"/>
      <c r="D271" s="18" t="n"/>
      <c r="E271" s="18" t="n"/>
      <c r="F271" s="16" t="n"/>
      <c r="G271" s="16" t="n"/>
      <c r="H271" s="16" t="n"/>
      <c r="I271" s="17" t="n"/>
      <c r="J271" s="19">
        <f>IF($A271="","",IF($C271="","⚠️ Thiếu ngày làm gần nhất",IF(AND(TODAY()-$C271&lt;=2,$H271&lt;&gt;"Có"),"💬 Cần nhắn hỏi thăm",IF(AND($I271&lt;&gt;"",$I271&gt;=TODAY()),"📅 Đã hẹn "&amp;TEXT($I271,"dd/mm"),IF(TODAY()-$C271&gt;=2*IF($G271="",30,$G271),"🔴 Lâu rồi chưa quay lại",IF(TODAY()-$C271&gt;=IF($G271="",30,$G271),"🟡 Tới kỳ chăm sóc tiếp","🟢 Chưa tới kỳ — chưa cần làm gì"))))))</f>
        <v/>
      </c>
    </row>
    <row r="272">
      <c r="A272" s="16" t="n"/>
      <c r="B272" s="16" t="n"/>
      <c r="C272" s="17" t="n"/>
      <c r="D272" s="18" t="n"/>
      <c r="E272" s="18" t="n"/>
      <c r="F272" s="16" t="n"/>
      <c r="G272" s="16" t="n"/>
      <c r="H272" s="16" t="n"/>
      <c r="I272" s="17" t="n"/>
      <c r="J272" s="19">
        <f>IF($A272="","",IF($C272="","⚠️ Thiếu ngày làm gần nhất",IF(AND(TODAY()-$C272&lt;=2,$H272&lt;&gt;"Có"),"💬 Cần nhắn hỏi thăm",IF(AND($I272&lt;&gt;"",$I272&gt;=TODAY()),"📅 Đã hẹn "&amp;TEXT($I272,"dd/mm"),IF(TODAY()-$C272&gt;=2*IF($G272="",30,$G272),"🔴 Lâu rồi chưa quay lại",IF(TODAY()-$C272&gt;=IF($G272="",30,$G272),"🟡 Tới kỳ chăm sóc tiếp","🟢 Chưa tới kỳ — chưa cần làm gì"))))))</f>
        <v/>
      </c>
    </row>
    <row r="273">
      <c r="A273" s="16" t="n"/>
      <c r="B273" s="16" t="n"/>
      <c r="C273" s="17" t="n"/>
      <c r="D273" s="18" t="n"/>
      <c r="E273" s="18" t="n"/>
      <c r="F273" s="16" t="n"/>
      <c r="G273" s="16" t="n"/>
      <c r="H273" s="16" t="n"/>
      <c r="I273" s="17" t="n"/>
      <c r="J273" s="19">
        <f>IF($A273="","",IF($C273="","⚠️ Thiếu ngày làm gần nhất",IF(AND(TODAY()-$C273&lt;=2,$H273&lt;&gt;"Có"),"💬 Cần nhắn hỏi thăm",IF(AND($I273&lt;&gt;"",$I273&gt;=TODAY()),"📅 Đã hẹn "&amp;TEXT($I273,"dd/mm"),IF(TODAY()-$C273&gt;=2*IF($G273="",30,$G273),"🔴 Lâu rồi chưa quay lại",IF(TODAY()-$C273&gt;=IF($G273="",30,$G273),"🟡 Tới kỳ chăm sóc tiếp","🟢 Chưa tới kỳ — chưa cần làm gì"))))))</f>
        <v/>
      </c>
    </row>
    <row r="274">
      <c r="A274" s="16" t="n"/>
      <c r="B274" s="16" t="n"/>
      <c r="C274" s="17" t="n"/>
      <c r="D274" s="18" t="n"/>
      <c r="E274" s="18" t="n"/>
      <c r="F274" s="16" t="n"/>
      <c r="G274" s="16" t="n"/>
      <c r="H274" s="16" t="n"/>
      <c r="I274" s="17" t="n"/>
      <c r="J274" s="19">
        <f>IF($A274="","",IF($C274="","⚠️ Thiếu ngày làm gần nhất",IF(AND(TODAY()-$C274&lt;=2,$H274&lt;&gt;"Có"),"💬 Cần nhắn hỏi thăm",IF(AND($I274&lt;&gt;"",$I274&gt;=TODAY()),"📅 Đã hẹn "&amp;TEXT($I274,"dd/mm"),IF(TODAY()-$C274&gt;=2*IF($G274="",30,$G274),"🔴 Lâu rồi chưa quay lại",IF(TODAY()-$C274&gt;=IF($G274="",30,$G274),"🟡 Tới kỳ chăm sóc tiếp","🟢 Chưa tới kỳ — chưa cần làm gì"))))))</f>
        <v/>
      </c>
    </row>
    <row r="275">
      <c r="A275" s="16" t="n"/>
      <c r="B275" s="16" t="n"/>
      <c r="C275" s="17" t="n"/>
      <c r="D275" s="18" t="n"/>
      <c r="E275" s="18" t="n"/>
      <c r="F275" s="16" t="n"/>
      <c r="G275" s="16" t="n"/>
      <c r="H275" s="16" t="n"/>
      <c r="I275" s="17" t="n"/>
      <c r="J275" s="19">
        <f>IF($A275="","",IF($C275="","⚠️ Thiếu ngày làm gần nhất",IF(AND(TODAY()-$C275&lt;=2,$H275&lt;&gt;"Có"),"💬 Cần nhắn hỏi thăm",IF(AND($I275&lt;&gt;"",$I275&gt;=TODAY()),"📅 Đã hẹn "&amp;TEXT($I275,"dd/mm"),IF(TODAY()-$C275&gt;=2*IF($G275="",30,$G275),"🔴 Lâu rồi chưa quay lại",IF(TODAY()-$C275&gt;=IF($G275="",30,$G275),"🟡 Tới kỳ chăm sóc tiếp","🟢 Chưa tới kỳ — chưa cần làm gì"))))))</f>
        <v/>
      </c>
    </row>
    <row r="276">
      <c r="A276" s="16" t="n"/>
      <c r="B276" s="16" t="n"/>
      <c r="C276" s="17" t="n"/>
      <c r="D276" s="18" t="n"/>
      <c r="E276" s="18" t="n"/>
      <c r="F276" s="16" t="n"/>
      <c r="G276" s="16" t="n"/>
      <c r="H276" s="16" t="n"/>
      <c r="I276" s="17" t="n"/>
      <c r="J276" s="19">
        <f>IF($A276="","",IF($C276="","⚠️ Thiếu ngày làm gần nhất",IF(AND(TODAY()-$C276&lt;=2,$H276&lt;&gt;"Có"),"💬 Cần nhắn hỏi thăm",IF(AND($I276&lt;&gt;"",$I276&gt;=TODAY()),"📅 Đã hẹn "&amp;TEXT($I276,"dd/mm"),IF(TODAY()-$C276&gt;=2*IF($G276="",30,$G276),"🔴 Lâu rồi chưa quay lại",IF(TODAY()-$C276&gt;=IF($G276="",30,$G276),"🟡 Tới kỳ chăm sóc tiếp","🟢 Chưa tới kỳ — chưa cần làm gì"))))))</f>
        <v/>
      </c>
    </row>
    <row r="277">
      <c r="A277" s="16" t="n"/>
      <c r="B277" s="16" t="n"/>
      <c r="C277" s="17" t="n"/>
      <c r="D277" s="18" t="n"/>
      <c r="E277" s="18" t="n"/>
      <c r="F277" s="16" t="n"/>
      <c r="G277" s="16" t="n"/>
      <c r="H277" s="16" t="n"/>
      <c r="I277" s="17" t="n"/>
      <c r="J277" s="19">
        <f>IF($A277="","",IF($C277="","⚠️ Thiếu ngày làm gần nhất",IF(AND(TODAY()-$C277&lt;=2,$H277&lt;&gt;"Có"),"💬 Cần nhắn hỏi thăm",IF(AND($I277&lt;&gt;"",$I277&gt;=TODAY()),"📅 Đã hẹn "&amp;TEXT($I277,"dd/mm"),IF(TODAY()-$C277&gt;=2*IF($G277="",30,$G277),"🔴 Lâu rồi chưa quay lại",IF(TODAY()-$C277&gt;=IF($G277="",30,$G277),"🟡 Tới kỳ chăm sóc tiếp","🟢 Chưa tới kỳ — chưa cần làm gì"))))))</f>
        <v/>
      </c>
    </row>
    <row r="278">
      <c r="A278" s="16" t="n"/>
      <c r="B278" s="16" t="n"/>
      <c r="C278" s="17" t="n"/>
      <c r="D278" s="18" t="n"/>
      <c r="E278" s="18" t="n"/>
      <c r="F278" s="16" t="n"/>
      <c r="G278" s="16" t="n"/>
      <c r="H278" s="16" t="n"/>
      <c r="I278" s="17" t="n"/>
      <c r="J278" s="19">
        <f>IF($A278="","",IF($C278="","⚠️ Thiếu ngày làm gần nhất",IF(AND(TODAY()-$C278&lt;=2,$H278&lt;&gt;"Có"),"💬 Cần nhắn hỏi thăm",IF(AND($I278&lt;&gt;"",$I278&gt;=TODAY()),"📅 Đã hẹn "&amp;TEXT($I278,"dd/mm"),IF(TODAY()-$C278&gt;=2*IF($G278="",30,$G278),"🔴 Lâu rồi chưa quay lại",IF(TODAY()-$C278&gt;=IF($G278="",30,$G278),"🟡 Tới kỳ chăm sóc tiếp","🟢 Chưa tới kỳ — chưa cần làm gì"))))))</f>
        <v/>
      </c>
    </row>
    <row r="279">
      <c r="A279" s="16" t="n"/>
      <c r="B279" s="16" t="n"/>
      <c r="C279" s="17" t="n"/>
      <c r="D279" s="18" t="n"/>
      <c r="E279" s="18" t="n"/>
      <c r="F279" s="16" t="n"/>
      <c r="G279" s="16" t="n"/>
      <c r="H279" s="16" t="n"/>
      <c r="I279" s="17" t="n"/>
      <c r="J279" s="19">
        <f>IF($A279="","",IF($C279="","⚠️ Thiếu ngày làm gần nhất",IF(AND(TODAY()-$C279&lt;=2,$H279&lt;&gt;"Có"),"💬 Cần nhắn hỏi thăm",IF(AND($I279&lt;&gt;"",$I279&gt;=TODAY()),"📅 Đã hẹn "&amp;TEXT($I279,"dd/mm"),IF(TODAY()-$C279&gt;=2*IF($G279="",30,$G279),"🔴 Lâu rồi chưa quay lại",IF(TODAY()-$C279&gt;=IF($G279="",30,$G279),"🟡 Tới kỳ chăm sóc tiếp","🟢 Chưa tới kỳ — chưa cần làm gì"))))))</f>
        <v/>
      </c>
    </row>
    <row r="280">
      <c r="A280" s="16" t="n"/>
      <c r="B280" s="16" t="n"/>
      <c r="C280" s="17" t="n"/>
      <c r="D280" s="18" t="n"/>
      <c r="E280" s="18" t="n"/>
      <c r="F280" s="16" t="n"/>
      <c r="G280" s="16" t="n"/>
      <c r="H280" s="16" t="n"/>
      <c r="I280" s="17" t="n"/>
      <c r="J280" s="19">
        <f>IF($A280="","",IF($C280="","⚠️ Thiếu ngày làm gần nhất",IF(AND(TODAY()-$C280&lt;=2,$H280&lt;&gt;"Có"),"💬 Cần nhắn hỏi thăm",IF(AND($I280&lt;&gt;"",$I280&gt;=TODAY()),"📅 Đã hẹn "&amp;TEXT($I280,"dd/mm"),IF(TODAY()-$C280&gt;=2*IF($G280="",30,$G280),"🔴 Lâu rồi chưa quay lại",IF(TODAY()-$C280&gt;=IF($G280="",30,$G280),"🟡 Tới kỳ chăm sóc tiếp","🟢 Chưa tới kỳ — chưa cần làm gì"))))))</f>
        <v/>
      </c>
    </row>
    <row r="281">
      <c r="A281" s="16" t="n"/>
      <c r="B281" s="16" t="n"/>
      <c r="C281" s="17" t="n"/>
      <c r="D281" s="18" t="n"/>
      <c r="E281" s="18" t="n"/>
      <c r="F281" s="16" t="n"/>
      <c r="G281" s="16" t="n"/>
      <c r="H281" s="16" t="n"/>
      <c r="I281" s="17" t="n"/>
      <c r="J281" s="19">
        <f>IF($A281="","",IF($C281="","⚠️ Thiếu ngày làm gần nhất",IF(AND(TODAY()-$C281&lt;=2,$H281&lt;&gt;"Có"),"💬 Cần nhắn hỏi thăm",IF(AND($I281&lt;&gt;"",$I281&gt;=TODAY()),"📅 Đã hẹn "&amp;TEXT($I281,"dd/mm"),IF(TODAY()-$C281&gt;=2*IF($G281="",30,$G281),"🔴 Lâu rồi chưa quay lại",IF(TODAY()-$C281&gt;=IF($G281="",30,$G281),"🟡 Tới kỳ chăm sóc tiếp","🟢 Chưa tới kỳ — chưa cần làm gì"))))))</f>
        <v/>
      </c>
    </row>
    <row r="282">
      <c r="A282" s="16" t="n"/>
      <c r="B282" s="16" t="n"/>
      <c r="C282" s="17" t="n"/>
      <c r="D282" s="18" t="n"/>
      <c r="E282" s="18" t="n"/>
      <c r="F282" s="16" t="n"/>
      <c r="G282" s="16" t="n"/>
      <c r="H282" s="16" t="n"/>
      <c r="I282" s="17" t="n"/>
      <c r="J282" s="19">
        <f>IF($A282="","",IF($C282="","⚠️ Thiếu ngày làm gần nhất",IF(AND(TODAY()-$C282&lt;=2,$H282&lt;&gt;"Có"),"💬 Cần nhắn hỏi thăm",IF(AND($I282&lt;&gt;"",$I282&gt;=TODAY()),"📅 Đã hẹn "&amp;TEXT($I282,"dd/mm"),IF(TODAY()-$C282&gt;=2*IF($G282="",30,$G282),"🔴 Lâu rồi chưa quay lại",IF(TODAY()-$C282&gt;=IF($G282="",30,$G282),"🟡 Tới kỳ chăm sóc tiếp","🟢 Chưa tới kỳ — chưa cần làm gì"))))))</f>
        <v/>
      </c>
    </row>
    <row r="283">
      <c r="A283" s="16" t="n"/>
      <c r="B283" s="16" t="n"/>
      <c r="C283" s="17" t="n"/>
      <c r="D283" s="18" t="n"/>
      <c r="E283" s="18" t="n"/>
      <c r="F283" s="16" t="n"/>
      <c r="G283" s="16" t="n"/>
      <c r="H283" s="16" t="n"/>
      <c r="I283" s="17" t="n"/>
      <c r="J283" s="19">
        <f>IF($A283="","",IF($C283="","⚠️ Thiếu ngày làm gần nhất",IF(AND(TODAY()-$C283&lt;=2,$H283&lt;&gt;"Có"),"💬 Cần nhắn hỏi thăm",IF(AND($I283&lt;&gt;"",$I283&gt;=TODAY()),"📅 Đã hẹn "&amp;TEXT($I283,"dd/mm"),IF(TODAY()-$C283&gt;=2*IF($G283="",30,$G283),"🔴 Lâu rồi chưa quay lại",IF(TODAY()-$C283&gt;=IF($G283="",30,$G283),"🟡 Tới kỳ chăm sóc tiếp","🟢 Chưa tới kỳ — chưa cần làm gì"))))))</f>
        <v/>
      </c>
    </row>
    <row r="284">
      <c r="A284" s="16" t="n"/>
      <c r="B284" s="16" t="n"/>
      <c r="C284" s="17" t="n"/>
      <c r="D284" s="18" t="n"/>
      <c r="E284" s="18" t="n"/>
      <c r="F284" s="16" t="n"/>
      <c r="G284" s="16" t="n"/>
      <c r="H284" s="16" t="n"/>
      <c r="I284" s="17" t="n"/>
      <c r="J284" s="19">
        <f>IF($A284="","",IF($C284="","⚠️ Thiếu ngày làm gần nhất",IF(AND(TODAY()-$C284&lt;=2,$H284&lt;&gt;"Có"),"💬 Cần nhắn hỏi thăm",IF(AND($I284&lt;&gt;"",$I284&gt;=TODAY()),"📅 Đã hẹn "&amp;TEXT($I284,"dd/mm"),IF(TODAY()-$C284&gt;=2*IF($G284="",30,$G284),"🔴 Lâu rồi chưa quay lại",IF(TODAY()-$C284&gt;=IF($G284="",30,$G284),"🟡 Tới kỳ chăm sóc tiếp","🟢 Chưa tới kỳ — chưa cần làm gì"))))))</f>
        <v/>
      </c>
    </row>
    <row r="285">
      <c r="A285" s="16" t="n"/>
      <c r="B285" s="16" t="n"/>
      <c r="C285" s="17" t="n"/>
      <c r="D285" s="18" t="n"/>
      <c r="E285" s="18" t="n"/>
      <c r="F285" s="16" t="n"/>
      <c r="G285" s="16" t="n"/>
      <c r="H285" s="16" t="n"/>
      <c r="I285" s="17" t="n"/>
      <c r="J285" s="19">
        <f>IF($A285="","",IF($C285="","⚠️ Thiếu ngày làm gần nhất",IF(AND(TODAY()-$C285&lt;=2,$H285&lt;&gt;"Có"),"💬 Cần nhắn hỏi thăm",IF(AND($I285&lt;&gt;"",$I285&gt;=TODAY()),"📅 Đã hẹn "&amp;TEXT($I285,"dd/mm"),IF(TODAY()-$C285&gt;=2*IF($G285="",30,$G285),"🔴 Lâu rồi chưa quay lại",IF(TODAY()-$C285&gt;=IF($G285="",30,$G285),"🟡 Tới kỳ chăm sóc tiếp","🟢 Chưa tới kỳ — chưa cần làm gì"))))))</f>
        <v/>
      </c>
    </row>
    <row r="286">
      <c r="A286" s="16" t="n"/>
      <c r="B286" s="16" t="n"/>
      <c r="C286" s="17" t="n"/>
      <c r="D286" s="18" t="n"/>
      <c r="E286" s="18" t="n"/>
      <c r="F286" s="16" t="n"/>
      <c r="G286" s="16" t="n"/>
      <c r="H286" s="16" t="n"/>
      <c r="I286" s="17" t="n"/>
      <c r="J286" s="19">
        <f>IF($A286="","",IF($C286="","⚠️ Thiếu ngày làm gần nhất",IF(AND(TODAY()-$C286&lt;=2,$H286&lt;&gt;"Có"),"💬 Cần nhắn hỏi thăm",IF(AND($I286&lt;&gt;"",$I286&gt;=TODAY()),"📅 Đã hẹn "&amp;TEXT($I286,"dd/mm"),IF(TODAY()-$C286&gt;=2*IF($G286="",30,$G286),"🔴 Lâu rồi chưa quay lại",IF(TODAY()-$C286&gt;=IF($G286="",30,$G286),"🟡 Tới kỳ chăm sóc tiếp","🟢 Chưa tới kỳ — chưa cần làm gì"))))))</f>
        <v/>
      </c>
    </row>
    <row r="287">
      <c r="A287" s="16" t="n"/>
      <c r="B287" s="16" t="n"/>
      <c r="C287" s="17" t="n"/>
      <c r="D287" s="18" t="n"/>
      <c r="E287" s="18" t="n"/>
      <c r="F287" s="16" t="n"/>
      <c r="G287" s="16" t="n"/>
      <c r="H287" s="16" t="n"/>
      <c r="I287" s="17" t="n"/>
      <c r="J287" s="19">
        <f>IF($A287="","",IF($C287="","⚠️ Thiếu ngày làm gần nhất",IF(AND(TODAY()-$C287&lt;=2,$H287&lt;&gt;"Có"),"💬 Cần nhắn hỏi thăm",IF(AND($I287&lt;&gt;"",$I287&gt;=TODAY()),"📅 Đã hẹn "&amp;TEXT($I287,"dd/mm"),IF(TODAY()-$C287&gt;=2*IF($G287="",30,$G287),"🔴 Lâu rồi chưa quay lại",IF(TODAY()-$C287&gt;=IF($G287="",30,$G287),"🟡 Tới kỳ chăm sóc tiếp","🟢 Chưa tới kỳ — chưa cần làm gì"))))))</f>
        <v/>
      </c>
    </row>
    <row r="288">
      <c r="A288" s="16" t="n"/>
      <c r="B288" s="16" t="n"/>
      <c r="C288" s="17" t="n"/>
      <c r="D288" s="18" t="n"/>
      <c r="E288" s="18" t="n"/>
      <c r="F288" s="16" t="n"/>
      <c r="G288" s="16" t="n"/>
      <c r="H288" s="16" t="n"/>
      <c r="I288" s="17" t="n"/>
      <c r="J288" s="19">
        <f>IF($A288="","",IF($C288="","⚠️ Thiếu ngày làm gần nhất",IF(AND(TODAY()-$C288&lt;=2,$H288&lt;&gt;"Có"),"💬 Cần nhắn hỏi thăm",IF(AND($I288&lt;&gt;"",$I288&gt;=TODAY()),"📅 Đã hẹn "&amp;TEXT($I288,"dd/mm"),IF(TODAY()-$C288&gt;=2*IF($G288="",30,$G288),"🔴 Lâu rồi chưa quay lại",IF(TODAY()-$C288&gt;=IF($G288="",30,$G288),"🟡 Tới kỳ chăm sóc tiếp","🟢 Chưa tới kỳ — chưa cần làm gì"))))))</f>
        <v/>
      </c>
    </row>
    <row r="289">
      <c r="A289" s="16" t="n"/>
      <c r="B289" s="16" t="n"/>
      <c r="C289" s="17" t="n"/>
      <c r="D289" s="18" t="n"/>
      <c r="E289" s="18" t="n"/>
      <c r="F289" s="16" t="n"/>
      <c r="G289" s="16" t="n"/>
      <c r="H289" s="16" t="n"/>
      <c r="I289" s="17" t="n"/>
      <c r="J289" s="19">
        <f>IF($A289="","",IF($C289="","⚠️ Thiếu ngày làm gần nhất",IF(AND(TODAY()-$C289&lt;=2,$H289&lt;&gt;"Có"),"💬 Cần nhắn hỏi thăm",IF(AND($I289&lt;&gt;"",$I289&gt;=TODAY()),"📅 Đã hẹn "&amp;TEXT($I289,"dd/mm"),IF(TODAY()-$C289&gt;=2*IF($G289="",30,$G289),"🔴 Lâu rồi chưa quay lại",IF(TODAY()-$C289&gt;=IF($G289="",30,$G289),"🟡 Tới kỳ chăm sóc tiếp","🟢 Chưa tới kỳ — chưa cần làm gì"))))))</f>
        <v/>
      </c>
    </row>
    <row r="290">
      <c r="A290" s="16" t="n"/>
      <c r="B290" s="16" t="n"/>
      <c r="C290" s="17" t="n"/>
      <c r="D290" s="18" t="n"/>
      <c r="E290" s="18" t="n"/>
      <c r="F290" s="16" t="n"/>
      <c r="G290" s="16" t="n"/>
      <c r="H290" s="16" t="n"/>
      <c r="I290" s="17" t="n"/>
      <c r="J290" s="19">
        <f>IF($A290="","",IF($C290="","⚠️ Thiếu ngày làm gần nhất",IF(AND(TODAY()-$C290&lt;=2,$H290&lt;&gt;"Có"),"💬 Cần nhắn hỏi thăm",IF(AND($I290&lt;&gt;"",$I290&gt;=TODAY()),"📅 Đã hẹn "&amp;TEXT($I290,"dd/mm"),IF(TODAY()-$C290&gt;=2*IF($G290="",30,$G290),"🔴 Lâu rồi chưa quay lại",IF(TODAY()-$C290&gt;=IF($G290="",30,$G290),"🟡 Tới kỳ chăm sóc tiếp","🟢 Chưa tới kỳ — chưa cần làm gì"))))))</f>
        <v/>
      </c>
    </row>
    <row r="291">
      <c r="A291" s="16" t="n"/>
      <c r="B291" s="16" t="n"/>
      <c r="C291" s="17" t="n"/>
      <c r="D291" s="18" t="n"/>
      <c r="E291" s="18" t="n"/>
      <c r="F291" s="16" t="n"/>
      <c r="G291" s="16" t="n"/>
      <c r="H291" s="16" t="n"/>
      <c r="I291" s="17" t="n"/>
      <c r="J291" s="19">
        <f>IF($A291="","",IF($C291="","⚠️ Thiếu ngày làm gần nhất",IF(AND(TODAY()-$C291&lt;=2,$H291&lt;&gt;"Có"),"💬 Cần nhắn hỏi thăm",IF(AND($I291&lt;&gt;"",$I291&gt;=TODAY()),"📅 Đã hẹn "&amp;TEXT($I291,"dd/mm"),IF(TODAY()-$C291&gt;=2*IF($G291="",30,$G291),"🔴 Lâu rồi chưa quay lại",IF(TODAY()-$C291&gt;=IF($G291="",30,$G291),"🟡 Tới kỳ chăm sóc tiếp","🟢 Chưa tới kỳ — chưa cần làm gì"))))))</f>
        <v/>
      </c>
    </row>
    <row r="292">
      <c r="A292" s="16" t="n"/>
      <c r="B292" s="16" t="n"/>
      <c r="C292" s="17" t="n"/>
      <c r="D292" s="18" t="n"/>
      <c r="E292" s="18" t="n"/>
      <c r="F292" s="16" t="n"/>
      <c r="G292" s="16" t="n"/>
      <c r="H292" s="16" t="n"/>
      <c r="I292" s="17" t="n"/>
      <c r="J292" s="19">
        <f>IF($A292="","",IF($C292="","⚠️ Thiếu ngày làm gần nhất",IF(AND(TODAY()-$C292&lt;=2,$H292&lt;&gt;"Có"),"💬 Cần nhắn hỏi thăm",IF(AND($I292&lt;&gt;"",$I292&gt;=TODAY()),"📅 Đã hẹn "&amp;TEXT($I292,"dd/mm"),IF(TODAY()-$C292&gt;=2*IF($G292="",30,$G292),"🔴 Lâu rồi chưa quay lại",IF(TODAY()-$C292&gt;=IF($G292="",30,$G292),"🟡 Tới kỳ chăm sóc tiếp","🟢 Chưa tới kỳ — chưa cần làm gì"))))))</f>
        <v/>
      </c>
    </row>
    <row r="293">
      <c r="A293" s="16" t="n"/>
      <c r="B293" s="16" t="n"/>
      <c r="C293" s="17" t="n"/>
      <c r="D293" s="18" t="n"/>
      <c r="E293" s="18" t="n"/>
      <c r="F293" s="16" t="n"/>
      <c r="G293" s="16" t="n"/>
      <c r="H293" s="16" t="n"/>
      <c r="I293" s="17" t="n"/>
      <c r="J293" s="19">
        <f>IF($A293="","",IF($C293="","⚠️ Thiếu ngày làm gần nhất",IF(AND(TODAY()-$C293&lt;=2,$H293&lt;&gt;"Có"),"💬 Cần nhắn hỏi thăm",IF(AND($I293&lt;&gt;"",$I293&gt;=TODAY()),"📅 Đã hẹn "&amp;TEXT($I293,"dd/mm"),IF(TODAY()-$C293&gt;=2*IF($G293="",30,$G293),"🔴 Lâu rồi chưa quay lại",IF(TODAY()-$C293&gt;=IF($G293="",30,$G293),"🟡 Tới kỳ chăm sóc tiếp","🟢 Chưa tới kỳ — chưa cần làm gì"))))))</f>
        <v/>
      </c>
    </row>
    <row r="294">
      <c r="A294" s="16" t="n"/>
      <c r="B294" s="16" t="n"/>
      <c r="C294" s="17" t="n"/>
      <c r="D294" s="18" t="n"/>
      <c r="E294" s="18" t="n"/>
      <c r="F294" s="16" t="n"/>
      <c r="G294" s="16" t="n"/>
      <c r="H294" s="16" t="n"/>
      <c r="I294" s="17" t="n"/>
      <c r="J294" s="19">
        <f>IF($A294="","",IF($C294="","⚠️ Thiếu ngày làm gần nhất",IF(AND(TODAY()-$C294&lt;=2,$H294&lt;&gt;"Có"),"💬 Cần nhắn hỏi thăm",IF(AND($I294&lt;&gt;"",$I294&gt;=TODAY()),"📅 Đã hẹn "&amp;TEXT($I294,"dd/mm"),IF(TODAY()-$C294&gt;=2*IF($G294="",30,$G294),"🔴 Lâu rồi chưa quay lại",IF(TODAY()-$C294&gt;=IF($G294="",30,$G294),"🟡 Tới kỳ chăm sóc tiếp","🟢 Chưa tới kỳ — chưa cần làm gì"))))))</f>
        <v/>
      </c>
    </row>
    <row r="295">
      <c r="A295" s="16" t="n"/>
      <c r="B295" s="16" t="n"/>
      <c r="C295" s="17" t="n"/>
      <c r="D295" s="18" t="n"/>
      <c r="E295" s="18" t="n"/>
      <c r="F295" s="16" t="n"/>
      <c r="G295" s="16" t="n"/>
      <c r="H295" s="16" t="n"/>
      <c r="I295" s="17" t="n"/>
      <c r="J295" s="19">
        <f>IF($A295="","",IF($C295="","⚠️ Thiếu ngày làm gần nhất",IF(AND(TODAY()-$C295&lt;=2,$H295&lt;&gt;"Có"),"💬 Cần nhắn hỏi thăm",IF(AND($I295&lt;&gt;"",$I295&gt;=TODAY()),"📅 Đã hẹn "&amp;TEXT($I295,"dd/mm"),IF(TODAY()-$C295&gt;=2*IF($G295="",30,$G295),"🔴 Lâu rồi chưa quay lại",IF(TODAY()-$C295&gt;=IF($G295="",30,$G295),"🟡 Tới kỳ chăm sóc tiếp","🟢 Chưa tới kỳ — chưa cần làm gì"))))))</f>
        <v/>
      </c>
    </row>
    <row r="296">
      <c r="A296" s="16" t="n"/>
      <c r="B296" s="16" t="n"/>
      <c r="C296" s="17" t="n"/>
      <c r="D296" s="18" t="n"/>
      <c r="E296" s="18" t="n"/>
      <c r="F296" s="16" t="n"/>
      <c r="G296" s="16" t="n"/>
      <c r="H296" s="16" t="n"/>
      <c r="I296" s="17" t="n"/>
      <c r="J296" s="19">
        <f>IF($A296="","",IF($C296="","⚠️ Thiếu ngày làm gần nhất",IF(AND(TODAY()-$C296&lt;=2,$H296&lt;&gt;"Có"),"💬 Cần nhắn hỏi thăm",IF(AND($I296&lt;&gt;"",$I296&gt;=TODAY()),"📅 Đã hẹn "&amp;TEXT($I296,"dd/mm"),IF(TODAY()-$C296&gt;=2*IF($G296="",30,$G296),"🔴 Lâu rồi chưa quay lại",IF(TODAY()-$C296&gt;=IF($G296="",30,$G296),"🟡 Tới kỳ chăm sóc tiếp","🟢 Chưa tới kỳ — chưa cần làm gì"))))))</f>
        <v/>
      </c>
    </row>
    <row r="297">
      <c r="A297" s="16" t="n"/>
      <c r="B297" s="16" t="n"/>
      <c r="C297" s="17" t="n"/>
      <c r="D297" s="18" t="n"/>
      <c r="E297" s="18" t="n"/>
      <c r="F297" s="16" t="n"/>
      <c r="G297" s="16" t="n"/>
      <c r="H297" s="16" t="n"/>
      <c r="I297" s="17" t="n"/>
      <c r="J297" s="19">
        <f>IF($A297="","",IF($C297="","⚠️ Thiếu ngày làm gần nhất",IF(AND(TODAY()-$C297&lt;=2,$H297&lt;&gt;"Có"),"💬 Cần nhắn hỏi thăm",IF(AND($I297&lt;&gt;"",$I297&gt;=TODAY()),"📅 Đã hẹn "&amp;TEXT($I297,"dd/mm"),IF(TODAY()-$C297&gt;=2*IF($G297="",30,$G297),"🔴 Lâu rồi chưa quay lại",IF(TODAY()-$C297&gt;=IF($G297="",30,$G297),"🟡 Tới kỳ chăm sóc tiếp","🟢 Chưa tới kỳ — chưa cần làm gì"))))))</f>
        <v/>
      </c>
    </row>
    <row r="298">
      <c r="A298" s="16" t="n"/>
      <c r="B298" s="16" t="n"/>
      <c r="C298" s="17" t="n"/>
      <c r="D298" s="18" t="n"/>
      <c r="E298" s="18" t="n"/>
      <c r="F298" s="16" t="n"/>
      <c r="G298" s="16" t="n"/>
      <c r="H298" s="16" t="n"/>
      <c r="I298" s="17" t="n"/>
      <c r="J298" s="19">
        <f>IF($A298="","",IF($C298="","⚠️ Thiếu ngày làm gần nhất",IF(AND(TODAY()-$C298&lt;=2,$H298&lt;&gt;"Có"),"💬 Cần nhắn hỏi thăm",IF(AND($I298&lt;&gt;"",$I298&gt;=TODAY()),"📅 Đã hẹn "&amp;TEXT($I298,"dd/mm"),IF(TODAY()-$C298&gt;=2*IF($G298="",30,$G298),"🔴 Lâu rồi chưa quay lại",IF(TODAY()-$C298&gt;=IF($G298="",30,$G298),"🟡 Tới kỳ chăm sóc tiếp","🟢 Chưa tới kỳ — chưa cần làm gì"))))))</f>
        <v/>
      </c>
    </row>
    <row r="299">
      <c r="A299" s="16" t="n"/>
      <c r="B299" s="16" t="n"/>
      <c r="C299" s="17" t="n"/>
      <c r="D299" s="18" t="n"/>
      <c r="E299" s="18" t="n"/>
      <c r="F299" s="16" t="n"/>
      <c r="G299" s="16" t="n"/>
      <c r="H299" s="16" t="n"/>
      <c r="I299" s="17" t="n"/>
      <c r="J299" s="19">
        <f>IF($A299="","",IF($C299="","⚠️ Thiếu ngày làm gần nhất",IF(AND(TODAY()-$C299&lt;=2,$H299&lt;&gt;"Có"),"💬 Cần nhắn hỏi thăm",IF(AND($I299&lt;&gt;"",$I299&gt;=TODAY()),"📅 Đã hẹn "&amp;TEXT($I299,"dd/mm"),IF(TODAY()-$C299&gt;=2*IF($G299="",30,$G299),"🔴 Lâu rồi chưa quay lại",IF(TODAY()-$C299&gt;=IF($G299="",30,$G299),"🟡 Tới kỳ chăm sóc tiếp","🟢 Chưa tới kỳ — chưa cần làm gì"))))))</f>
        <v/>
      </c>
    </row>
    <row r="300">
      <c r="A300" s="16" t="n"/>
      <c r="B300" s="16" t="n"/>
      <c r="C300" s="17" t="n"/>
      <c r="D300" s="18" t="n"/>
      <c r="E300" s="18" t="n"/>
      <c r="F300" s="16" t="n"/>
      <c r="G300" s="16" t="n"/>
      <c r="H300" s="16" t="n"/>
      <c r="I300" s="17" t="n"/>
      <c r="J300" s="19">
        <f>IF($A300="","",IF($C300="","⚠️ Thiếu ngày làm gần nhất",IF(AND(TODAY()-$C300&lt;=2,$H300&lt;&gt;"Có"),"💬 Cần nhắn hỏi thăm",IF(AND($I300&lt;&gt;"",$I300&gt;=TODAY()),"📅 Đã hẹn "&amp;TEXT($I300,"dd/mm"),IF(TODAY()-$C300&gt;=2*IF($G300="",30,$G300),"🔴 Lâu rồi chưa quay lại",IF(TODAY()-$C300&gt;=IF($G300="",30,$G300),"🟡 Tới kỳ chăm sóc tiếp","🟢 Chưa tới kỳ — chưa cần làm gì"))))))</f>
        <v/>
      </c>
    </row>
    <row r="301">
      <c r="A301" s="16" t="n"/>
      <c r="B301" s="16" t="n"/>
      <c r="C301" s="17" t="n"/>
      <c r="D301" s="18" t="n"/>
      <c r="E301" s="18" t="n"/>
      <c r="F301" s="16" t="n"/>
      <c r="G301" s="16" t="n"/>
      <c r="H301" s="16" t="n"/>
      <c r="I301" s="17" t="n"/>
      <c r="J301" s="19">
        <f>IF($A301="","",IF($C301="","⚠️ Thiếu ngày làm gần nhất",IF(AND(TODAY()-$C301&lt;=2,$H301&lt;&gt;"Có"),"💬 Cần nhắn hỏi thăm",IF(AND($I301&lt;&gt;"",$I301&gt;=TODAY()),"📅 Đã hẹn "&amp;TEXT($I301,"dd/mm"),IF(TODAY()-$C301&gt;=2*IF($G301="",30,$G301),"🔴 Lâu rồi chưa quay lại",IF(TODAY()-$C301&gt;=IF($G301="",30,$G301),"🟡 Tới kỳ chăm sóc tiếp","🟢 Chưa tới kỳ — chưa cần làm gì"))))))</f>
        <v/>
      </c>
    </row>
    <row r="302">
      <c r="A302" s="16" t="n"/>
      <c r="B302" s="16" t="n"/>
      <c r="C302" s="17" t="n"/>
      <c r="D302" s="18" t="n"/>
      <c r="E302" s="18" t="n"/>
      <c r="F302" s="16" t="n"/>
      <c r="G302" s="16" t="n"/>
      <c r="H302" s="16" t="n"/>
      <c r="I302" s="17" t="n"/>
      <c r="J302" s="19">
        <f>IF($A302="","",IF($C302="","⚠️ Thiếu ngày làm gần nhất",IF(AND(TODAY()-$C302&lt;=2,$H302&lt;&gt;"Có"),"💬 Cần nhắn hỏi thăm",IF(AND($I302&lt;&gt;"",$I302&gt;=TODAY()),"📅 Đã hẹn "&amp;TEXT($I302,"dd/mm"),IF(TODAY()-$C302&gt;=2*IF($G302="",30,$G302),"🔴 Lâu rồi chưa quay lại",IF(TODAY()-$C302&gt;=IF($G302="",30,$G302),"🟡 Tới kỳ chăm sóc tiếp","🟢 Chưa tới kỳ — chưa cần làm gì"))))))</f>
        <v/>
      </c>
    </row>
    <row r="303">
      <c r="A303" s="16" t="n"/>
      <c r="B303" s="16" t="n"/>
      <c r="C303" s="17" t="n"/>
      <c r="D303" s="18" t="n"/>
      <c r="E303" s="18" t="n"/>
      <c r="F303" s="16" t="n"/>
      <c r="G303" s="16" t="n"/>
      <c r="H303" s="16" t="n"/>
      <c r="I303" s="17" t="n"/>
      <c r="J303" s="19">
        <f>IF($A303="","",IF($C303="","⚠️ Thiếu ngày làm gần nhất",IF(AND(TODAY()-$C303&lt;=2,$H303&lt;&gt;"Có"),"💬 Cần nhắn hỏi thăm",IF(AND($I303&lt;&gt;"",$I303&gt;=TODAY()),"📅 Đã hẹn "&amp;TEXT($I303,"dd/mm"),IF(TODAY()-$C303&gt;=2*IF($G303="",30,$G303),"🔴 Lâu rồi chưa quay lại",IF(TODAY()-$C303&gt;=IF($G303="",30,$G303),"🟡 Tới kỳ chăm sóc tiếp","🟢 Chưa tới kỳ — chưa cần làm gì"))))))</f>
        <v/>
      </c>
    </row>
    <row r="304">
      <c r="A304" s="16" t="n"/>
      <c r="B304" s="16" t="n"/>
      <c r="C304" s="17" t="n"/>
      <c r="D304" s="18" t="n"/>
      <c r="E304" s="18" t="n"/>
      <c r="F304" s="16" t="n"/>
      <c r="G304" s="16" t="n"/>
      <c r="H304" s="16" t="n"/>
      <c r="I304" s="17" t="n"/>
      <c r="J304" s="19">
        <f>IF($A304="","",IF($C304="","⚠️ Thiếu ngày làm gần nhất",IF(AND(TODAY()-$C304&lt;=2,$H304&lt;&gt;"Có"),"💬 Cần nhắn hỏi thăm",IF(AND($I304&lt;&gt;"",$I304&gt;=TODAY()),"📅 Đã hẹn "&amp;TEXT($I304,"dd/mm"),IF(TODAY()-$C304&gt;=2*IF($G304="",30,$G304),"🔴 Lâu rồi chưa quay lại",IF(TODAY()-$C304&gt;=IF($G304="",30,$G304),"🟡 Tới kỳ chăm sóc tiếp","🟢 Chưa tới kỳ — chưa cần làm gì"))))))</f>
        <v/>
      </c>
    </row>
    <row r="305">
      <c r="A305" s="16" t="n"/>
      <c r="B305" s="16" t="n"/>
      <c r="C305" s="17" t="n"/>
      <c r="D305" s="18" t="n"/>
      <c r="E305" s="18" t="n"/>
      <c r="F305" s="16" t="n"/>
      <c r="G305" s="16" t="n"/>
      <c r="H305" s="16" t="n"/>
      <c r="I305" s="17" t="n"/>
      <c r="J305" s="19">
        <f>IF($A305="","",IF($C305="","⚠️ Thiếu ngày làm gần nhất",IF(AND(TODAY()-$C305&lt;=2,$H305&lt;&gt;"Có"),"💬 Cần nhắn hỏi thăm",IF(AND($I305&lt;&gt;"",$I305&gt;=TODAY()),"📅 Đã hẹn "&amp;TEXT($I305,"dd/mm"),IF(TODAY()-$C305&gt;=2*IF($G305="",30,$G305),"🔴 Lâu rồi chưa quay lại",IF(TODAY()-$C305&gt;=IF($G305="",30,$G305),"🟡 Tới kỳ chăm sóc tiếp","🟢 Chưa tới kỳ — chưa cần làm gì"))))))</f>
        <v/>
      </c>
    </row>
    <row r="306">
      <c r="A306" s="16" t="n"/>
      <c r="B306" s="16" t="n"/>
      <c r="C306" s="17" t="n"/>
      <c r="D306" s="18" t="n"/>
      <c r="E306" s="18" t="n"/>
      <c r="F306" s="16" t="n"/>
      <c r="G306" s="16" t="n"/>
      <c r="H306" s="16" t="n"/>
      <c r="I306" s="17" t="n"/>
      <c r="J306" s="19">
        <f>IF($A306="","",IF($C306="","⚠️ Thiếu ngày làm gần nhất",IF(AND(TODAY()-$C306&lt;=2,$H306&lt;&gt;"Có"),"💬 Cần nhắn hỏi thăm",IF(AND($I306&lt;&gt;"",$I306&gt;=TODAY()),"📅 Đã hẹn "&amp;TEXT($I306,"dd/mm"),IF(TODAY()-$C306&gt;=2*IF($G306="",30,$G306),"🔴 Lâu rồi chưa quay lại",IF(TODAY()-$C306&gt;=IF($G306="",30,$G306),"🟡 Tới kỳ chăm sóc tiếp","🟢 Chưa tới kỳ — chưa cần làm gì"))))))</f>
        <v/>
      </c>
    </row>
    <row r="307">
      <c r="A307" s="16" t="n"/>
      <c r="B307" s="16" t="n"/>
      <c r="C307" s="17" t="n"/>
      <c r="D307" s="18" t="n"/>
      <c r="E307" s="18" t="n"/>
      <c r="F307" s="16" t="n"/>
      <c r="G307" s="16" t="n"/>
      <c r="H307" s="16" t="n"/>
      <c r="I307" s="17" t="n"/>
      <c r="J307" s="19">
        <f>IF($A307="","",IF($C307="","⚠️ Thiếu ngày làm gần nhất",IF(AND(TODAY()-$C307&lt;=2,$H307&lt;&gt;"Có"),"💬 Cần nhắn hỏi thăm",IF(AND($I307&lt;&gt;"",$I307&gt;=TODAY()),"📅 Đã hẹn "&amp;TEXT($I307,"dd/mm"),IF(TODAY()-$C307&gt;=2*IF($G307="",30,$G307),"🔴 Lâu rồi chưa quay lại",IF(TODAY()-$C307&gt;=IF($G307="",30,$G307),"🟡 Tới kỳ chăm sóc tiếp","🟢 Chưa tới kỳ — chưa cần làm gì"))))))</f>
        <v/>
      </c>
    </row>
    <row r="308">
      <c r="A308" s="16" t="n"/>
      <c r="B308" s="16" t="n"/>
      <c r="C308" s="17" t="n"/>
      <c r="D308" s="18" t="n"/>
      <c r="E308" s="18" t="n"/>
      <c r="F308" s="16" t="n"/>
      <c r="G308" s="16" t="n"/>
      <c r="H308" s="16" t="n"/>
      <c r="I308" s="17" t="n"/>
      <c r="J308" s="19">
        <f>IF($A308="","",IF($C308="","⚠️ Thiếu ngày làm gần nhất",IF(AND(TODAY()-$C308&lt;=2,$H308&lt;&gt;"Có"),"💬 Cần nhắn hỏi thăm",IF(AND($I308&lt;&gt;"",$I308&gt;=TODAY()),"📅 Đã hẹn "&amp;TEXT($I308,"dd/mm"),IF(TODAY()-$C308&gt;=2*IF($G308="",30,$G308),"🔴 Lâu rồi chưa quay lại",IF(TODAY()-$C308&gt;=IF($G308="",30,$G308),"🟡 Tới kỳ chăm sóc tiếp","🟢 Chưa tới kỳ — chưa cần làm gì"))))))</f>
        <v/>
      </c>
    </row>
    <row r="309">
      <c r="A309" s="16" t="n"/>
      <c r="B309" s="16" t="n"/>
      <c r="C309" s="17" t="n"/>
      <c r="D309" s="18" t="n"/>
      <c r="E309" s="18" t="n"/>
      <c r="F309" s="16" t="n"/>
      <c r="G309" s="16" t="n"/>
      <c r="H309" s="16" t="n"/>
      <c r="I309" s="17" t="n"/>
      <c r="J309" s="19">
        <f>IF($A309="","",IF($C309="","⚠️ Thiếu ngày làm gần nhất",IF(AND(TODAY()-$C309&lt;=2,$H309&lt;&gt;"Có"),"💬 Cần nhắn hỏi thăm",IF(AND($I309&lt;&gt;"",$I309&gt;=TODAY()),"📅 Đã hẹn "&amp;TEXT($I309,"dd/mm"),IF(TODAY()-$C309&gt;=2*IF($G309="",30,$G309),"🔴 Lâu rồi chưa quay lại",IF(TODAY()-$C309&gt;=IF($G309="",30,$G309),"🟡 Tới kỳ chăm sóc tiếp","🟢 Chưa tới kỳ — chưa cần làm gì"))))))</f>
        <v/>
      </c>
    </row>
    <row r="310">
      <c r="A310" s="16" t="n"/>
      <c r="B310" s="16" t="n"/>
      <c r="C310" s="17" t="n"/>
      <c r="D310" s="18" t="n"/>
      <c r="E310" s="18" t="n"/>
      <c r="F310" s="16" t="n"/>
      <c r="G310" s="16" t="n"/>
      <c r="H310" s="16" t="n"/>
      <c r="I310" s="17" t="n"/>
      <c r="J310" s="19">
        <f>IF($A310="","",IF($C310="","⚠️ Thiếu ngày làm gần nhất",IF(AND(TODAY()-$C310&lt;=2,$H310&lt;&gt;"Có"),"💬 Cần nhắn hỏi thăm",IF(AND($I310&lt;&gt;"",$I310&gt;=TODAY()),"📅 Đã hẹn "&amp;TEXT($I310,"dd/mm"),IF(TODAY()-$C310&gt;=2*IF($G310="",30,$G310),"🔴 Lâu rồi chưa quay lại",IF(TODAY()-$C310&gt;=IF($G310="",30,$G310),"🟡 Tới kỳ chăm sóc tiếp","🟢 Chưa tới kỳ — chưa cần làm gì"))))))</f>
        <v/>
      </c>
    </row>
    <row r="311">
      <c r="A311" s="16" t="n"/>
      <c r="B311" s="16" t="n"/>
      <c r="C311" s="17" t="n"/>
      <c r="D311" s="18" t="n"/>
      <c r="E311" s="18" t="n"/>
      <c r="F311" s="16" t="n"/>
      <c r="G311" s="16" t="n"/>
      <c r="H311" s="16" t="n"/>
      <c r="I311" s="17" t="n"/>
      <c r="J311" s="19">
        <f>IF($A311="","",IF($C311="","⚠️ Thiếu ngày làm gần nhất",IF(AND(TODAY()-$C311&lt;=2,$H311&lt;&gt;"Có"),"💬 Cần nhắn hỏi thăm",IF(AND($I311&lt;&gt;"",$I311&gt;=TODAY()),"📅 Đã hẹn "&amp;TEXT($I311,"dd/mm"),IF(TODAY()-$C311&gt;=2*IF($G311="",30,$G311),"🔴 Lâu rồi chưa quay lại",IF(TODAY()-$C311&gt;=IF($G311="",30,$G311),"🟡 Tới kỳ chăm sóc tiếp","🟢 Chưa tới kỳ — chưa cần làm gì"))))))</f>
        <v/>
      </c>
    </row>
    <row r="312">
      <c r="A312" s="16" t="n"/>
      <c r="B312" s="16" t="n"/>
      <c r="C312" s="17" t="n"/>
      <c r="D312" s="18" t="n"/>
      <c r="E312" s="18" t="n"/>
      <c r="F312" s="16" t="n"/>
      <c r="G312" s="16" t="n"/>
      <c r="H312" s="16" t="n"/>
      <c r="I312" s="17" t="n"/>
      <c r="J312" s="19">
        <f>IF($A312="","",IF($C312="","⚠️ Thiếu ngày làm gần nhất",IF(AND(TODAY()-$C312&lt;=2,$H312&lt;&gt;"Có"),"💬 Cần nhắn hỏi thăm",IF(AND($I312&lt;&gt;"",$I312&gt;=TODAY()),"📅 Đã hẹn "&amp;TEXT($I312,"dd/mm"),IF(TODAY()-$C312&gt;=2*IF($G312="",30,$G312),"🔴 Lâu rồi chưa quay lại",IF(TODAY()-$C312&gt;=IF($G312="",30,$G312),"🟡 Tới kỳ chăm sóc tiếp","🟢 Chưa tới kỳ — chưa cần làm gì"))))))</f>
        <v/>
      </c>
    </row>
    <row r="313">
      <c r="A313" s="16" t="n"/>
      <c r="B313" s="16" t="n"/>
      <c r="C313" s="17" t="n"/>
      <c r="D313" s="18" t="n"/>
      <c r="E313" s="18" t="n"/>
      <c r="F313" s="16" t="n"/>
      <c r="G313" s="16" t="n"/>
      <c r="H313" s="16" t="n"/>
      <c r="I313" s="17" t="n"/>
      <c r="J313" s="19">
        <f>IF($A313="","",IF($C313="","⚠️ Thiếu ngày làm gần nhất",IF(AND(TODAY()-$C313&lt;=2,$H313&lt;&gt;"Có"),"💬 Cần nhắn hỏi thăm",IF(AND($I313&lt;&gt;"",$I313&gt;=TODAY()),"📅 Đã hẹn "&amp;TEXT($I313,"dd/mm"),IF(TODAY()-$C313&gt;=2*IF($G313="",30,$G313),"🔴 Lâu rồi chưa quay lại",IF(TODAY()-$C313&gt;=IF($G313="",30,$G313),"🟡 Tới kỳ chăm sóc tiếp","🟢 Chưa tới kỳ — chưa cần làm gì"))))))</f>
        <v/>
      </c>
    </row>
    <row r="314">
      <c r="A314" s="16" t="n"/>
      <c r="B314" s="16" t="n"/>
      <c r="C314" s="17" t="n"/>
      <c r="D314" s="18" t="n"/>
      <c r="E314" s="18" t="n"/>
      <c r="F314" s="16" t="n"/>
      <c r="G314" s="16" t="n"/>
      <c r="H314" s="16" t="n"/>
      <c r="I314" s="17" t="n"/>
      <c r="J314" s="19">
        <f>IF($A314="","",IF($C314="","⚠️ Thiếu ngày làm gần nhất",IF(AND(TODAY()-$C314&lt;=2,$H314&lt;&gt;"Có"),"💬 Cần nhắn hỏi thăm",IF(AND($I314&lt;&gt;"",$I314&gt;=TODAY()),"📅 Đã hẹn "&amp;TEXT($I314,"dd/mm"),IF(TODAY()-$C314&gt;=2*IF($G314="",30,$G314),"🔴 Lâu rồi chưa quay lại",IF(TODAY()-$C314&gt;=IF($G314="",30,$G314),"🟡 Tới kỳ chăm sóc tiếp","🟢 Chưa tới kỳ — chưa cần làm gì"))))))</f>
        <v/>
      </c>
    </row>
    <row r="315">
      <c r="A315" s="16" t="n"/>
      <c r="B315" s="16" t="n"/>
      <c r="C315" s="17" t="n"/>
      <c r="D315" s="18" t="n"/>
      <c r="E315" s="18" t="n"/>
      <c r="F315" s="16" t="n"/>
      <c r="G315" s="16" t="n"/>
      <c r="H315" s="16" t="n"/>
      <c r="I315" s="17" t="n"/>
      <c r="J315" s="19">
        <f>IF($A315="","",IF($C315="","⚠️ Thiếu ngày làm gần nhất",IF(AND(TODAY()-$C315&lt;=2,$H315&lt;&gt;"Có"),"💬 Cần nhắn hỏi thăm",IF(AND($I315&lt;&gt;"",$I315&gt;=TODAY()),"📅 Đã hẹn "&amp;TEXT($I315,"dd/mm"),IF(TODAY()-$C315&gt;=2*IF($G315="",30,$G315),"🔴 Lâu rồi chưa quay lại",IF(TODAY()-$C315&gt;=IF($G315="",30,$G315),"🟡 Tới kỳ chăm sóc tiếp","🟢 Chưa tới kỳ — chưa cần làm gì"))))))</f>
        <v/>
      </c>
    </row>
    <row r="316">
      <c r="A316" s="16" t="n"/>
      <c r="B316" s="16" t="n"/>
      <c r="C316" s="17" t="n"/>
      <c r="D316" s="18" t="n"/>
      <c r="E316" s="18" t="n"/>
      <c r="F316" s="16" t="n"/>
      <c r="G316" s="16" t="n"/>
      <c r="H316" s="16" t="n"/>
      <c r="I316" s="17" t="n"/>
      <c r="J316" s="19">
        <f>IF($A316="","",IF($C316="","⚠️ Thiếu ngày làm gần nhất",IF(AND(TODAY()-$C316&lt;=2,$H316&lt;&gt;"Có"),"💬 Cần nhắn hỏi thăm",IF(AND($I316&lt;&gt;"",$I316&gt;=TODAY()),"📅 Đã hẹn "&amp;TEXT($I316,"dd/mm"),IF(TODAY()-$C316&gt;=2*IF($G316="",30,$G316),"🔴 Lâu rồi chưa quay lại",IF(TODAY()-$C316&gt;=IF($G316="",30,$G316),"🟡 Tới kỳ chăm sóc tiếp","🟢 Chưa tới kỳ — chưa cần làm gì"))))))</f>
        <v/>
      </c>
    </row>
    <row r="317">
      <c r="A317" s="16" t="n"/>
      <c r="B317" s="16" t="n"/>
      <c r="C317" s="17" t="n"/>
      <c r="D317" s="18" t="n"/>
      <c r="E317" s="18" t="n"/>
      <c r="F317" s="16" t="n"/>
      <c r="G317" s="16" t="n"/>
      <c r="H317" s="16" t="n"/>
      <c r="I317" s="17" t="n"/>
      <c r="J317" s="19">
        <f>IF($A317="","",IF($C317="","⚠️ Thiếu ngày làm gần nhất",IF(AND(TODAY()-$C317&lt;=2,$H317&lt;&gt;"Có"),"💬 Cần nhắn hỏi thăm",IF(AND($I317&lt;&gt;"",$I317&gt;=TODAY()),"📅 Đã hẹn "&amp;TEXT($I317,"dd/mm"),IF(TODAY()-$C317&gt;=2*IF($G317="",30,$G317),"🔴 Lâu rồi chưa quay lại",IF(TODAY()-$C317&gt;=IF($G317="",30,$G317),"🟡 Tới kỳ chăm sóc tiếp","🟢 Chưa tới kỳ — chưa cần làm gì"))))))</f>
        <v/>
      </c>
    </row>
    <row r="318">
      <c r="A318" s="16" t="n"/>
      <c r="B318" s="16" t="n"/>
      <c r="C318" s="17" t="n"/>
      <c r="D318" s="18" t="n"/>
      <c r="E318" s="18" t="n"/>
      <c r="F318" s="16" t="n"/>
      <c r="G318" s="16" t="n"/>
      <c r="H318" s="16" t="n"/>
      <c r="I318" s="17" t="n"/>
      <c r="J318" s="19">
        <f>IF($A318="","",IF($C318="","⚠️ Thiếu ngày làm gần nhất",IF(AND(TODAY()-$C318&lt;=2,$H318&lt;&gt;"Có"),"💬 Cần nhắn hỏi thăm",IF(AND($I318&lt;&gt;"",$I318&gt;=TODAY()),"📅 Đã hẹn "&amp;TEXT($I318,"dd/mm"),IF(TODAY()-$C318&gt;=2*IF($G318="",30,$G318),"🔴 Lâu rồi chưa quay lại",IF(TODAY()-$C318&gt;=IF($G318="",30,$G318),"🟡 Tới kỳ chăm sóc tiếp","🟢 Chưa tới kỳ — chưa cần làm gì"))))))</f>
        <v/>
      </c>
    </row>
    <row r="319">
      <c r="A319" s="16" t="n"/>
      <c r="B319" s="16" t="n"/>
      <c r="C319" s="17" t="n"/>
      <c r="D319" s="18" t="n"/>
      <c r="E319" s="18" t="n"/>
      <c r="F319" s="16" t="n"/>
      <c r="G319" s="16" t="n"/>
      <c r="H319" s="16" t="n"/>
      <c r="I319" s="17" t="n"/>
      <c r="J319" s="19">
        <f>IF($A319="","",IF($C319="","⚠️ Thiếu ngày làm gần nhất",IF(AND(TODAY()-$C319&lt;=2,$H319&lt;&gt;"Có"),"💬 Cần nhắn hỏi thăm",IF(AND($I319&lt;&gt;"",$I319&gt;=TODAY()),"📅 Đã hẹn "&amp;TEXT($I319,"dd/mm"),IF(TODAY()-$C319&gt;=2*IF($G319="",30,$G319),"🔴 Lâu rồi chưa quay lại",IF(TODAY()-$C319&gt;=IF($G319="",30,$G319),"🟡 Tới kỳ chăm sóc tiếp","🟢 Chưa tới kỳ — chưa cần làm gì"))))))</f>
        <v/>
      </c>
    </row>
    <row r="320">
      <c r="A320" s="16" t="n"/>
      <c r="B320" s="16" t="n"/>
      <c r="C320" s="17" t="n"/>
      <c r="D320" s="18" t="n"/>
      <c r="E320" s="18" t="n"/>
      <c r="F320" s="16" t="n"/>
      <c r="G320" s="16" t="n"/>
      <c r="H320" s="16" t="n"/>
      <c r="I320" s="17" t="n"/>
      <c r="J320" s="19">
        <f>IF($A320="","",IF($C320="","⚠️ Thiếu ngày làm gần nhất",IF(AND(TODAY()-$C320&lt;=2,$H320&lt;&gt;"Có"),"💬 Cần nhắn hỏi thăm",IF(AND($I320&lt;&gt;"",$I320&gt;=TODAY()),"📅 Đã hẹn "&amp;TEXT($I320,"dd/mm"),IF(TODAY()-$C320&gt;=2*IF($G320="",30,$G320),"🔴 Lâu rồi chưa quay lại",IF(TODAY()-$C320&gt;=IF($G320="",30,$G320),"🟡 Tới kỳ chăm sóc tiếp","🟢 Chưa tới kỳ — chưa cần làm gì"))))))</f>
        <v/>
      </c>
    </row>
    <row r="321">
      <c r="A321" s="16" t="n"/>
      <c r="B321" s="16" t="n"/>
      <c r="C321" s="17" t="n"/>
      <c r="D321" s="18" t="n"/>
      <c r="E321" s="18" t="n"/>
      <c r="F321" s="16" t="n"/>
      <c r="G321" s="16" t="n"/>
      <c r="H321" s="16" t="n"/>
      <c r="I321" s="17" t="n"/>
      <c r="J321" s="19">
        <f>IF($A321="","",IF($C321="","⚠️ Thiếu ngày làm gần nhất",IF(AND(TODAY()-$C321&lt;=2,$H321&lt;&gt;"Có"),"💬 Cần nhắn hỏi thăm",IF(AND($I321&lt;&gt;"",$I321&gt;=TODAY()),"📅 Đã hẹn "&amp;TEXT($I321,"dd/mm"),IF(TODAY()-$C321&gt;=2*IF($G321="",30,$G321),"🔴 Lâu rồi chưa quay lại",IF(TODAY()-$C321&gt;=IF($G321="",30,$G321),"🟡 Tới kỳ chăm sóc tiếp","🟢 Chưa tới kỳ — chưa cần làm gì"))))))</f>
        <v/>
      </c>
    </row>
    <row r="322">
      <c r="A322" s="16" t="n"/>
      <c r="B322" s="16" t="n"/>
      <c r="C322" s="17" t="n"/>
      <c r="D322" s="18" t="n"/>
      <c r="E322" s="18" t="n"/>
      <c r="F322" s="16" t="n"/>
      <c r="G322" s="16" t="n"/>
      <c r="H322" s="16" t="n"/>
      <c r="I322" s="17" t="n"/>
      <c r="J322" s="19">
        <f>IF($A322="","",IF($C322="","⚠️ Thiếu ngày làm gần nhất",IF(AND(TODAY()-$C322&lt;=2,$H322&lt;&gt;"Có"),"💬 Cần nhắn hỏi thăm",IF(AND($I322&lt;&gt;"",$I322&gt;=TODAY()),"📅 Đã hẹn "&amp;TEXT($I322,"dd/mm"),IF(TODAY()-$C322&gt;=2*IF($G322="",30,$G322),"🔴 Lâu rồi chưa quay lại",IF(TODAY()-$C322&gt;=IF($G322="",30,$G322),"🟡 Tới kỳ chăm sóc tiếp","🟢 Chưa tới kỳ — chưa cần làm gì"))))))</f>
        <v/>
      </c>
    </row>
    <row r="323">
      <c r="A323" s="16" t="n"/>
      <c r="B323" s="16" t="n"/>
      <c r="C323" s="17" t="n"/>
      <c r="D323" s="18" t="n"/>
      <c r="E323" s="18" t="n"/>
      <c r="F323" s="16" t="n"/>
      <c r="G323" s="16" t="n"/>
      <c r="H323" s="16" t="n"/>
      <c r="I323" s="17" t="n"/>
      <c r="J323" s="19">
        <f>IF($A323="","",IF($C323="","⚠️ Thiếu ngày làm gần nhất",IF(AND(TODAY()-$C323&lt;=2,$H323&lt;&gt;"Có"),"💬 Cần nhắn hỏi thăm",IF(AND($I323&lt;&gt;"",$I323&gt;=TODAY()),"📅 Đã hẹn "&amp;TEXT($I323,"dd/mm"),IF(TODAY()-$C323&gt;=2*IF($G323="",30,$G323),"🔴 Lâu rồi chưa quay lại",IF(TODAY()-$C323&gt;=IF($G323="",30,$G323),"🟡 Tới kỳ chăm sóc tiếp","🟢 Chưa tới kỳ — chưa cần làm gì"))))))</f>
        <v/>
      </c>
    </row>
    <row r="324">
      <c r="A324" s="16" t="n"/>
      <c r="B324" s="16" t="n"/>
      <c r="C324" s="17" t="n"/>
      <c r="D324" s="18" t="n"/>
      <c r="E324" s="18" t="n"/>
      <c r="F324" s="16" t="n"/>
      <c r="G324" s="16" t="n"/>
      <c r="H324" s="16" t="n"/>
      <c r="I324" s="17" t="n"/>
      <c r="J324" s="19">
        <f>IF($A324="","",IF($C324="","⚠️ Thiếu ngày làm gần nhất",IF(AND(TODAY()-$C324&lt;=2,$H324&lt;&gt;"Có"),"💬 Cần nhắn hỏi thăm",IF(AND($I324&lt;&gt;"",$I324&gt;=TODAY()),"📅 Đã hẹn "&amp;TEXT($I324,"dd/mm"),IF(TODAY()-$C324&gt;=2*IF($G324="",30,$G324),"🔴 Lâu rồi chưa quay lại",IF(TODAY()-$C324&gt;=IF($G324="",30,$G324),"🟡 Tới kỳ chăm sóc tiếp","🟢 Chưa tới kỳ — chưa cần làm gì"))))))</f>
        <v/>
      </c>
    </row>
    <row r="325">
      <c r="A325" s="16" t="n"/>
      <c r="B325" s="16" t="n"/>
      <c r="C325" s="17" t="n"/>
      <c r="D325" s="18" t="n"/>
      <c r="E325" s="18" t="n"/>
      <c r="F325" s="16" t="n"/>
      <c r="G325" s="16" t="n"/>
      <c r="H325" s="16" t="n"/>
      <c r="I325" s="17" t="n"/>
      <c r="J325" s="19">
        <f>IF($A325="","",IF($C325="","⚠️ Thiếu ngày làm gần nhất",IF(AND(TODAY()-$C325&lt;=2,$H325&lt;&gt;"Có"),"💬 Cần nhắn hỏi thăm",IF(AND($I325&lt;&gt;"",$I325&gt;=TODAY()),"📅 Đã hẹn "&amp;TEXT($I325,"dd/mm"),IF(TODAY()-$C325&gt;=2*IF($G325="",30,$G325),"🔴 Lâu rồi chưa quay lại",IF(TODAY()-$C325&gt;=IF($G325="",30,$G325),"🟡 Tới kỳ chăm sóc tiếp","🟢 Chưa tới kỳ — chưa cần làm gì"))))))</f>
        <v/>
      </c>
    </row>
    <row r="326">
      <c r="A326" s="16" t="n"/>
      <c r="B326" s="16" t="n"/>
      <c r="C326" s="17" t="n"/>
      <c r="D326" s="18" t="n"/>
      <c r="E326" s="18" t="n"/>
      <c r="F326" s="16" t="n"/>
      <c r="G326" s="16" t="n"/>
      <c r="H326" s="16" t="n"/>
      <c r="I326" s="17" t="n"/>
      <c r="J326" s="19">
        <f>IF($A326="","",IF($C326="","⚠️ Thiếu ngày làm gần nhất",IF(AND(TODAY()-$C326&lt;=2,$H326&lt;&gt;"Có"),"💬 Cần nhắn hỏi thăm",IF(AND($I326&lt;&gt;"",$I326&gt;=TODAY()),"📅 Đã hẹn "&amp;TEXT($I326,"dd/mm"),IF(TODAY()-$C326&gt;=2*IF($G326="",30,$G326),"🔴 Lâu rồi chưa quay lại",IF(TODAY()-$C326&gt;=IF($G326="",30,$G326),"🟡 Tới kỳ chăm sóc tiếp","🟢 Chưa tới kỳ — chưa cần làm gì"))))))</f>
        <v/>
      </c>
    </row>
    <row r="327">
      <c r="A327" s="16" t="n"/>
      <c r="B327" s="16" t="n"/>
      <c r="C327" s="17" t="n"/>
      <c r="D327" s="18" t="n"/>
      <c r="E327" s="18" t="n"/>
      <c r="F327" s="16" t="n"/>
      <c r="G327" s="16" t="n"/>
      <c r="H327" s="16" t="n"/>
      <c r="I327" s="17" t="n"/>
      <c r="J327" s="19">
        <f>IF($A327="","",IF($C327="","⚠️ Thiếu ngày làm gần nhất",IF(AND(TODAY()-$C327&lt;=2,$H327&lt;&gt;"Có"),"💬 Cần nhắn hỏi thăm",IF(AND($I327&lt;&gt;"",$I327&gt;=TODAY()),"📅 Đã hẹn "&amp;TEXT($I327,"dd/mm"),IF(TODAY()-$C327&gt;=2*IF($G327="",30,$G327),"🔴 Lâu rồi chưa quay lại",IF(TODAY()-$C327&gt;=IF($G327="",30,$G327),"🟡 Tới kỳ chăm sóc tiếp","🟢 Chưa tới kỳ — chưa cần làm gì"))))))</f>
        <v/>
      </c>
    </row>
    <row r="328">
      <c r="A328" s="16" t="n"/>
      <c r="B328" s="16" t="n"/>
      <c r="C328" s="17" t="n"/>
      <c r="D328" s="18" t="n"/>
      <c r="E328" s="18" t="n"/>
      <c r="F328" s="16" t="n"/>
      <c r="G328" s="16" t="n"/>
      <c r="H328" s="16" t="n"/>
      <c r="I328" s="17" t="n"/>
      <c r="J328" s="19">
        <f>IF($A328="","",IF($C328="","⚠️ Thiếu ngày làm gần nhất",IF(AND(TODAY()-$C328&lt;=2,$H328&lt;&gt;"Có"),"💬 Cần nhắn hỏi thăm",IF(AND($I328&lt;&gt;"",$I328&gt;=TODAY()),"📅 Đã hẹn "&amp;TEXT($I328,"dd/mm"),IF(TODAY()-$C328&gt;=2*IF($G328="",30,$G328),"🔴 Lâu rồi chưa quay lại",IF(TODAY()-$C328&gt;=IF($G328="",30,$G328),"🟡 Tới kỳ chăm sóc tiếp","🟢 Chưa tới kỳ — chưa cần làm gì"))))))</f>
        <v/>
      </c>
    </row>
    <row r="329">
      <c r="A329" s="16" t="n"/>
      <c r="B329" s="16" t="n"/>
      <c r="C329" s="17" t="n"/>
      <c r="D329" s="18" t="n"/>
      <c r="E329" s="18" t="n"/>
      <c r="F329" s="16" t="n"/>
      <c r="G329" s="16" t="n"/>
      <c r="H329" s="16" t="n"/>
      <c r="I329" s="17" t="n"/>
      <c r="J329" s="19">
        <f>IF($A329="","",IF($C329="","⚠️ Thiếu ngày làm gần nhất",IF(AND(TODAY()-$C329&lt;=2,$H329&lt;&gt;"Có"),"💬 Cần nhắn hỏi thăm",IF(AND($I329&lt;&gt;"",$I329&gt;=TODAY()),"📅 Đã hẹn "&amp;TEXT($I329,"dd/mm"),IF(TODAY()-$C329&gt;=2*IF($G329="",30,$G329),"🔴 Lâu rồi chưa quay lại",IF(TODAY()-$C329&gt;=IF($G329="",30,$G329),"🟡 Tới kỳ chăm sóc tiếp","🟢 Chưa tới kỳ — chưa cần làm gì"))))))</f>
        <v/>
      </c>
    </row>
    <row r="330">
      <c r="A330" s="16" t="n"/>
      <c r="B330" s="16" t="n"/>
      <c r="C330" s="17" t="n"/>
      <c r="D330" s="18" t="n"/>
      <c r="E330" s="18" t="n"/>
      <c r="F330" s="16" t="n"/>
      <c r="G330" s="16" t="n"/>
      <c r="H330" s="16" t="n"/>
      <c r="I330" s="17" t="n"/>
      <c r="J330" s="19">
        <f>IF($A330="","",IF($C330="","⚠️ Thiếu ngày làm gần nhất",IF(AND(TODAY()-$C330&lt;=2,$H330&lt;&gt;"Có"),"💬 Cần nhắn hỏi thăm",IF(AND($I330&lt;&gt;"",$I330&gt;=TODAY()),"📅 Đã hẹn "&amp;TEXT($I330,"dd/mm"),IF(TODAY()-$C330&gt;=2*IF($G330="",30,$G330),"🔴 Lâu rồi chưa quay lại",IF(TODAY()-$C330&gt;=IF($G330="",30,$G330),"🟡 Tới kỳ chăm sóc tiếp","🟢 Chưa tới kỳ — chưa cần làm gì"))))))</f>
        <v/>
      </c>
    </row>
    <row r="331">
      <c r="A331" s="16" t="n"/>
      <c r="B331" s="16" t="n"/>
      <c r="C331" s="17" t="n"/>
      <c r="D331" s="18" t="n"/>
      <c r="E331" s="18" t="n"/>
      <c r="F331" s="16" t="n"/>
      <c r="G331" s="16" t="n"/>
      <c r="H331" s="16" t="n"/>
      <c r="I331" s="17" t="n"/>
      <c r="J331" s="19">
        <f>IF($A331="","",IF($C331="","⚠️ Thiếu ngày làm gần nhất",IF(AND(TODAY()-$C331&lt;=2,$H331&lt;&gt;"Có"),"💬 Cần nhắn hỏi thăm",IF(AND($I331&lt;&gt;"",$I331&gt;=TODAY()),"📅 Đã hẹn "&amp;TEXT($I331,"dd/mm"),IF(TODAY()-$C331&gt;=2*IF($G331="",30,$G331),"🔴 Lâu rồi chưa quay lại",IF(TODAY()-$C331&gt;=IF($G331="",30,$G331),"🟡 Tới kỳ chăm sóc tiếp","🟢 Chưa tới kỳ — chưa cần làm gì"))))))</f>
        <v/>
      </c>
    </row>
    <row r="332">
      <c r="A332" s="16" t="n"/>
      <c r="B332" s="16" t="n"/>
      <c r="C332" s="17" t="n"/>
      <c r="D332" s="18" t="n"/>
      <c r="E332" s="18" t="n"/>
      <c r="F332" s="16" t="n"/>
      <c r="G332" s="16" t="n"/>
      <c r="H332" s="16" t="n"/>
      <c r="I332" s="17" t="n"/>
      <c r="J332" s="19">
        <f>IF($A332="","",IF($C332="","⚠️ Thiếu ngày làm gần nhất",IF(AND(TODAY()-$C332&lt;=2,$H332&lt;&gt;"Có"),"💬 Cần nhắn hỏi thăm",IF(AND($I332&lt;&gt;"",$I332&gt;=TODAY()),"📅 Đã hẹn "&amp;TEXT($I332,"dd/mm"),IF(TODAY()-$C332&gt;=2*IF($G332="",30,$G332),"🔴 Lâu rồi chưa quay lại",IF(TODAY()-$C332&gt;=IF($G332="",30,$G332),"🟡 Tới kỳ chăm sóc tiếp","🟢 Chưa tới kỳ — chưa cần làm gì"))))))</f>
        <v/>
      </c>
    </row>
    <row r="333">
      <c r="A333" s="16" t="n"/>
      <c r="B333" s="16" t="n"/>
      <c r="C333" s="17" t="n"/>
      <c r="D333" s="18" t="n"/>
      <c r="E333" s="18" t="n"/>
      <c r="F333" s="16" t="n"/>
      <c r="G333" s="16" t="n"/>
      <c r="H333" s="16" t="n"/>
      <c r="I333" s="17" t="n"/>
      <c r="J333" s="19">
        <f>IF($A333="","",IF($C333="","⚠️ Thiếu ngày làm gần nhất",IF(AND(TODAY()-$C333&lt;=2,$H333&lt;&gt;"Có"),"💬 Cần nhắn hỏi thăm",IF(AND($I333&lt;&gt;"",$I333&gt;=TODAY()),"📅 Đã hẹn "&amp;TEXT($I333,"dd/mm"),IF(TODAY()-$C333&gt;=2*IF($G333="",30,$G333),"🔴 Lâu rồi chưa quay lại",IF(TODAY()-$C333&gt;=IF($G333="",30,$G333),"🟡 Tới kỳ chăm sóc tiếp","🟢 Chưa tới kỳ — chưa cần làm gì"))))))</f>
        <v/>
      </c>
    </row>
    <row r="334">
      <c r="A334" s="16" t="n"/>
      <c r="B334" s="16" t="n"/>
      <c r="C334" s="17" t="n"/>
      <c r="D334" s="18" t="n"/>
      <c r="E334" s="18" t="n"/>
      <c r="F334" s="16" t="n"/>
      <c r="G334" s="16" t="n"/>
      <c r="H334" s="16" t="n"/>
      <c r="I334" s="17" t="n"/>
      <c r="J334" s="19">
        <f>IF($A334="","",IF($C334="","⚠️ Thiếu ngày làm gần nhất",IF(AND(TODAY()-$C334&lt;=2,$H334&lt;&gt;"Có"),"💬 Cần nhắn hỏi thăm",IF(AND($I334&lt;&gt;"",$I334&gt;=TODAY()),"📅 Đã hẹn "&amp;TEXT($I334,"dd/mm"),IF(TODAY()-$C334&gt;=2*IF($G334="",30,$G334),"🔴 Lâu rồi chưa quay lại",IF(TODAY()-$C334&gt;=IF($G334="",30,$G334),"🟡 Tới kỳ chăm sóc tiếp","🟢 Chưa tới kỳ — chưa cần làm gì"))))))</f>
        <v/>
      </c>
    </row>
    <row r="335">
      <c r="A335" s="16" t="n"/>
      <c r="B335" s="16" t="n"/>
      <c r="C335" s="17" t="n"/>
      <c r="D335" s="18" t="n"/>
      <c r="E335" s="18" t="n"/>
      <c r="F335" s="16" t="n"/>
      <c r="G335" s="16" t="n"/>
      <c r="H335" s="16" t="n"/>
      <c r="I335" s="17" t="n"/>
      <c r="J335" s="19">
        <f>IF($A335="","",IF($C335="","⚠️ Thiếu ngày làm gần nhất",IF(AND(TODAY()-$C335&lt;=2,$H335&lt;&gt;"Có"),"💬 Cần nhắn hỏi thăm",IF(AND($I335&lt;&gt;"",$I335&gt;=TODAY()),"📅 Đã hẹn "&amp;TEXT($I335,"dd/mm"),IF(TODAY()-$C335&gt;=2*IF($G335="",30,$G335),"🔴 Lâu rồi chưa quay lại",IF(TODAY()-$C335&gt;=IF($G335="",30,$G335),"🟡 Tới kỳ chăm sóc tiếp","🟢 Chưa tới kỳ — chưa cần làm gì"))))))</f>
        <v/>
      </c>
    </row>
    <row r="336">
      <c r="A336" s="16" t="n"/>
      <c r="B336" s="16" t="n"/>
      <c r="C336" s="17" t="n"/>
      <c r="D336" s="18" t="n"/>
      <c r="E336" s="18" t="n"/>
      <c r="F336" s="16" t="n"/>
      <c r="G336" s="16" t="n"/>
      <c r="H336" s="16" t="n"/>
      <c r="I336" s="17" t="n"/>
      <c r="J336" s="19">
        <f>IF($A336="","",IF($C336="","⚠️ Thiếu ngày làm gần nhất",IF(AND(TODAY()-$C336&lt;=2,$H336&lt;&gt;"Có"),"💬 Cần nhắn hỏi thăm",IF(AND($I336&lt;&gt;"",$I336&gt;=TODAY()),"📅 Đã hẹn "&amp;TEXT($I336,"dd/mm"),IF(TODAY()-$C336&gt;=2*IF($G336="",30,$G336),"🔴 Lâu rồi chưa quay lại",IF(TODAY()-$C336&gt;=IF($G336="",30,$G336),"🟡 Tới kỳ chăm sóc tiếp","🟢 Chưa tới kỳ — chưa cần làm gì"))))))</f>
        <v/>
      </c>
    </row>
    <row r="337">
      <c r="A337" s="16" t="n"/>
      <c r="B337" s="16" t="n"/>
      <c r="C337" s="17" t="n"/>
      <c r="D337" s="18" t="n"/>
      <c r="E337" s="18" t="n"/>
      <c r="F337" s="16" t="n"/>
      <c r="G337" s="16" t="n"/>
      <c r="H337" s="16" t="n"/>
      <c r="I337" s="17" t="n"/>
      <c r="J337" s="19">
        <f>IF($A337="","",IF($C337="","⚠️ Thiếu ngày làm gần nhất",IF(AND(TODAY()-$C337&lt;=2,$H337&lt;&gt;"Có"),"💬 Cần nhắn hỏi thăm",IF(AND($I337&lt;&gt;"",$I337&gt;=TODAY()),"📅 Đã hẹn "&amp;TEXT($I337,"dd/mm"),IF(TODAY()-$C337&gt;=2*IF($G337="",30,$G337),"🔴 Lâu rồi chưa quay lại",IF(TODAY()-$C337&gt;=IF($G337="",30,$G337),"🟡 Tới kỳ chăm sóc tiếp","🟢 Chưa tới kỳ — chưa cần làm gì"))))))</f>
        <v/>
      </c>
    </row>
    <row r="338">
      <c r="A338" s="16" t="n"/>
      <c r="B338" s="16" t="n"/>
      <c r="C338" s="17" t="n"/>
      <c r="D338" s="18" t="n"/>
      <c r="E338" s="18" t="n"/>
      <c r="F338" s="16" t="n"/>
      <c r="G338" s="16" t="n"/>
      <c r="H338" s="16" t="n"/>
      <c r="I338" s="17" t="n"/>
      <c r="J338" s="19">
        <f>IF($A338="","",IF($C338="","⚠️ Thiếu ngày làm gần nhất",IF(AND(TODAY()-$C338&lt;=2,$H338&lt;&gt;"Có"),"💬 Cần nhắn hỏi thăm",IF(AND($I338&lt;&gt;"",$I338&gt;=TODAY()),"📅 Đã hẹn "&amp;TEXT($I338,"dd/mm"),IF(TODAY()-$C338&gt;=2*IF($G338="",30,$G338),"🔴 Lâu rồi chưa quay lại",IF(TODAY()-$C338&gt;=IF($G338="",30,$G338),"🟡 Tới kỳ chăm sóc tiếp","🟢 Chưa tới kỳ — chưa cần làm gì"))))))</f>
        <v/>
      </c>
    </row>
    <row r="339">
      <c r="A339" s="16" t="n"/>
      <c r="B339" s="16" t="n"/>
      <c r="C339" s="17" t="n"/>
      <c r="D339" s="18" t="n"/>
      <c r="E339" s="18" t="n"/>
      <c r="F339" s="16" t="n"/>
      <c r="G339" s="16" t="n"/>
      <c r="H339" s="16" t="n"/>
      <c r="I339" s="17" t="n"/>
      <c r="J339" s="19">
        <f>IF($A339="","",IF($C339="","⚠️ Thiếu ngày làm gần nhất",IF(AND(TODAY()-$C339&lt;=2,$H339&lt;&gt;"Có"),"💬 Cần nhắn hỏi thăm",IF(AND($I339&lt;&gt;"",$I339&gt;=TODAY()),"📅 Đã hẹn "&amp;TEXT($I339,"dd/mm"),IF(TODAY()-$C339&gt;=2*IF($G339="",30,$G339),"🔴 Lâu rồi chưa quay lại",IF(TODAY()-$C339&gt;=IF($G339="",30,$G339),"🟡 Tới kỳ chăm sóc tiếp","🟢 Chưa tới kỳ — chưa cần làm gì"))))))</f>
        <v/>
      </c>
    </row>
    <row r="340">
      <c r="A340" s="16" t="n"/>
      <c r="B340" s="16" t="n"/>
      <c r="C340" s="17" t="n"/>
      <c r="D340" s="18" t="n"/>
      <c r="E340" s="18" t="n"/>
      <c r="F340" s="16" t="n"/>
      <c r="G340" s="16" t="n"/>
      <c r="H340" s="16" t="n"/>
      <c r="I340" s="17" t="n"/>
      <c r="J340" s="19">
        <f>IF($A340="","",IF($C340="","⚠️ Thiếu ngày làm gần nhất",IF(AND(TODAY()-$C340&lt;=2,$H340&lt;&gt;"Có"),"💬 Cần nhắn hỏi thăm",IF(AND($I340&lt;&gt;"",$I340&gt;=TODAY()),"📅 Đã hẹn "&amp;TEXT($I340,"dd/mm"),IF(TODAY()-$C340&gt;=2*IF($G340="",30,$G340),"🔴 Lâu rồi chưa quay lại",IF(TODAY()-$C340&gt;=IF($G340="",30,$G340),"🟡 Tới kỳ chăm sóc tiếp","🟢 Chưa tới kỳ — chưa cần làm gì"))))))</f>
        <v/>
      </c>
    </row>
    <row r="341">
      <c r="A341" s="16" t="n"/>
      <c r="B341" s="16" t="n"/>
      <c r="C341" s="17" t="n"/>
      <c r="D341" s="18" t="n"/>
      <c r="E341" s="18" t="n"/>
      <c r="F341" s="16" t="n"/>
      <c r="G341" s="16" t="n"/>
      <c r="H341" s="16" t="n"/>
      <c r="I341" s="17" t="n"/>
      <c r="J341" s="19">
        <f>IF($A341="","",IF($C341="","⚠️ Thiếu ngày làm gần nhất",IF(AND(TODAY()-$C341&lt;=2,$H341&lt;&gt;"Có"),"💬 Cần nhắn hỏi thăm",IF(AND($I341&lt;&gt;"",$I341&gt;=TODAY()),"📅 Đã hẹn "&amp;TEXT($I341,"dd/mm"),IF(TODAY()-$C341&gt;=2*IF($G341="",30,$G341),"🔴 Lâu rồi chưa quay lại",IF(TODAY()-$C341&gt;=IF($G341="",30,$G341),"🟡 Tới kỳ chăm sóc tiếp","🟢 Chưa tới kỳ — chưa cần làm gì"))))))</f>
        <v/>
      </c>
    </row>
    <row r="342">
      <c r="A342" s="16" t="n"/>
      <c r="B342" s="16" t="n"/>
      <c r="C342" s="17" t="n"/>
      <c r="D342" s="18" t="n"/>
      <c r="E342" s="18" t="n"/>
      <c r="F342" s="16" t="n"/>
      <c r="G342" s="16" t="n"/>
      <c r="H342" s="16" t="n"/>
      <c r="I342" s="17" t="n"/>
      <c r="J342" s="19">
        <f>IF($A342="","",IF($C342="","⚠️ Thiếu ngày làm gần nhất",IF(AND(TODAY()-$C342&lt;=2,$H342&lt;&gt;"Có"),"💬 Cần nhắn hỏi thăm",IF(AND($I342&lt;&gt;"",$I342&gt;=TODAY()),"📅 Đã hẹn "&amp;TEXT($I342,"dd/mm"),IF(TODAY()-$C342&gt;=2*IF($G342="",30,$G342),"🔴 Lâu rồi chưa quay lại",IF(TODAY()-$C342&gt;=IF($G342="",30,$G342),"🟡 Tới kỳ chăm sóc tiếp","🟢 Chưa tới kỳ — chưa cần làm gì"))))))</f>
        <v/>
      </c>
    </row>
    <row r="343">
      <c r="A343" s="16" t="n"/>
      <c r="B343" s="16" t="n"/>
      <c r="C343" s="17" t="n"/>
      <c r="D343" s="18" t="n"/>
      <c r="E343" s="18" t="n"/>
      <c r="F343" s="16" t="n"/>
      <c r="G343" s="16" t="n"/>
      <c r="H343" s="16" t="n"/>
      <c r="I343" s="17" t="n"/>
      <c r="J343" s="19">
        <f>IF($A343="","",IF($C343="","⚠️ Thiếu ngày làm gần nhất",IF(AND(TODAY()-$C343&lt;=2,$H343&lt;&gt;"Có"),"💬 Cần nhắn hỏi thăm",IF(AND($I343&lt;&gt;"",$I343&gt;=TODAY()),"📅 Đã hẹn "&amp;TEXT($I343,"dd/mm"),IF(TODAY()-$C343&gt;=2*IF($G343="",30,$G343),"🔴 Lâu rồi chưa quay lại",IF(TODAY()-$C343&gt;=IF($G343="",30,$G343),"🟡 Tới kỳ chăm sóc tiếp","🟢 Chưa tới kỳ — chưa cần làm gì"))))))</f>
        <v/>
      </c>
    </row>
    <row r="344">
      <c r="A344" s="16" t="n"/>
      <c r="B344" s="16" t="n"/>
      <c r="C344" s="17" t="n"/>
      <c r="D344" s="18" t="n"/>
      <c r="E344" s="18" t="n"/>
      <c r="F344" s="16" t="n"/>
      <c r="G344" s="16" t="n"/>
      <c r="H344" s="16" t="n"/>
      <c r="I344" s="17" t="n"/>
      <c r="J344" s="19">
        <f>IF($A344="","",IF($C344="","⚠️ Thiếu ngày làm gần nhất",IF(AND(TODAY()-$C344&lt;=2,$H344&lt;&gt;"Có"),"💬 Cần nhắn hỏi thăm",IF(AND($I344&lt;&gt;"",$I344&gt;=TODAY()),"📅 Đã hẹn "&amp;TEXT($I344,"dd/mm"),IF(TODAY()-$C344&gt;=2*IF($G344="",30,$G344),"🔴 Lâu rồi chưa quay lại",IF(TODAY()-$C344&gt;=IF($G344="",30,$G344),"🟡 Tới kỳ chăm sóc tiếp","🟢 Chưa tới kỳ — chưa cần làm gì"))))))</f>
        <v/>
      </c>
    </row>
    <row r="345">
      <c r="A345" s="16" t="n"/>
      <c r="B345" s="16" t="n"/>
      <c r="C345" s="17" t="n"/>
      <c r="D345" s="18" t="n"/>
      <c r="E345" s="18" t="n"/>
      <c r="F345" s="16" t="n"/>
      <c r="G345" s="16" t="n"/>
      <c r="H345" s="16" t="n"/>
      <c r="I345" s="17" t="n"/>
      <c r="J345" s="19">
        <f>IF($A345="","",IF($C345="","⚠️ Thiếu ngày làm gần nhất",IF(AND(TODAY()-$C345&lt;=2,$H345&lt;&gt;"Có"),"💬 Cần nhắn hỏi thăm",IF(AND($I345&lt;&gt;"",$I345&gt;=TODAY()),"📅 Đã hẹn "&amp;TEXT($I345,"dd/mm"),IF(TODAY()-$C345&gt;=2*IF($G345="",30,$G345),"🔴 Lâu rồi chưa quay lại",IF(TODAY()-$C345&gt;=IF($G345="",30,$G345),"🟡 Tới kỳ chăm sóc tiếp","🟢 Chưa tới kỳ — chưa cần làm gì"))))))</f>
        <v/>
      </c>
    </row>
    <row r="346">
      <c r="A346" s="16" t="n"/>
      <c r="B346" s="16" t="n"/>
      <c r="C346" s="17" t="n"/>
      <c r="D346" s="18" t="n"/>
      <c r="E346" s="18" t="n"/>
      <c r="F346" s="16" t="n"/>
      <c r="G346" s="16" t="n"/>
      <c r="H346" s="16" t="n"/>
      <c r="I346" s="17" t="n"/>
      <c r="J346" s="19">
        <f>IF($A346="","",IF($C346="","⚠️ Thiếu ngày làm gần nhất",IF(AND(TODAY()-$C346&lt;=2,$H346&lt;&gt;"Có"),"💬 Cần nhắn hỏi thăm",IF(AND($I346&lt;&gt;"",$I346&gt;=TODAY()),"📅 Đã hẹn "&amp;TEXT($I346,"dd/mm"),IF(TODAY()-$C346&gt;=2*IF($G346="",30,$G346),"🔴 Lâu rồi chưa quay lại",IF(TODAY()-$C346&gt;=IF($G346="",30,$G346),"🟡 Tới kỳ chăm sóc tiếp","🟢 Chưa tới kỳ — chưa cần làm gì"))))))</f>
        <v/>
      </c>
    </row>
    <row r="347">
      <c r="A347" s="16" t="n"/>
      <c r="B347" s="16" t="n"/>
      <c r="C347" s="17" t="n"/>
      <c r="D347" s="18" t="n"/>
      <c r="E347" s="18" t="n"/>
      <c r="F347" s="16" t="n"/>
      <c r="G347" s="16" t="n"/>
      <c r="H347" s="16" t="n"/>
      <c r="I347" s="17" t="n"/>
      <c r="J347" s="19">
        <f>IF($A347="","",IF($C347="","⚠️ Thiếu ngày làm gần nhất",IF(AND(TODAY()-$C347&lt;=2,$H347&lt;&gt;"Có"),"💬 Cần nhắn hỏi thăm",IF(AND($I347&lt;&gt;"",$I347&gt;=TODAY()),"📅 Đã hẹn "&amp;TEXT($I347,"dd/mm"),IF(TODAY()-$C347&gt;=2*IF($G347="",30,$G347),"🔴 Lâu rồi chưa quay lại",IF(TODAY()-$C347&gt;=IF($G347="",30,$G347),"🟡 Tới kỳ chăm sóc tiếp","🟢 Chưa tới kỳ — chưa cần làm gì"))))))</f>
        <v/>
      </c>
    </row>
    <row r="348">
      <c r="A348" s="16" t="n"/>
      <c r="B348" s="16" t="n"/>
      <c r="C348" s="17" t="n"/>
      <c r="D348" s="18" t="n"/>
      <c r="E348" s="18" t="n"/>
      <c r="F348" s="16" t="n"/>
      <c r="G348" s="16" t="n"/>
      <c r="H348" s="16" t="n"/>
      <c r="I348" s="17" t="n"/>
      <c r="J348" s="19">
        <f>IF($A348="","",IF($C348="","⚠️ Thiếu ngày làm gần nhất",IF(AND(TODAY()-$C348&lt;=2,$H348&lt;&gt;"Có"),"💬 Cần nhắn hỏi thăm",IF(AND($I348&lt;&gt;"",$I348&gt;=TODAY()),"📅 Đã hẹn "&amp;TEXT($I348,"dd/mm"),IF(TODAY()-$C348&gt;=2*IF($G348="",30,$G348),"🔴 Lâu rồi chưa quay lại",IF(TODAY()-$C348&gt;=IF($G348="",30,$G348),"🟡 Tới kỳ chăm sóc tiếp","🟢 Chưa tới kỳ — chưa cần làm gì"))))))</f>
        <v/>
      </c>
    </row>
    <row r="349">
      <c r="A349" s="16" t="n"/>
      <c r="B349" s="16" t="n"/>
      <c r="C349" s="17" t="n"/>
      <c r="D349" s="18" t="n"/>
      <c r="E349" s="18" t="n"/>
      <c r="F349" s="16" t="n"/>
      <c r="G349" s="16" t="n"/>
      <c r="H349" s="16" t="n"/>
      <c r="I349" s="17" t="n"/>
      <c r="J349" s="19">
        <f>IF($A349="","",IF($C349="","⚠️ Thiếu ngày làm gần nhất",IF(AND(TODAY()-$C349&lt;=2,$H349&lt;&gt;"Có"),"💬 Cần nhắn hỏi thăm",IF(AND($I349&lt;&gt;"",$I349&gt;=TODAY()),"📅 Đã hẹn "&amp;TEXT($I349,"dd/mm"),IF(TODAY()-$C349&gt;=2*IF($G349="",30,$G349),"🔴 Lâu rồi chưa quay lại",IF(TODAY()-$C349&gt;=IF($G349="",30,$G349),"🟡 Tới kỳ chăm sóc tiếp","🟢 Chưa tới kỳ — chưa cần làm gì"))))))</f>
        <v/>
      </c>
    </row>
    <row r="350">
      <c r="A350" s="16" t="n"/>
      <c r="B350" s="16" t="n"/>
      <c r="C350" s="17" t="n"/>
      <c r="D350" s="18" t="n"/>
      <c r="E350" s="18" t="n"/>
      <c r="F350" s="16" t="n"/>
      <c r="G350" s="16" t="n"/>
      <c r="H350" s="16" t="n"/>
      <c r="I350" s="17" t="n"/>
      <c r="J350" s="19">
        <f>IF($A350="","",IF($C350="","⚠️ Thiếu ngày làm gần nhất",IF(AND(TODAY()-$C350&lt;=2,$H350&lt;&gt;"Có"),"💬 Cần nhắn hỏi thăm",IF(AND($I350&lt;&gt;"",$I350&gt;=TODAY()),"📅 Đã hẹn "&amp;TEXT($I350,"dd/mm"),IF(TODAY()-$C350&gt;=2*IF($G350="",30,$G350),"🔴 Lâu rồi chưa quay lại",IF(TODAY()-$C350&gt;=IF($G350="",30,$G350),"🟡 Tới kỳ chăm sóc tiếp","🟢 Chưa tới kỳ — chưa cần làm gì"))))))</f>
        <v/>
      </c>
    </row>
    <row r="351">
      <c r="A351" s="16" t="n"/>
      <c r="B351" s="16" t="n"/>
      <c r="C351" s="17" t="n"/>
      <c r="D351" s="18" t="n"/>
      <c r="E351" s="18" t="n"/>
      <c r="F351" s="16" t="n"/>
      <c r="G351" s="16" t="n"/>
      <c r="H351" s="16" t="n"/>
      <c r="I351" s="17" t="n"/>
      <c r="J351" s="19">
        <f>IF($A351="","",IF($C351="","⚠️ Thiếu ngày làm gần nhất",IF(AND(TODAY()-$C351&lt;=2,$H351&lt;&gt;"Có"),"💬 Cần nhắn hỏi thăm",IF(AND($I351&lt;&gt;"",$I351&gt;=TODAY()),"📅 Đã hẹn "&amp;TEXT($I351,"dd/mm"),IF(TODAY()-$C351&gt;=2*IF($G351="",30,$G351),"🔴 Lâu rồi chưa quay lại",IF(TODAY()-$C351&gt;=IF($G351="",30,$G351),"🟡 Tới kỳ chăm sóc tiếp","🟢 Chưa tới kỳ — chưa cần làm gì"))))))</f>
        <v/>
      </c>
    </row>
    <row r="352">
      <c r="A352" s="16" t="n"/>
      <c r="B352" s="16" t="n"/>
      <c r="C352" s="17" t="n"/>
      <c r="D352" s="18" t="n"/>
      <c r="E352" s="18" t="n"/>
      <c r="F352" s="16" t="n"/>
      <c r="G352" s="16" t="n"/>
      <c r="H352" s="16" t="n"/>
      <c r="I352" s="17" t="n"/>
      <c r="J352" s="19">
        <f>IF($A352="","",IF($C352="","⚠️ Thiếu ngày làm gần nhất",IF(AND(TODAY()-$C352&lt;=2,$H352&lt;&gt;"Có"),"💬 Cần nhắn hỏi thăm",IF(AND($I352&lt;&gt;"",$I352&gt;=TODAY()),"📅 Đã hẹn "&amp;TEXT($I352,"dd/mm"),IF(TODAY()-$C352&gt;=2*IF($G352="",30,$G352),"🔴 Lâu rồi chưa quay lại",IF(TODAY()-$C352&gt;=IF($G352="",30,$G352),"🟡 Tới kỳ chăm sóc tiếp","🟢 Chưa tới kỳ — chưa cần làm gì"))))))</f>
        <v/>
      </c>
    </row>
    <row r="353">
      <c r="A353" s="16" t="n"/>
      <c r="B353" s="16" t="n"/>
      <c r="C353" s="17" t="n"/>
      <c r="D353" s="18" t="n"/>
      <c r="E353" s="18" t="n"/>
      <c r="F353" s="16" t="n"/>
      <c r="G353" s="16" t="n"/>
      <c r="H353" s="16" t="n"/>
      <c r="I353" s="17" t="n"/>
      <c r="J353" s="19">
        <f>IF($A353="","",IF($C353="","⚠️ Thiếu ngày làm gần nhất",IF(AND(TODAY()-$C353&lt;=2,$H353&lt;&gt;"Có"),"💬 Cần nhắn hỏi thăm",IF(AND($I353&lt;&gt;"",$I353&gt;=TODAY()),"📅 Đã hẹn "&amp;TEXT($I353,"dd/mm"),IF(TODAY()-$C353&gt;=2*IF($G353="",30,$G353),"🔴 Lâu rồi chưa quay lại",IF(TODAY()-$C353&gt;=IF($G353="",30,$G353),"🟡 Tới kỳ chăm sóc tiếp","🟢 Chưa tới kỳ — chưa cần làm gì"))))))</f>
        <v/>
      </c>
    </row>
    <row r="354">
      <c r="A354" s="16" t="n"/>
      <c r="B354" s="16" t="n"/>
      <c r="C354" s="17" t="n"/>
      <c r="D354" s="18" t="n"/>
      <c r="E354" s="18" t="n"/>
      <c r="F354" s="16" t="n"/>
      <c r="G354" s="16" t="n"/>
      <c r="H354" s="16" t="n"/>
      <c r="I354" s="17" t="n"/>
      <c r="J354" s="19">
        <f>IF($A354="","",IF($C354="","⚠️ Thiếu ngày làm gần nhất",IF(AND(TODAY()-$C354&lt;=2,$H354&lt;&gt;"Có"),"💬 Cần nhắn hỏi thăm",IF(AND($I354&lt;&gt;"",$I354&gt;=TODAY()),"📅 Đã hẹn "&amp;TEXT($I354,"dd/mm"),IF(TODAY()-$C354&gt;=2*IF($G354="",30,$G354),"🔴 Lâu rồi chưa quay lại",IF(TODAY()-$C354&gt;=IF($G354="",30,$G354),"🟡 Tới kỳ chăm sóc tiếp","🟢 Chưa tới kỳ — chưa cần làm gì"))))))</f>
        <v/>
      </c>
    </row>
    <row r="355">
      <c r="A355" s="16" t="n"/>
      <c r="B355" s="16" t="n"/>
      <c r="C355" s="17" t="n"/>
      <c r="D355" s="18" t="n"/>
      <c r="E355" s="18" t="n"/>
      <c r="F355" s="16" t="n"/>
      <c r="G355" s="16" t="n"/>
      <c r="H355" s="16" t="n"/>
      <c r="I355" s="17" t="n"/>
      <c r="J355" s="19">
        <f>IF($A355="","",IF($C355="","⚠️ Thiếu ngày làm gần nhất",IF(AND(TODAY()-$C355&lt;=2,$H355&lt;&gt;"Có"),"💬 Cần nhắn hỏi thăm",IF(AND($I355&lt;&gt;"",$I355&gt;=TODAY()),"📅 Đã hẹn "&amp;TEXT($I355,"dd/mm"),IF(TODAY()-$C355&gt;=2*IF($G355="",30,$G355),"🔴 Lâu rồi chưa quay lại",IF(TODAY()-$C355&gt;=IF($G355="",30,$G355),"🟡 Tới kỳ chăm sóc tiếp","🟢 Chưa tới kỳ — chưa cần làm gì"))))))</f>
        <v/>
      </c>
    </row>
    <row r="356">
      <c r="A356" s="16" t="n"/>
      <c r="B356" s="16" t="n"/>
      <c r="C356" s="17" t="n"/>
      <c r="D356" s="18" t="n"/>
      <c r="E356" s="18" t="n"/>
      <c r="F356" s="16" t="n"/>
      <c r="G356" s="16" t="n"/>
      <c r="H356" s="16" t="n"/>
      <c r="I356" s="17" t="n"/>
      <c r="J356" s="19">
        <f>IF($A356="","",IF($C356="","⚠️ Thiếu ngày làm gần nhất",IF(AND(TODAY()-$C356&lt;=2,$H356&lt;&gt;"Có"),"💬 Cần nhắn hỏi thăm",IF(AND($I356&lt;&gt;"",$I356&gt;=TODAY()),"📅 Đã hẹn "&amp;TEXT($I356,"dd/mm"),IF(TODAY()-$C356&gt;=2*IF($G356="",30,$G356),"🔴 Lâu rồi chưa quay lại",IF(TODAY()-$C356&gt;=IF($G356="",30,$G356),"🟡 Tới kỳ chăm sóc tiếp","🟢 Chưa tới kỳ — chưa cần làm gì"))))))</f>
        <v/>
      </c>
    </row>
    <row r="357">
      <c r="A357" s="16" t="n"/>
      <c r="B357" s="16" t="n"/>
      <c r="C357" s="17" t="n"/>
      <c r="D357" s="18" t="n"/>
      <c r="E357" s="18" t="n"/>
      <c r="F357" s="16" t="n"/>
      <c r="G357" s="16" t="n"/>
      <c r="H357" s="16" t="n"/>
      <c r="I357" s="17" t="n"/>
      <c r="J357" s="19">
        <f>IF($A357="","",IF($C357="","⚠️ Thiếu ngày làm gần nhất",IF(AND(TODAY()-$C357&lt;=2,$H357&lt;&gt;"Có"),"💬 Cần nhắn hỏi thăm",IF(AND($I357&lt;&gt;"",$I357&gt;=TODAY()),"📅 Đã hẹn "&amp;TEXT($I357,"dd/mm"),IF(TODAY()-$C357&gt;=2*IF($G357="",30,$G357),"🔴 Lâu rồi chưa quay lại",IF(TODAY()-$C357&gt;=IF($G357="",30,$G357),"🟡 Tới kỳ chăm sóc tiếp","🟢 Chưa tới kỳ — chưa cần làm gì"))))))</f>
        <v/>
      </c>
    </row>
    <row r="358">
      <c r="A358" s="16" t="n"/>
      <c r="B358" s="16" t="n"/>
      <c r="C358" s="17" t="n"/>
      <c r="D358" s="18" t="n"/>
      <c r="E358" s="18" t="n"/>
      <c r="F358" s="16" t="n"/>
      <c r="G358" s="16" t="n"/>
      <c r="H358" s="16" t="n"/>
      <c r="I358" s="17" t="n"/>
      <c r="J358" s="19">
        <f>IF($A358="","",IF($C358="","⚠️ Thiếu ngày làm gần nhất",IF(AND(TODAY()-$C358&lt;=2,$H358&lt;&gt;"Có"),"💬 Cần nhắn hỏi thăm",IF(AND($I358&lt;&gt;"",$I358&gt;=TODAY()),"📅 Đã hẹn "&amp;TEXT($I358,"dd/mm"),IF(TODAY()-$C358&gt;=2*IF($G358="",30,$G358),"🔴 Lâu rồi chưa quay lại",IF(TODAY()-$C358&gt;=IF($G358="",30,$G358),"🟡 Tới kỳ chăm sóc tiếp","🟢 Chưa tới kỳ — chưa cần làm gì"))))))</f>
        <v/>
      </c>
    </row>
    <row r="359">
      <c r="A359" s="16" t="n"/>
      <c r="B359" s="16" t="n"/>
      <c r="C359" s="17" t="n"/>
      <c r="D359" s="18" t="n"/>
      <c r="E359" s="18" t="n"/>
      <c r="F359" s="16" t="n"/>
      <c r="G359" s="16" t="n"/>
      <c r="H359" s="16" t="n"/>
      <c r="I359" s="17" t="n"/>
      <c r="J359" s="19">
        <f>IF($A359="","",IF($C359="","⚠️ Thiếu ngày làm gần nhất",IF(AND(TODAY()-$C359&lt;=2,$H359&lt;&gt;"Có"),"💬 Cần nhắn hỏi thăm",IF(AND($I359&lt;&gt;"",$I359&gt;=TODAY()),"📅 Đã hẹn "&amp;TEXT($I359,"dd/mm"),IF(TODAY()-$C359&gt;=2*IF($G359="",30,$G359),"🔴 Lâu rồi chưa quay lại",IF(TODAY()-$C359&gt;=IF($G359="",30,$G359),"🟡 Tới kỳ chăm sóc tiếp","🟢 Chưa tới kỳ — chưa cần làm gì"))))))</f>
        <v/>
      </c>
    </row>
    <row r="360">
      <c r="A360" s="16" t="n"/>
      <c r="B360" s="16" t="n"/>
      <c r="C360" s="17" t="n"/>
      <c r="D360" s="18" t="n"/>
      <c r="E360" s="18" t="n"/>
      <c r="F360" s="16" t="n"/>
      <c r="G360" s="16" t="n"/>
      <c r="H360" s="16" t="n"/>
      <c r="I360" s="17" t="n"/>
      <c r="J360" s="19">
        <f>IF($A360="","",IF($C360="","⚠️ Thiếu ngày làm gần nhất",IF(AND(TODAY()-$C360&lt;=2,$H360&lt;&gt;"Có"),"💬 Cần nhắn hỏi thăm",IF(AND($I360&lt;&gt;"",$I360&gt;=TODAY()),"📅 Đã hẹn "&amp;TEXT($I360,"dd/mm"),IF(TODAY()-$C360&gt;=2*IF($G360="",30,$G360),"🔴 Lâu rồi chưa quay lại",IF(TODAY()-$C360&gt;=IF($G360="",30,$G360),"🟡 Tới kỳ chăm sóc tiếp","🟢 Chưa tới kỳ — chưa cần làm gì"))))))</f>
        <v/>
      </c>
    </row>
    <row r="361">
      <c r="A361" s="16" t="n"/>
      <c r="B361" s="16" t="n"/>
      <c r="C361" s="17" t="n"/>
      <c r="D361" s="18" t="n"/>
      <c r="E361" s="18" t="n"/>
      <c r="F361" s="16" t="n"/>
      <c r="G361" s="16" t="n"/>
      <c r="H361" s="16" t="n"/>
      <c r="I361" s="17" t="n"/>
      <c r="J361" s="19">
        <f>IF($A361="","",IF($C361="","⚠️ Thiếu ngày làm gần nhất",IF(AND(TODAY()-$C361&lt;=2,$H361&lt;&gt;"Có"),"💬 Cần nhắn hỏi thăm",IF(AND($I361&lt;&gt;"",$I361&gt;=TODAY()),"📅 Đã hẹn "&amp;TEXT($I361,"dd/mm"),IF(TODAY()-$C361&gt;=2*IF($G361="",30,$G361),"🔴 Lâu rồi chưa quay lại",IF(TODAY()-$C361&gt;=IF($G361="",30,$G361),"🟡 Tới kỳ chăm sóc tiếp","🟢 Chưa tới kỳ — chưa cần làm gì"))))))</f>
        <v/>
      </c>
    </row>
    <row r="362">
      <c r="A362" s="16" t="n"/>
      <c r="B362" s="16" t="n"/>
      <c r="C362" s="17" t="n"/>
      <c r="D362" s="18" t="n"/>
      <c r="E362" s="18" t="n"/>
      <c r="F362" s="16" t="n"/>
      <c r="G362" s="16" t="n"/>
      <c r="H362" s="16" t="n"/>
      <c r="I362" s="17" t="n"/>
      <c r="J362" s="19">
        <f>IF($A362="","",IF($C362="","⚠️ Thiếu ngày làm gần nhất",IF(AND(TODAY()-$C362&lt;=2,$H362&lt;&gt;"Có"),"💬 Cần nhắn hỏi thăm",IF(AND($I362&lt;&gt;"",$I362&gt;=TODAY()),"📅 Đã hẹn "&amp;TEXT($I362,"dd/mm"),IF(TODAY()-$C362&gt;=2*IF($G362="",30,$G362),"🔴 Lâu rồi chưa quay lại",IF(TODAY()-$C362&gt;=IF($G362="",30,$G362),"🟡 Tới kỳ chăm sóc tiếp","🟢 Chưa tới kỳ — chưa cần làm gì"))))))</f>
        <v/>
      </c>
    </row>
    <row r="363">
      <c r="A363" s="16" t="n"/>
      <c r="B363" s="16" t="n"/>
      <c r="C363" s="17" t="n"/>
      <c r="D363" s="18" t="n"/>
      <c r="E363" s="18" t="n"/>
      <c r="F363" s="16" t="n"/>
      <c r="G363" s="16" t="n"/>
      <c r="H363" s="16" t="n"/>
      <c r="I363" s="17" t="n"/>
      <c r="J363" s="19">
        <f>IF($A363="","",IF($C363="","⚠️ Thiếu ngày làm gần nhất",IF(AND(TODAY()-$C363&lt;=2,$H363&lt;&gt;"Có"),"💬 Cần nhắn hỏi thăm",IF(AND($I363&lt;&gt;"",$I363&gt;=TODAY()),"📅 Đã hẹn "&amp;TEXT($I363,"dd/mm"),IF(TODAY()-$C363&gt;=2*IF($G363="",30,$G363),"🔴 Lâu rồi chưa quay lại",IF(TODAY()-$C363&gt;=IF($G363="",30,$G363),"🟡 Tới kỳ chăm sóc tiếp","🟢 Chưa tới kỳ — chưa cần làm gì"))))))</f>
        <v/>
      </c>
    </row>
    <row r="364">
      <c r="A364" s="16" t="n"/>
      <c r="B364" s="16" t="n"/>
      <c r="C364" s="17" t="n"/>
      <c r="D364" s="18" t="n"/>
      <c r="E364" s="18" t="n"/>
      <c r="F364" s="16" t="n"/>
      <c r="G364" s="16" t="n"/>
      <c r="H364" s="16" t="n"/>
      <c r="I364" s="17" t="n"/>
      <c r="J364" s="19">
        <f>IF($A364="","",IF($C364="","⚠️ Thiếu ngày làm gần nhất",IF(AND(TODAY()-$C364&lt;=2,$H364&lt;&gt;"Có"),"💬 Cần nhắn hỏi thăm",IF(AND($I364&lt;&gt;"",$I364&gt;=TODAY()),"📅 Đã hẹn "&amp;TEXT($I364,"dd/mm"),IF(TODAY()-$C364&gt;=2*IF($G364="",30,$G364),"🔴 Lâu rồi chưa quay lại",IF(TODAY()-$C364&gt;=IF($G364="",30,$G364),"🟡 Tới kỳ chăm sóc tiếp","🟢 Chưa tới kỳ — chưa cần làm gì"))))))</f>
        <v/>
      </c>
    </row>
    <row r="365">
      <c r="A365" s="16" t="n"/>
      <c r="B365" s="16" t="n"/>
      <c r="C365" s="17" t="n"/>
      <c r="D365" s="18" t="n"/>
      <c r="E365" s="18" t="n"/>
      <c r="F365" s="16" t="n"/>
      <c r="G365" s="16" t="n"/>
      <c r="H365" s="16" t="n"/>
      <c r="I365" s="17" t="n"/>
      <c r="J365" s="19">
        <f>IF($A365="","",IF($C365="","⚠️ Thiếu ngày làm gần nhất",IF(AND(TODAY()-$C365&lt;=2,$H365&lt;&gt;"Có"),"💬 Cần nhắn hỏi thăm",IF(AND($I365&lt;&gt;"",$I365&gt;=TODAY()),"📅 Đã hẹn "&amp;TEXT($I365,"dd/mm"),IF(TODAY()-$C365&gt;=2*IF($G365="",30,$G365),"🔴 Lâu rồi chưa quay lại",IF(TODAY()-$C365&gt;=IF($G365="",30,$G365),"🟡 Tới kỳ chăm sóc tiếp","🟢 Chưa tới kỳ — chưa cần làm gì"))))))</f>
        <v/>
      </c>
    </row>
    <row r="366">
      <c r="A366" s="16" t="n"/>
      <c r="B366" s="16" t="n"/>
      <c r="C366" s="17" t="n"/>
      <c r="D366" s="18" t="n"/>
      <c r="E366" s="18" t="n"/>
      <c r="F366" s="16" t="n"/>
      <c r="G366" s="16" t="n"/>
      <c r="H366" s="16" t="n"/>
      <c r="I366" s="17" t="n"/>
      <c r="J366" s="19">
        <f>IF($A366="","",IF($C366="","⚠️ Thiếu ngày làm gần nhất",IF(AND(TODAY()-$C366&lt;=2,$H366&lt;&gt;"Có"),"💬 Cần nhắn hỏi thăm",IF(AND($I366&lt;&gt;"",$I366&gt;=TODAY()),"📅 Đã hẹn "&amp;TEXT($I366,"dd/mm"),IF(TODAY()-$C366&gt;=2*IF($G366="",30,$G366),"🔴 Lâu rồi chưa quay lại",IF(TODAY()-$C366&gt;=IF($G366="",30,$G366),"🟡 Tới kỳ chăm sóc tiếp","🟢 Chưa tới kỳ — chưa cần làm gì"))))))</f>
        <v/>
      </c>
    </row>
    <row r="367">
      <c r="A367" s="16" t="n"/>
      <c r="B367" s="16" t="n"/>
      <c r="C367" s="17" t="n"/>
      <c r="D367" s="18" t="n"/>
      <c r="E367" s="18" t="n"/>
      <c r="F367" s="16" t="n"/>
      <c r="G367" s="16" t="n"/>
      <c r="H367" s="16" t="n"/>
      <c r="I367" s="17" t="n"/>
      <c r="J367" s="19">
        <f>IF($A367="","",IF($C367="","⚠️ Thiếu ngày làm gần nhất",IF(AND(TODAY()-$C367&lt;=2,$H367&lt;&gt;"Có"),"💬 Cần nhắn hỏi thăm",IF(AND($I367&lt;&gt;"",$I367&gt;=TODAY()),"📅 Đã hẹn "&amp;TEXT($I367,"dd/mm"),IF(TODAY()-$C367&gt;=2*IF($G367="",30,$G367),"🔴 Lâu rồi chưa quay lại",IF(TODAY()-$C367&gt;=IF($G367="",30,$G367),"🟡 Tới kỳ chăm sóc tiếp","🟢 Chưa tới kỳ — chưa cần làm gì"))))))</f>
        <v/>
      </c>
    </row>
    <row r="368">
      <c r="A368" s="16" t="n"/>
      <c r="B368" s="16" t="n"/>
      <c r="C368" s="17" t="n"/>
      <c r="D368" s="18" t="n"/>
      <c r="E368" s="18" t="n"/>
      <c r="F368" s="16" t="n"/>
      <c r="G368" s="16" t="n"/>
      <c r="H368" s="16" t="n"/>
      <c r="I368" s="17" t="n"/>
      <c r="J368" s="19">
        <f>IF($A368="","",IF($C368="","⚠️ Thiếu ngày làm gần nhất",IF(AND(TODAY()-$C368&lt;=2,$H368&lt;&gt;"Có"),"💬 Cần nhắn hỏi thăm",IF(AND($I368&lt;&gt;"",$I368&gt;=TODAY()),"📅 Đã hẹn "&amp;TEXT($I368,"dd/mm"),IF(TODAY()-$C368&gt;=2*IF($G368="",30,$G368),"🔴 Lâu rồi chưa quay lại",IF(TODAY()-$C368&gt;=IF($G368="",30,$G368),"🟡 Tới kỳ chăm sóc tiếp","🟢 Chưa tới kỳ — chưa cần làm gì"))))))</f>
        <v/>
      </c>
    </row>
    <row r="369">
      <c r="A369" s="16" t="n"/>
      <c r="B369" s="16" t="n"/>
      <c r="C369" s="17" t="n"/>
      <c r="D369" s="18" t="n"/>
      <c r="E369" s="18" t="n"/>
      <c r="F369" s="16" t="n"/>
      <c r="G369" s="16" t="n"/>
      <c r="H369" s="16" t="n"/>
      <c r="I369" s="17" t="n"/>
      <c r="J369" s="19">
        <f>IF($A369="","",IF($C369="","⚠️ Thiếu ngày làm gần nhất",IF(AND(TODAY()-$C369&lt;=2,$H369&lt;&gt;"Có"),"💬 Cần nhắn hỏi thăm",IF(AND($I369&lt;&gt;"",$I369&gt;=TODAY()),"📅 Đã hẹn "&amp;TEXT($I369,"dd/mm"),IF(TODAY()-$C369&gt;=2*IF($G369="",30,$G369),"🔴 Lâu rồi chưa quay lại",IF(TODAY()-$C369&gt;=IF($G369="",30,$G369),"🟡 Tới kỳ chăm sóc tiếp","🟢 Chưa tới kỳ — chưa cần làm gì"))))))</f>
        <v/>
      </c>
    </row>
    <row r="370">
      <c r="A370" s="16" t="n"/>
      <c r="B370" s="16" t="n"/>
      <c r="C370" s="17" t="n"/>
      <c r="D370" s="18" t="n"/>
      <c r="E370" s="18" t="n"/>
      <c r="F370" s="16" t="n"/>
      <c r="G370" s="16" t="n"/>
      <c r="H370" s="16" t="n"/>
      <c r="I370" s="17" t="n"/>
      <c r="J370" s="19">
        <f>IF($A370="","",IF($C370="","⚠️ Thiếu ngày làm gần nhất",IF(AND(TODAY()-$C370&lt;=2,$H370&lt;&gt;"Có"),"💬 Cần nhắn hỏi thăm",IF(AND($I370&lt;&gt;"",$I370&gt;=TODAY()),"📅 Đã hẹn "&amp;TEXT($I370,"dd/mm"),IF(TODAY()-$C370&gt;=2*IF($G370="",30,$G370),"🔴 Lâu rồi chưa quay lại",IF(TODAY()-$C370&gt;=IF($G370="",30,$G370),"🟡 Tới kỳ chăm sóc tiếp","🟢 Chưa tới kỳ — chưa cần làm gì"))))))</f>
        <v/>
      </c>
    </row>
    <row r="371">
      <c r="A371" s="16" t="n"/>
      <c r="B371" s="16" t="n"/>
      <c r="C371" s="17" t="n"/>
      <c r="D371" s="18" t="n"/>
      <c r="E371" s="18" t="n"/>
      <c r="F371" s="16" t="n"/>
      <c r="G371" s="16" t="n"/>
      <c r="H371" s="16" t="n"/>
      <c r="I371" s="17" t="n"/>
      <c r="J371" s="19">
        <f>IF($A371="","",IF($C371="","⚠️ Thiếu ngày làm gần nhất",IF(AND(TODAY()-$C371&lt;=2,$H371&lt;&gt;"Có"),"💬 Cần nhắn hỏi thăm",IF(AND($I371&lt;&gt;"",$I371&gt;=TODAY()),"📅 Đã hẹn "&amp;TEXT($I371,"dd/mm"),IF(TODAY()-$C371&gt;=2*IF($G371="",30,$G371),"🔴 Lâu rồi chưa quay lại",IF(TODAY()-$C371&gt;=IF($G371="",30,$G371),"🟡 Tới kỳ chăm sóc tiếp","🟢 Chưa tới kỳ — chưa cần làm gì"))))))</f>
        <v/>
      </c>
    </row>
    <row r="372">
      <c r="A372" s="16" t="n"/>
      <c r="B372" s="16" t="n"/>
      <c r="C372" s="17" t="n"/>
      <c r="D372" s="18" t="n"/>
      <c r="E372" s="18" t="n"/>
      <c r="F372" s="16" t="n"/>
      <c r="G372" s="16" t="n"/>
      <c r="H372" s="16" t="n"/>
      <c r="I372" s="17" t="n"/>
      <c r="J372" s="19">
        <f>IF($A372="","",IF($C372="","⚠️ Thiếu ngày làm gần nhất",IF(AND(TODAY()-$C372&lt;=2,$H372&lt;&gt;"Có"),"💬 Cần nhắn hỏi thăm",IF(AND($I372&lt;&gt;"",$I372&gt;=TODAY()),"📅 Đã hẹn "&amp;TEXT($I372,"dd/mm"),IF(TODAY()-$C372&gt;=2*IF($G372="",30,$G372),"🔴 Lâu rồi chưa quay lại",IF(TODAY()-$C372&gt;=IF($G372="",30,$G372),"🟡 Tới kỳ chăm sóc tiếp","🟢 Chưa tới kỳ — chưa cần làm gì"))))))</f>
        <v/>
      </c>
    </row>
    <row r="373">
      <c r="A373" s="16" t="n"/>
      <c r="B373" s="16" t="n"/>
      <c r="C373" s="17" t="n"/>
      <c r="D373" s="18" t="n"/>
      <c r="E373" s="18" t="n"/>
      <c r="F373" s="16" t="n"/>
      <c r="G373" s="16" t="n"/>
      <c r="H373" s="16" t="n"/>
      <c r="I373" s="17" t="n"/>
      <c r="J373" s="19">
        <f>IF($A373="","",IF($C373="","⚠️ Thiếu ngày làm gần nhất",IF(AND(TODAY()-$C373&lt;=2,$H373&lt;&gt;"Có"),"💬 Cần nhắn hỏi thăm",IF(AND($I373&lt;&gt;"",$I373&gt;=TODAY()),"📅 Đã hẹn "&amp;TEXT($I373,"dd/mm"),IF(TODAY()-$C373&gt;=2*IF($G373="",30,$G373),"🔴 Lâu rồi chưa quay lại",IF(TODAY()-$C373&gt;=IF($G373="",30,$G373),"🟡 Tới kỳ chăm sóc tiếp","🟢 Chưa tới kỳ — chưa cần làm gì"))))))</f>
        <v/>
      </c>
    </row>
    <row r="374">
      <c r="A374" s="16" t="n"/>
      <c r="B374" s="16" t="n"/>
      <c r="C374" s="17" t="n"/>
      <c r="D374" s="18" t="n"/>
      <c r="E374" s="18" t="n"/>
      <c r="F374" s="16" t="n"/>
      <c r="G374" s="16" t="n"/>
      <c r="H374" s="16" t="n"/>
      <c r="I374" s="17" t="n"/>
      <c r="J374" s="19">
        <f>IF($A374="","",IF($C374="","⚠️ Thiếu ngày làm gần nhất",IF(AND(TODAY()-$C374&lt;=2,$H374&lt;&gt;"Có"),"💬 Cần nhắn hỏi thăm",IF(AND($I374&lt;&gt;"",$I374&gt;=TODAY()),"📅 Đã hẹn "&amp;TEXT($I374,"dd/mm"),IF(TODAY()-$C374&gt;=2*IF($G374="",30,$G374),"🔴 Lâu rồi chưa quay lại",IF(TODAY()-$C374&gt;=IF($G374="",30,$G374),"🟡 Tới kỳ chăm sóc tiếp","🟢 Chưa tới kỳ — chưa cần làm gì"))))))</f>
        <v/>
      </c>
    </row>
    <row r="375">
      <c r="A375" s="16" t="n"/>
      <c r="B375" s="16" t="n"/>
      <c r="C375" s="17" t="n"/>
      <c r="D375" s="18" t="n"/>
      <c r="E375" s="18" t="n"/>
      <c r="F375" s="16" t="n"/>
      <c r="G375" s="16" t="n"/>
      <c r="H375" s="16" t="n"/>
      <c r="I375" s="17" t="n"/>
      <c r="J375" s="19">
        <f>IF($A375="","",IF($C375="","⚠️ Thiếu ngày làm gần nhất",IF(AND(TODAY()-$C375&lt;=2,$H375&lt;&gt;"Có"),"💬 Cần nhắn hỏi thăm",IF(AND($I375&lt;&gt;"",$I375&gt;=TODAY()),"📅 Đã hẹn "&amp;TEXT($I375,"dd/mm"),IF(TODAY()-$C375&gt;=2*IF($G375="",30,$G375),"🔴 Lâu rồi chưa quay lại",IF(TODAY()-$C375&gt;=IF($G375="",30,$G375),"🟡 Tới kỳ chăm sóc tiếp","🟢 Chưa tới kỳ — chưa cần làm gì"))))))</f>
        <v/>
      </c>
    </row>
    <row r="376">
      <c r="A376" s="16" t="n"/>
      <c r="B376" s="16" t="n"/>
      <c r="C376" s="17" t="n"/>
      <c r="D376" s="18" t="n"/>
      <c r="E376" s="18" t="n"/>
      <c r="F376" s="16" t="n"/>
      <c r="G376" s="16" t="n"/>
      <c r="H376" s="16" t="n"/>
      <c r="I376" s="17" t="n"/>
      <c r="J376" s="19">
        <f>IF($A376="","",IF($C376="","⚠️ Thiếu ngày làm gần nhất",IF(AND(TODAY()-$C376&lt;=2,$H376&lt;&gt;"Có"),"💬 Cần nhắn hỏi thăm",IF(AND($I376&lt;&gt;"",$I376&gt;=TODAY()),"📅 Đã hẹn "&amp;TEXT($I376,"dd/mm"),IF(TODAY()-$C376&gt;=2*IF($G376="",30,$G376),"🔴 Lâu rồi chưa quay lại",IF(TODAY()-$C376&gt;=IF($G376="",30,$G376),"🟡 Tới kỳ chăm sóc tiếp","🟢 Chưa tới kỳ — chưa cần làm gì"))))))</f>
        <v/>
      </c>
    </row>
    <row r="377">
      <c r="A377" s="16" t="n"/>
      <c r="B377" s="16" t="n"/>
      <c r="C377" s="17" t="n"/>
      <c r="D377" s="18" t="n"/>
      <c r="E377" s="18" t="n"/>
      <c r="F377" s="16" t="n"/>
      <c r="G377" s="16" t="n"/>
      <c r="H377" s="16" t="n"/>
      <c r="I377" s="17" t="n"/>
      <c r="J377" s="19">
        <f>IF($A377="","",IF($C377="","⚠️ Thiếu ngày làm gần nhất",IF(AND(TODAY()-$C377&lt;=2,$H377&lt;&gt;"Có"),"💬 Cần nhắn hỏi thăm",IF(AND($I377&lt;&gt;"",$I377&gt;=TODAY()),"📅 Đã hẹn "&amp;TEXT($I377,"dd/mm"),IF(TODAY()-$C377&gt;=2*IF($G377="",30,$G377),"🔴 Lâu rồi chưa quay lại",IF(TODAY()-$C377&gt;=IF($G377="",30,$G377),"🟡 Tới kỳ chăm sóc tiếp","🟢 Chưa tới kỳ — chưa cần làm gì"))))))</f>
        <v/>
      </c>
    </row>
    <row r="378">
      <c r="A378" s="16" t="n"/>
      <c r="B378" s="16" t="n"/>
      <c r="C378" s="17" t="n"/>
      <c r="D378" s="18" t="n"/>
      <c r="E378" s="18" t="n"/>
      <c r="F378" s="16" t="n"/>
      <c r="G378" s="16" t="n"/>
      <c r="H378" s="16" t="n"/>
      <c r="I378" s="17" t="n"/>
      <c r="J378" s="19">
        <f>IF($A378="","",IF($C378="","⚠️ Thiếu ngày làm gần nhất",IF(AND(TODAY()-$C378&lt;=2,$H378&lt;&gt;"Có"),"💬 Cần nhắn hỏi thăm",IF(AND($I378&lt;&gt;"",$I378&gt;=TODAY()),"📅 Đã hẹn "&amp;TEXT($I378,"dd/mm"),IF(TODAY()-$C378&gt;=2*IF($G378="",30,$G378),"🔴 Lâu rồi chưa quay lại",IF(TODAY()-$C378&gt;=IF($G378="",30,$G378),"🟡 Tới kỳ chăm sóc tiếp","🟢 Chưa tới kỳ — chưa cần làm gì"))))))</f>
        <v/>
      </c>
    </row>
    <row r="379">
      <c r="A379" s="16" t="n"/>
      <c r="B379" s="16" t="n"/>
      <c r="C379" s="17" t="n"/>
      <c r="D379" s="18" t="n"/>
      <c r="E379" s="18" t="n"/>
      <c r="F379" s="16" t="n"/>
      <c r="G379" s="16" t="n"/>
      <c r="H379" s="16" t="n"/>
      <c r="I379" s="17" t="n"/>
      <c r="J379" s="19">
        <f>IF($A379="","",IF($C379="","⚠️ Thiếu ngày làm gần nhất",IF(AND(TODAY()-$C379&lt;=2,$H379&lt;&gt;"Có"),"💬 Cần nhắn hỏi thăm",IF(AND($I379&lt;&gt;"",$I379&gt;=TODAY()),"📅 Đã hẹn "&amp;TEXT($I379,"dd/mm"),IF(TODAY()-$C379&gt;=2*IF($G379="",30,$G379),"🔴 Lâu rồi chưa quay lại",IF(TODAY()-$C379&gt;=IF($G379="",30,$G379),"🟡 Tới kỳ chăm sóc tiếp","🟢 Chưa tới kỳ — chưa cần làm gì"))))))</f>
        <v/>
      </c>
    </row>
    <row r="380">
      <c r="A380" s="16" t="n"/>
      <c r="B380" s="16" t="n"/>
      <c r="C380" s="17" t="n"/>
      <c r="D380" s="18" t="n"/>
      <c r="E380" s="18" t="n"/>
      <c r="F380" s="16" t="n"/>
      <c r="G380" s="16" t="n"/>
      <c r="H380" s="16" t="n"/>
      <c r="I380" s="17" t="n"/>
      <c r="J380" s="19">
        <f>IF($A380="","",IF($C380="","⚠️ Thiếu ngày làm gần nhất",IF(AND(TODAY()-$C380&lt;=2,$H380&lt;&gt;"Có"),"💬 Cần nhắn hỏi thăm",IF(AND($I380&lt;&gt;"",$I380&gt;=TODAY()),"📅 Đã hẹn "&amp;TEXT($I380,"dd/mm"),IF(TODAY()-$C380&gt;=2*IF($G380="",30,$G380),"🔴 Lâu rồi chưa quay lại",IF(TODAY()-$C380&gt;=IF($G380="",30,$G380),"🟡 Tới kỳ chăm sóc tiếp","🟢 Chưa tới kỳ — chưa cần làm gì"))))))</f>
        <v/>
      </c>
    </row>
    <row r="381">
      <c r="A381" s="16" t="n"/>
      <c r="B381" s="16" t="n"/>
      <c r="C381" s="17" t="n"/>
      <c r="D381" s="18" t="n"/>
      <c r="E381" s="18" t="n"/>
      <c r="F381" s="16" t="n"/>
      <c r="G381" s="16" t="n"/>
      <c r="H381" s="16" t="n"/>
      <c r="I381" s="17" t="n"/>
      <c r="J381" s="19">
        <f>IF($A381="","",IF($C381="","⚠️ Thiếu ngày làm gần nhất",IF(AND(TODAY()-$C381&lt;=2,$H381&lt;&gt;"Có"),"💬 Cần nhắn hỏi thăm",IF(AND($I381&lt;&gt;"",$I381&gt;=TODAY()),"📅 Đã hẹn "&amp;TEXT($I381,"dd/mm"),IF(TODAY()-$C381&gt;=2*IF($G381="",30,$G381),"🔴 Lâu rồi chưa quay lại",IF(TODAY()-$C381&gt;=IF($G381="",30,$G381),"🟡 Tới kỳ chăm sóc tiếp","🟢 Chưa tới kỳ — chưa cần làm gì"))))))</f>
        <v/>
      </c>
    </row>
    <row r="382">
      <c r="A382" s="16" t="n"/>
      <c r="B382" s="16" t="n"/>
      <c r="C382" s="17" t="n"/>
      <c r="D382" s="18" t="n"/>
      <c r="E382" s="18" t="n"/>
      <c r="F382" s="16" t="n"/>
      <c r="G382" s="16" t="n"/>
      <c r="H382" s="16" t="n"/>
      <c r="I382" s="17" t="n"/>
      <c r="J382" s="19">
        <f>IF($A382="","",IF($C382="","⚠️ Thiếu ngày làm gần nhất",IF(AND(TODAY()-$C382&lt;=2,$H382&lt;&gt;"Có"),"💬 Cần nhắn hỏi thăm",IF(AND($I382&lt;&gt;"",$I382&gt;=TODAY()),"📅 Đã hẹn "&amp;TEXT($I382,"dd/mm"),IF(TODAY()-$C382&gt;=2*IF($G382="",30,$G382),"🔴 Lâu rồi chưa quay lại",IF(TODAY()-$C382&gt;=IF($G382="",30,$G382),"🟡 Tới kỳ chăm sóc tiếp","🟢 Chưa tới kỳ — chưa cần làm gì"))))))</f>
        <v/>
      </c>
    </row>
    <row r="383">
      <c r="A383" s="16" t="n"/>
      <c r="B383" s="16" t="n"/>
      <c r="C383" s="17" t="n"/>
      <c r="D383" s="18" t="n"/>
      <c r="E383" s="18" t="n"/>
      <c r="F383" s="16" t="n"/>
      <c r="G383" s="16" t="n"/>
      <c r="H383" s="16" t="n"/>
      <c r="I383" s="17" t="n"/>
      <c r="J383" s="19">
        <f>IF($A383="","",IF($C383="","⚠️ Thiếu ngày làm gần nhất",IF(AND(TODAY()-$C383&lt;=2,$H383&lt;&gt;"Có"),"💬 Cần nhắn hỏi thăm",IF(AND($I383&lt;&gt;"",$I383&gt;=TODAY()),"📅 Đã hẹn "&amp;TEXT($I383,"dd/mm"),IF(TODAY()-$C383&gt;=2*IF($G383="",30,$G383),"🔴 Lâu rồi chưa quay lại",IF(TODAY()-$C383&gt;=IF($G383="",30,$G383),"🟡 Tới kỳ chăm sóc tiếp","🟢 Chưa tới kỳ — chưa cần làm gì"))))))</f>
        <v/>
      </c>
    </row>
    <row r="384">
      <c r="A384" s="16" t="n"/>
      <c r="B384" s="16" t="n"/>
      <c r="C384" s="17" t="n"/>
      <c r="D384" s="18" t="n"/>
      <c r="E384" s="18" t="n"/>
      <c r="F384" s="16" t="n"/>
      <c r="G384" s="16" t="n"/>
      <c r="H384" s="16" t="n"/>
      <c r="I384" s="17" t="n"/>
      <c r="J384" s="19">
        <f>IF($A384="","",IF($C384="","⚠️ Thiếu ngày làm gần nhất",IF(AND(TODAY()-$C384&lt;=2,$H384&lt;&gt;"Có"),"💬 Cần nhắn hỏi thăm",IF(AND($I384&lt;&gt;"",$I384&gt;=TODAY()),"📅 Đã hẹn "&amp;TEXT($I384,"dd/mm"),IF(TODAY()-$C384&gt;=2*IF($G384="",30,$G384),"🔴 Lâu rồi chưa quay lại",IF(TODAY()-$C384&gt;=IF($G384="",30,$G384),"🟡 Tới kỳ chăm sóc tiếp","🟢 Chưa tới kỳ — chưa cần làm gì"))))))</f>
        <v/>
      </c>
    </row>
    <row r="385">
      <c r="A385" s="16" t="n"/>
      <c r="B385" s="16" t="n"/>
      <c r="C385" s="17" t="n"/>
      <c r="D385" s="18" t="n"/>
      <c r="E385" s="18" t="n"/>
      <c r="F385" s="16" t="n"/>
      <c r="G385" s="16" t="n"/>
      <c r="H385" s="16" t="n"/>
      <c r="I385" s="17" t="n"/>
      <c r="J385" s="19">
        <f>IF($A385="","",IF($C385="","⚠️ Thiếu ngày làm gần nhất",IF(AND(TODAY()-$C385&lt;=2,$H385&lt;&gt;"Có"),"💬 Cần nhắn hỏi thăm",IF(AND($I385&lt;&gt;"",$I385&gt;=TODAY()),"📅 Đã hẹn "&amp;TEXT($I385,"dd/mm"),IF(TODAY()-$C385&gt;=2*IF($G385="",30,$G385),"🔴 Lâu rồi chưa quay lại",IF(TODAY()-$C385&gt;=IF($G385="",30,$G385),"🟡 Tới kỳ chăm sóc tiếp","🟢 Chưa tới kỳ — chưa cần làm gì"))))))</f>
        <v/>
      </c>
    </row>
    <row r="386">
      <c r="A386" s="16" t="n"/>
      <c r="B386" s="16" t="n"/>
      <c r="C386" s="17" t="n"/>
      <c r="D386" s="18" t="n"/>
      <c r="E386" s="18" t="n"/>
      <c r="F386" s="16" t="n"/>
      <c r="G386" s="16" t="n"/>
      <c r="H386" s="16" t="n"/>
      <c r="I386" s="17" t="n"/>
      <c r="J386" s="19">
        <f>IF($A386="","",IF($C386="","⚠️ Thiếu ngày làm gần nhất",IF(AND(TODAY()-$C386&lt;=2,$H386&lt;&gt;"Có"),"💬 Cần nhắn hỏi thăm",IF(AND($I386&lt;&gt;"",$I386&gt;=TODAY()),"📅 Đã hẹn "&amp;TEXT($I386,"dd/mm"),IF(TODAY()-$C386&gt;=2*IF($G386="",30,$G386),"🔴 Lâu rồi chưa quay lại",IF(TODAY()-$C386&gt;=IF($G386="",30,$G386),"🟡 Tới kỳ chăm sóc tiếp","🟢 Chưa tới kỳ — chưa cần làm gì"))))))</f>
        <v/>
      </c>
    </row>
    <row r="387">
      <c r="A387" s="16" t="n"/>
      <c r="B387" s="16" t="n"/>
      <c r="C387" s="17" t="n"/>
      <c r="D387" s="18" t="n"/>
      <c r="E387" s="18" t="n"/>
      <c r="F387" s="16" t="n"/>
      <c r="G387" s="16" t="n"/>
      <c r="H387" s="16" t="n"/>
      <c r="I387" s="17" t="n"/>
      <c r="J387" s="19">
        <f>IF($A387="","",IF($C387="","⚠️ Thiếu ngày làm gần nhất",IF(AND(TODAY()-$C387&lt;=2,$H387&lt;&gt;"Có"),"💬 Cần nhắn hỏi thăm",IF(AND($I387&lt;&gt;"",$I387&gt;=TODAY()),"📅 Đã hẹn "&amp;TEXT($I387,"dd/mm"),IF(TODAY()-$C387&gt;=2*IF($G387="",30,$G387),"🔴 Lâu rồi chưa quay lại",IF(TODAY()-$C387&gt;=IF($G387="",30,$G387),"🟡 Tới kỳ chăm sóc tiếp","🟢 Chưa tới kỳ — chưa cần làm gì"))))))</f>
        <v/>
      </c>
    </row>
    <row r="388">
      <c r="A388" s="16" t="n"/>
      <c r="B388" s="16" t="n"/>
      <c r="C388" s="17" t="n"/>
      <c r="D388" s="18" t="n"/>
      <c r="E388" s="18" t="n"/>
      <c r="F388" s="16" t="n"/>
      <c r="G388" s="16" t="n"/>
      <c r="H388" s="16" t="n"/>
      <c r="I388" s="17" t="n"/>
      <c r="J388" s="19">
        <f>IF($A388="","",IF($C388="","⚠️ Thiếu ngày làm gần nhất",IF(AND(TODAY()-$C388&lt;=2,$H388&lt;&gt;"Có"),"💬 Cần nhắn hỏi thăm",IF(AND($I388&lt;&gt;"",$I388&gt;=TODAY()),"📅 Đã hẹn "&amp;TEXT($I388,"dd/mm"),IF(TODAY()-$C388&gt;=2*IF($G388="",30,$G388),"🔴 Lâu rồi chưa quay lại",IF(TODAY()-$C388&gt;=IF($G388="",30,$G388),"🟡 Tới kỳ chăm sóc tiếp","🟢 Chưa tới kỳ — chưa cần làm gì"))))))</f>
        <v/>
      </c>
    </row>
    <row r="389">
      <c r="A389" s="16" t="n"/>
      <c r="B389" s="16" t="n"/>
      <c r="C389" s="17" t="n"/>
      <c r="D389" s="18" t="n"/>
      <c r="E389" s="18" t="n"/>
      <c r="F389" s="16" t="n"/>
      <c r="G389" s="16" t="n"/>
      <c r="H389" s="16" t="n"/>
      <c r="I389" s="17" t="n"/>
      <c r="J389" s="19">
        <f>IF($A389="","",IF($C389="","⚠️ Thiếu ngày làm gần nhất",IF(AND(TODAY()-$C389&lt;=2,$H389&lt;&gt;"Có"),"💬 Cần nhắn hỏi thăm",IF(AND($I389&lt;&gt;"",$I389&gt;=TODAY()),"📅 Đã hẹn "&amp;TEXT($I389,"dd/mm"),IF(TODAY()-$C389&gt;=2*IF($G389="",30,$G389),"🔴 Lâu rồi chưa quay lại",IF(TODAY()-$C389&gt;=IF($G389="",30,$G389),"🟡 Tới kỳ chăm sóc tiếp","🟢 Chưa tới kỳ — chưa cần làm gì"))))))</f>
        <v/>
      </c>
    </row>
    <row r="390">
      <c r="A390" s="16" t="n"/>
      <c r="B390" s="16" t="n"/>
      <c r="C390" s="17" t="n"/>
      <c r="D390" s="18" t="n"/>
      <c r="E390" s="18" t="n"/>
      <c r="F390" s="16" t="n"/>
      <c r="G390" s="16" t="n"/>
      <c r="H390" s="16" t="n"/>
      <c r="I390" s="17" t="n"/>
      <c r="J390" s="19">
        <f>IF($A390="","",IF($C390="","⚠️ Thiếu ngày làm gần nhất",IF(AND(TODAY()-$C390&lt;=2,$H390&lt;&gt;"Có"),"💬 Cần nhắn hỏi thăm",IF(AND($I390&lt;&gt;"",$I390&gt;=TODAY()),"📅 Đã hẹn "&amp;TEXT($I390,"dd/mm"),IF(TODAY()-$C390&gt;=2*IF($G390="",30,$G390),"🔴 Lâu rồi chưa quay lại",IF(TODAY()-$C390&gt;=IF($G390="",30,$G390),"🟡 Tới kỳ chăm sóc tiếp","🟢 Chưa tới kỳ — chưa cần làm gì"))))))</f>
        <v/>
      </c>
    </row>
    <row r="391">
      <c r="A391" s="16" t="n"/>
      <c r="B391" s="16" t="n"/>
      <c r="C391" s="17" t="n"/>
      <c r="D391" s="18" t="n"/>
      <c r="E391" s="18" t="n"/>
      <c r="F391" s="16" t="n"/>
      <c r="G391" s="16" t="n"/>
      <c r="H391" s="16" t="n"/>
      <c r="I391" s="17" t="n"/>
      <c r="J391" s="19">
        <f>IF($A391="","",IF($C391="","⚠️ Thiếu ngày làm gần nhất",IF(AND(TODAY()-$C391&lt;=2,$H391&lt;&gt;"Có"),"💬 Cần nhắn hỏi thăm",IF(AND($I391&lt;&gt;"",$I391&gt;=TODAY()),"📅 Đã hẹn "&amp;TEXT($I391,"dd/mm"),IF(TODAY()-$C391&gt;=2*IF($G391="",30,$G391),"🔴 Lâu rồi chưa quay lại",IF(TODAY()-$C391&gt;=IF($G391="",30,$G391),"🟡 Tới kỳ chăm sóc tiếp","🟢 Chưa tới kỳ — chưa cần làm gì"))))))</f>
        <v/>
      </c>
    </row>
    <row r="392">
      <c r="A392" s="16" t="n"/>
      <c r="B392" s="16" t="n"/>
      <c r="C392" s="17" t="n"/>
      <c r="D392" s="18" t="n"/>
      <c r="E392" s="18" t="n"/>
      <c r="F392" s="16" t="n"/>
      <c r="G392" s="16" t="n"/>
      <c r="H392" s="16" t="n"/>
      <c r="I392" s="17" t="n"/>
      <c r="J392" s="19">
        <f>IF($A392="","",IF($C392="","⚠️ Thiếu ngày làm gần nhất",IF(AND(TODAY()-$C392&lt;=2,$H392&lt;&gt;"Có"),"💬 Cần nhắn hỏi thăm",IF(AND($I392&lt;&gt;"",$I392&gt;=TODAY()),"📅 Đã hẹn "&amp;TEXT($I392,"dd/mm"),IF(TODAY()-$C392&gt;=2*IF($G392="",30,$G392),"🔴 Lâu rồi chưa quay lại",IF(TODAY()-$C392&gt;=IF($G392="",30,$G392),"🟡 Tới kỳ chăm sóc tiếp","🟢 Chưa tới kỳ — chưa cần làm gì"))))))</f>
        <v/>
      </c>
    </row>
    <row r="393">
      <c r="A393" s="16" t="n"/>
      <c r="B393" s="16" t="n"/>
      <c r="C393" s="17" t="n"/>
      <c r="D393" s="18" t="n"/>
      <c r="E393" s="18" t="n"/>
      <c r="F393" s="16" t="n"/>
      <c r="G393" s="16" t="n"/>
      <c r="H393" s="16" t="n"/>
      <c r="I393" s="17" t="n"/>
      <c r="J393" s="19">
        <f>IF($A393="","",IF($C393="","⚠️ Thiếu ngày làm gần nhất",IF(AND(TODAY()-$C393&lt;=2,$H393&lt;&gt;"Có"),"💬 Cần nhắn hỏi thăm",IF(AND($I393&lt;&gt;"",$I393&gt;=TODAY()),"📅 Đã hẹn "&amp;TEXT($I393,"dd/mm"),IF(TODAY()-$C393&gt;=2*IF($G393="",30,$G393),"🔴 Lâu rồi chưa quay lại",IF(TODAY()-$C393&gt;=IF($G393="",30,$G393),"🟡 Tới kỳ chăm sóc tiếp","🟢 Chưa tới kỳ — chưa cần làm gì"))))))</f>
        <v/>
      </c>
    </row>
    <row r="394">
      <c r="A394" s="16" t="n"/>
      <c r="B394" s="16" t="n"/>
      <c r="C394" s="17" t="n"/>
      <c r="D394" s="18" t="n"/>
      <c r="E394" s="18" t="n"/>
      <c r="F394" s="16" t="n"/>
      <c r="G394" s="16" t="n"/>
      <c r="H394" s="16" t="n"/>
      <c r="I394" s="17" t="n"/>
      <c r="J394" s="19">
        <f>IF($A394="","",IF($C394="","⚠️ Thiếu ngày làm gần nhất",IF(AND(TODAY()-$C394&lt;=2,$H394&lt;&gt;"Có"),"💬 Cần nhắn hỏi thăm",IF(AND($I394&lt;&gt;"",$I394&gt;=TODAY()),"📅 Đã hẹn "&amp;TEXT($I394,"dd/mm"),IF(TODAY()-$C394&gt;=2*IF($G394="",30,$G394),"🔴 Lâu rồi chưa quay lại",IF(TODAY()-$C394&gt;=IF($G394="",30,$G394),"🟡 Tới kỳ chăm sóc tiếp","🟢 Chưa tới kỳ — chưa cần làm gì"))))))</f>
        <v/>
      </c>
    </row>
    <row r="395">
      <c r="A395" s="16" t="n"/>
      <c r="B395" s="16" t="n"/>
      <c r="C395" s="17" t="n"/>
      <c r="D395" s="18" t="n"/>
      <c r="E395" s="18" t="n"/>
      <c r="F395" s="16" t="n"/>
      <c r="G395" s="16" t="n"/>
      <c r="H395" s="16" t="n"/>
      <c r="I395" s="17" t="n"/>
      <c r="J395" s="19">
        <f>IF($A395="","",IF($C395="","⚠️ Thiếu ngày làm gần nhất",IF(AND(TODAY()-$C395&lt;=2,$H395&lt;&gt;"Có"),"💬 Cần nhắn hỏi thăm",IF(AND($I395&lt;&gt;"",$I395&gt;=TODAY()),"📅 Đã hẹn "&amp;TEXT($I395,"dd/mm"),IF(TODAY()-$C395&gt;=2*IF($G395="",30,$G395),"🔴 Lâu rồi chưa quay lại",IF(TODAY()-$C395&gt;=IF($G395="",30,$G395),"🟡 Tới kỳ chăm sóc tiếp","🟢 Chưa tới kỳ — chưa cần làm gì"))))))</f>
        <v/>
      </c>
    </row>
    <row r="396">
      <c r="A396" s="16" t="n"/>
      <c r="B396" s="16" t="n"/>
      <c r="C396" s="17" t="n"/>
      <c r="D396" s="18" t="n"/>
      <c r="E396" s="18" t="n"/>
      <c r="F396" s="16" t="n"/>
      <c r="G396" s="16" t="n"/>
      <c r="H396" s="16" t="n"/>
      <c r="I396" s="17" t="n"/>
      <c r="J396" s="19">
        <f>IF($A396="","",IF($C396="","⚠️ Thiếu ngày làm gần nhất",IF(AND(TODAY()-$C396&lt;=2,$H396&lt;&gt;"Có"),"💬 Cần nhắn hỏi thăm",IF(AND($I396&lt;&gt;"",$I396&gt;=TODAY()),"📅 Đã hẹn "&amp;TEXT($I396,"dd/mm"),IF(TODAY()-$C396&gt;=2*IF($G396="",30,$G396),"🔴 Lâu rồi chưa quay lại",IF(TODAY()-$C396&gt;=IF($G396="",30,$G396),"🟡 Tới kỳ chăm sóc tiếp","🟢 Chưa tới kỳ — chưa cần làm gì"))))))</f>
        <v/>
      </c>
    </row>
    <row r="397">
      <c r="A397" s="16" t="n"/>
      <c r="B397" s="16" t="n"/>
      <c r="C397" s="17" t="n"/>
      <c r="D397" s="18" t="n"/>
      <c r="E397" s="18" t="n"/>
      <c r="F397" s="16" t="n"/>
      <c r="G397" s="16" t="n"/>
      <c r="H397" s="16" t="n"/>
      <c r="I397" s="17" t="n"/>
      <c r="J397" s="19">
        <f>IF($A397="","",IF($C397="","⚠️ Thiếu ngày làm gần nhất",IF(AND(TODAY()-$C397&lt;=2,$H397&lt;&gt;"Có"),"💬 Cần nhắn hỏi thăm",IF(AND($I397&lt;&gt;"",$I397&gt;=TODAY()),"📅 Đã hẹn "&amp;TEXT($I397,"dd/mm"),IF(TODAY()-$C397&gt;=2*IF($G397="",30,$G397),"🔴 Lâu rồi chưa quay lại",IF(TODAY()-$C397&gt;=IF($G397="",30,$G397),"🟡 Tới kỳ chăm sóc tiếp","🟢 Chưa tới kỳ — chưa cần làm gì"))))))</f>
        <v/>
      </c>
    </row>
    <row r="398">
      <c r="A398" s="16" t="n"/>
      <c r="B398" s="16" t="n"/>
      <c r="C398" s="17" t="n"/>
      <c r="D398" s="18" t="n"/>
      <c r="E398" s="18" t="n"/>
      <c r="F398" s="16" t="n"/>
      <c r="G398" s="16" t="n"/>
      <c r="H398" s="16" t="n"/>
      <c r="I398" s="17" t="n"/>
      <c r="J398" s="19">
        <f>IF($A398="","",IF($C398="","⚠️ Thiếu ngày làm gần nhất",IF(AND(TODAY()-$C398&lt;=2,$H398&lt;&gt;"Có"),"💬 Cần nhắn hỏi thăm",IF(AND($I398&lt;&gt;"",$I398&gt;=TODAY()),"📅 Đã hẹn "&amp;TEXT($I398,"dd/mm"),IF(TODAY()-$C398&gt;=2*IF($G398="",30,$G398),"🔴 Lâu rồi chưa quay lại",IF(TODAY()-$C398&gt;=IF($G398="",30,$G398),"🟡 Tới kỳ chăm sóc tiếp","🟢 Chưa tới kỳ — chưa cần làm gì"))))))</f>
        <v/>
      </c>
    </row>
    <row r="399">
      <c r="A399" s="16" t="n"/>
      <c r="B399" s="16" t="n"/>
      <c r="C399" s="17" t="n"/>
      <c r="D399" s="18" t="n"/>
      <c r="E399" s="18" t="n"/>
      <c r="F399" s="16" t="n"/>
      <c r="G399" s="16" t="n"/>
      <c r="H399" s="16" t="n"/>
      <c r="I399" s="17" t="n"/>
      <c r="J399" s="19">
        <f>IF($A399="","",IF($C399="","⚠️ Thiếu ngày làm gần nhất",IF(AND(TODAY()-$C399&lt;=2,$H399&lt;&gt;"Có"),"💬 Cần nhắn hỏi thăm",IF(AND($I399&lt;&gt;"",$I399&gt;=TODAY()),"📅 Đã hẹn "&amp;TEXT($I399,"dd/mm"),IF(TODAY()-$C399&gt;=2*IF($G399="",30,$G399),"🔴 Lâu rồi chưa quay lại",IF(TODAY()-$C399&gt;=IF($G399="",30,$G399),"🟡 Tới kỳ chăm sóc tiếp","🟢 Chưa tới kỳ — chưa cần làm gì"))))))</f>
        <v/>
      </c>
    </row>
    <row r="400">
      <c r="A400" s="16" t="n"/>
      <c r="B400" s="16" t="n"/>
      <c r="C400" s="17" t="n"/>
      <c r="D400" s="18" t="n"/>
      <c r="E400" s="18" t="n"/>
      <c r="F400" s="16" t="n"/>
      <c r="G400" s="16" t="n"/>
      <c r="H400" s="16" t="n"/>
      <c r="I400" s="17" t="n"/>
      <c r="J400" s="19">
        <f>IF($A400="","",IF($C400="","⚠️ Thiếu ngày làm gần nhất",IF(AND(TODAY()-$C400&lt;=2,$H400&lt;&gt;"Có"),"💬 Cần nhắn hỏi thăm",IF(AND($I400&lt;&gt;"",$I400&gt;=TODAY()),"📅 Đã hẹn "&amp;TEXT($I400,"dd/mm"),IF(TODAY()-$C400&gt;=2*IF($G400="",30,$G400),"🔴 Lâu rồi chưa quay lại",IF(TODAY()-$C400&gt;=IF($G400="",30,$G400),"🟡 Tới kỳ chăm sóc tiếp","🟢 Chưa tới kỳ — chưa cần làm gì"))))))</f>
        <v/>
      </c>
    </row>
    <row r="401">
      <c r="A401" s="16" t="n"/>
      <c r="B401" s="16" t="n"/>
      <c r="C401" s="17" t="n"/>
      <c r="D401" s="18" t="n"/>
      <c r="E401" s="18" t="n"/>
      <c r="F401" s="16" t="n"/>
      <c r="G401" s="16" t="n"/>
      <c r="H401" s="16" t="n"/>
      <c r="I401" s="17" t="n"/>
      <c r="J401" s="19">
        <f>IF($A401="","",IF($C401="","⚠️ Thiếu ngày làm gần nhất",IF(AND(TODAY()-$C401&lt;=2,$H401&lt;&gt;"Có"),"💬 Cần nhắn hỏi thăm",IF(AND($I401&lt;&gt;"",$I401&gt;=TODAY()),"📅 Đã hẹn "&amp;TEXT($I401,"dd/mm"),IF(TODAY()-$C401&gt;=2*IF($G401="",30,$G401),"🔴 Lâu rồi chưa quay lại",IF(TODAY()-$C401&gt;=IF($G401="",30,$G401),"🟡 Tới kỳ chăm sóc tiếp","🟢 Chưa tới kỳ — chưa cần làm gì"))))))</f>
        <v/>
      </c>
    </row>
    <row r="402">
      <c r="A402" s="16" t="n"/>
      <c r="B402" s="16" t="n"/>
      <c r="C402" s="17" t="n"/>
      <c r="D402" s="18" t="n"/>
      <c r="E402" s="18" t="n"/>
      <c r="F402" s="16" t="n"/>
      <c r="G402" s="16" t="n"/>
      <c r="H402" s="16" t="n"/>
      <c r="I402" s="17" t="n"/>
      <c r="J402" s="19">
        <f>IF($A402="","",IF($C402="","⚠️ Thiếu ngày làm gần nhất",IF(AND(TODAY()-$C402&lt;=2,$H402&lt;&gt;"Có"),"💬 Cần nhắn hỏi thăm",IF(AND($I402&lt;&gt;"",$I402&gt;=TODAY()),"📅 Đã hẹn "&amp;TEXT($I402,"dd/mm"),IF(TODAY()-$C402&gt;=2*IF($G402="",30,$G402),"🔴 Lâu rồi chưa quay lại",IF(TODAY()-$C402&gt;=IF($G402="",30,$G402),"🟡 Tới kỳ chăm sóc tiếp","🟢 Chưa tới kỳ — chưa cần làm gì"))))))</f>
        <v/>
      </c>
    </row>
    <row r="403">
      <c r="A403" s="16" t="n"/>
      <c r="B403" s="16" t="n"/>
      <c r="C403" s="17" t="n"/>
      <c r="D403" s="18" t="n"/>
      <c r="E403" s="18" t="n"/>
      <c r="F403" s="16" t="n"/>
      <c r="G403" s="16" t="n"/>
      <c r="H403" s="16" t="n"/>
      <c r="I403" s="17" t="n"/>
      <c r="J403" s="19">
        <f>IF($A403="","",IF($C403="","⚠️ Thiếu ngày làm gần nhất",IF(AND(TODAY()-$C403&lt;=2,$H403&lt;&gt;"Có"),"💬 Cần nhắn hỏi thăm",IF(AND($I403&lt;&gt;"",$I403&gt;=TODAY()),"📅 Đã hẹn "&amp;TEXT($I403,"dd/mm"),IF(TODAY()-$C403&gt;=2*IF($G403="",30,$G403),"🔴 Lâu rồi chưa quay lại",IF(TODAY()-$C403&gt;=IF($G403="",30,$G403),"🟡 Tới kỳ chăm sóc tiếp","🟢 Chưa tới kỳ — chưa cần làm gì"))))))</f>
        <v/>
      </c>
    </row>
    <row r="404">
      <c r="A404" s="16" t="n"/>
      <c r="B404" s="16" t="n"/>
      <c r="C404" s="17" t="n"/>
      <c r="D404" s="18" t="n"/>
      <c r="E404" s="18" t="n"/>
      <c r="F404" s="16" t="n"/>
      <c r="G404" s="16" t="n"/>
      <c r="H404" s="16" t="n"/>
      <c r="I404" s="17" t="n"/>
      <c r="J404" s="19">
        <f>IF($A404="","",IF($C404="","⚠️ Thiếu ngày làm gần nhất",IF(AND(TODAY()-$C404&lt;=2,$H404&lt;&gt;"Có"),"💬 Cần nhắn hỏi thăm",IF(AND($I404&lt;&gt;"",$I404&gt;=TODAY()),"📅 Đã hẹn "&amp;TEXT($I404,"dd/mm"),IF(TODAY()-$C404&gt;=2*IF($G404="",30,$G404),"🔴 Lâu rồi chưa quay lại",IF(TODAY()-$C404&gt;=IF($G404="",30,$G404),"🟡 Tới kỳ chăm sóc tiếp","🟢 Chưa tới kỳ — chưa cần làm gì"))))))</f>
        <v/>
      </c>
    </row>
    <row r="405">
      <c r="A405" s="16" t="n"/>
      <c r="B405" s="16" t="n"/>
      <c r="C405" s="17" t="n"/>
      <c r="D405" s="18" t="n"/>
      <c r="E405" s="18" t="n"/>
      <c r="F405" s="16" t="n"/>
      <c r="G405" s="16" t="n"/>
      <c r="H405" s="16" t="n"/>
      <c r="I405" s="17" t="n"/>
      <c r="J405" s="19">
        <f>IF($A405="","",IF($C405="","⚠️ Thiếu ngày làm gần nhất",IF(AND(TODAY()-$C405&lt;=2,$H405&lt;&gt;"Có"),"💬 Cần nhắn hỏi thăm",IF(AND($I405&lt;&gt;"",$I405&gt;=TODAY()),"📅 Đã hẹn "&amp;TEXT($I405,"dd/mm"),IF(TODAY()-$C405&gt;=2*IF($G405="",30,$G405),"🔴 Lâu rồi chưa quay lại",IF(TODAY()-$C405&gt;=IF($G405="",30,$G405),"🟡 Tới kỳ chăm sóc tiếp","🟢 Chưa tới kỳ — chưa cần làm gì"))))))</f>
        <v/>
      </c>
    </row>
    <row r="406">
      <c r="A406" s="16" t="n"/>
      <c r="B406" s="16" t="n"/>
      <c r="C406" s="17" t="n"/>
      <c r="D406" s="18" t="n"/>
      <c r="E406" s="18" t="n"/>
      <c r="F406" s="16" t="n"/>
      <c r="G406" s="16" t="n"/>
      <c r="H406" s="16" t="n"/>
      <c r="I406" s="17" t="n"/>
      <c r="J406" s="19">
        <f>IF($A406="","",IF($C406="","⚠️ Thiếu ngày làm gần nhất",IF(AND(TODAY()-$C406&lt;=2,$H406&lt;&gt;"Có"),"💬 Cần nhắn hỏi thăm",IF(AND($I406&lt;&gt;"",$I406&gt;=TODAY()),"📅 Đã hẹn "&amp;TEXT($I406,"dd/mm"),IF(TODAY()-$C406&gt;=2*IF($G406="",30,$G406),"🔴 Lâu rồi chưa quay lại",IF(TODAY()-$C406&gt;=IF($G406="",30,$G406),"🟡 Tới kỳ chăm sóc tiếp","🟢 Chưa tới kỳ — chưa cần làm gì"))))))</f>
        <v/>
      </c>
    </row>
    <row r="407">
      <c r="A407" s="16" t="n"/>
      <c r="B407" s="16" t="n"/>
      <c r="C407" s="17" t="n"/>
      <c r="D407" s="18" t="n"/>
      <c r="E407" s="18" t="n"/>
      <c r="F407" s="16" t="n"/>
      <c r="G407" s="16" t="n"/>
      <c r="H407" s="16" t="n"/>
      <c r="I407" s="17" t="n"/>
      <c r="J407" s="19">
        <f>IF($A407="","",IF($C407="","⚠️ Thiếu ngày làm gần nhất",IF(AND(TODAY()-$C407&lt;=2,$H407&lt;&gt;"Có"),"💬 Cần nhắn hỏi thăm",IF(AND($I407&lt;&gt;"",$I407&gt;=TODAY()),"📅 Đã hẹn "&amp;TEXT($I407,"dd/mm"),IF(TODAY()-$C407&gt;=2*IF($G407="",30,$G407),"🔴 Lâu rồi chưa quay lại",IF(TODAY()-$C407&gt;=IF($G407="",30,$G407),"🟡 Tới kỳ chăm sóc tiếp","🟢 Chưa tới kỳ — chưa cần làm gì"))))))</f>
        <v/>
      </c>
    </row>
    <row r="408">
      <c r="A408" s="16" t="n"/>
      <c r="B408" s="16" t="n"/>
      <c r="C408" s="17" t="n"/>
      <c r="D408" s="18" t="n"/>
      <c r="E408" s="18" t="n"/>
      <c r="F408" s="16" t="n"/>
      <c r="G408" s="16" t="n"/>
      <c r="H408" s="16" t="n"/>
      <c r="I408" s="17" t="n"/>
      <c r="J408" s="19">
        <f>IF($A408="","",IF($C408="","⚠️ Thiếu ngày làm gần nhất",IF(AND(TODAY()-$C408&lt;=2,$H408&lt;&gt;"Có"),"💬 Cần nhắn hỏi thăm",IF(AND($I408&lt;&gt;"",$I408&gt;=TODAY()),"📅 Đã hẹn "&amp;TEXT($I408,"dd/mm"),IF(TODAY()-$C408&gt;=2*IF($G408="",30,$G408),"🔴 Lâu rồi chưa quay lại",IF(TODAY()-$C408&gt;=IF($G408="",30,$G408),"🟡 Tới kỳ chăm sóc tiếp","🟢 Chưa tới kỳ — chưa cần làm gì"))))))</f>
        <v/>
      </c>
    </row>
    <row r="409">
      <c r="A409" s="16" t="n"/>
      <c r="B409" s="16" t="n"/>
      <c r="C409" s="17" t="n"/>
      <c r="D409" s="18" t="n"/>
      <c r="E409" s="18" t="n"/>
      <c r="F409" s="16" t="n"/>
      <c r="G409" s="16" t="n"/>
      <c r="H409" s="16" t="n"/>
      <c r="I409" s="17" t="n"/>
      <c r="J409" s="19">
        <f>IF($A409="","",IF($C409="","⚠️ Thiếu ngày làm gần nhất",IF(AND(TODAY()-$C409&lt;=2,$H409&lt;&gt;"Có"),"💬 Cần nhắn hỏi thăm",IF(AND($I409&lt;&gt;"",$I409&gt;=TODAY()),"📅 Đã hẹn "&amp;TEXT($I409,"dd/mm"),IF(TODAY()-$C409&gt;=2*IF($G409="",30,$G409),"🔴 Lâu rồi chưa quay lại",IF(TODAY()-$C409&gt;=IF($G409="",30,$G409),"🟡 Tới kỳ chăm sóc tiếp","🟢 Chưa tới kỳ — chưa cần làm gì"))))))</f>
        <v/>
      </c>
    </row>
    <row r="410">
      <c r="A410" s="16" t="n"/>
      <c r="B410" s="16" t="n"/>
      <c r="C410" s="17" t="n"/>
      <c r="D410" s="18" t="n"/>
      <c r="E410" s="18" t="n"/>
      <c r="F410" s="16" t="n"/>
      <c r="G410" s="16" t="n"/>
      <c r="H410" s="16" t="n"/>
      <c r="I410" s="17" t="n"/>
      <c r="J410" s="19">
        <f>IF($A410="","",IF($C410="","⚠️ Thiếu ngày làm gần nhất",IF(AND(TODAY()-$C410&lt;=2,$H410&lt;&gt;"Có"),"💬 Cần nhắn hỏi thăm",IF(AND($I410&lt;&gt;"",$I410&gt;=TODAY()),"📅 Đã hẹn "&amp;TEXT($I410,"dd/mm"),IF(TODAY()-$C410&gt;=2*IF($G410="",30,$G410),"🔴 Lâu rồi chưa quay lại",IF(TODAY()-$C410&gt;=IF($G410="",30,$G410),"🟡 Tới kỳ chăm sóc tiếp","🟢 Chưa tới kỳ — chưa cần làm gì"))))))</f>
        <v/>
      </c>
    </row>
    <row r="411">
      <c r="A411" s="16" t="n"/>
      <c r="B411" s="16" t="n"/>
      <c r="C411" s="17" t="n"/>
      <c r="D411" s="18" t="n"/>
      <c r="E411" s="18" t="n"/>
      <c r="F411" s="16" t="n"/>
      <c r="G411" s="16" t="n"/>
      <c r="H411" s="16" t="n"/>
      <c r="I411" s="17" t="n"/>
      <c r="J411" s="19">
        <f>IF($A411="","",IF($C411="","⚠️ Thiếu ngày làm gần nhất",IF(AND(TODAY()-$C411&lt;=2,$H411&lt;&gt;"Có"),"💬 Cần nhắn hỏi thăm",IF(AND($I411&lt;&gt;"",$I411&gt;=TODAY()),"📅 Đã hẹn "&amp;TEXT($I411,"dd/mm"),IF(TODAY()-$C411&gt;=2*IF($G411="",30,$G411),"🔴 Lâu rồi chưa quay lại",IF(TODAY()-$C411&gt;=IF($G411="",30,$G411),"🟡 Tới kỳ chăm sóc tiếp","🟢 Chưa tới kỳ — chưa cần làm gì"))))))</f>
        <v/>
      </c>
    </row>
    <row r="412">
      <c r="A412" s="16" t="n"/>
      <c r="B412" s="16" t="n"/>
      <c r="C412" s="17" t="n"/>
      <c r="D412" s="18" t="n"/>
      <c r="E412" s="18" t="n"/>
      <c r="F412" s="16" t="n"/>
      <c r="G412" s="16" t="n"/>
      <c r="H412" s="16" t="n"/>
      <c r="I412" s="17" t="n"/>
      <c r="J412" s="19">
        <f>IF($A412="","",IF($C412="","⚠️ Thiếu ngày làm gần nhất",IF(AND(TODAY()-$C412&lt;=2,$H412&lt;&gt;"Có"),"💬 Cần nhắn hỏi thăm",IF(AND($I412&lt;&gt;"",$I412&gt;=TODAY()),"📅 Đã hẹn "&amp;TEXT($I412,"dd/mm"),IF(TODAY()-$C412&gt;=2*IF($G412="",30,$G412),"🔴 Lâu rồi chưa quay lại",IF(TODAY()-$C412&gt;=IF($G412="",30,$G412),"🟡 Tới kỳ chăm sóc tiếp","🟢 Chưa tới kỳ — chưa cần làm gì"))))))</f>
        <v/>
      </c>
    </row>
    <row r="413">
      <c r="A413" s="16" t="n"/>
      <c r="B413" s="16" t="n"/>
      <c r="C413" s="17" t="n"/>
      <c r="D413" s="18" t="n"/>
      <c r="E413" s="18" t="n"/>
      <c r="F413" s="16" t="n"/>
      <c r="G413" s="16" t="n"/>
      <c r="H413" s="16" t="n"/>
      <c r="I413" s="17" t="n"/>
      <c r="J413" s="19">
        <f>IF($A413="","",IF($C413="","⚠️ Thiếu ngày làm gần nhất",IF(AND(TODAY()-$C413&lt;=2,$H413&lt;&gt;"Có"),"💬 Cần nhắn hỏi thăm",IF(AND($I413&lt;&gt;"",$I413&gt;=TODAY()),"📅 Đã hẹn "&amp;TEXT($I413,"dd/mm"),IF(TODAY()-$C413&gt;=2*IF($G413="",30,$G413),"🔴 Lâu rồi chưa quay lại",IF(TODAY()-$C413&gt;=IF($G413="",30,$G413),"🟡 Tới kỳ chăm sóc tiếp","🟢 Chưa tới kỳ — chưa cần làm gì"))))))</f>
        <v/>
      </c>
    </row>
    <row r="414">
      <c r="A414" s="16" t="n"/>
      <c r="B414" s="16" t="n"/>
      <c r="C414" s="17" t="n"/>
      <c r="D414" s="18" t="n"/>
      <c r="E414" s="18" t="n"/>
      <c r="F414" s="16" t="n"/>
      <c r="G414" s="16" t="n"/>
      <c r="H414" s="16" t="n"/>
      <c r="I414" s="17" t="n"/>
      <c r="J414" s="19">
        <f>IF($A414="","",IF($C414="","⚠️ Thiếu ngày làm gần nhất",IF(AND(TODAY()-$C414&lt;=2,$H414&lt;&gt;"Có"),"💬 Cần nhắn hỏi thăm",IF(AND($I414&lt;&gt;"",$I414&gt;=TODAY()),"📅 Đã hẹn "&amp;TEXT($I414,"dd/mm"),IF(TODAY()-$C414&gt;=2*IF($G414="",30,$G414),"🔴 Lâu rồi chưa quay lại",IF(TODAY()-$C414&gt;=IF($G414="",30,$G414),"🟡 Tới kỳ chăm sóc tiếp","🟢 Chưa tới kỳ — chưa cần làm gì"))))))</f>
        <v/>
      </c>
    </row>
    <row r="415">
      <c r="A415" s="16" t="n"/>
      <c r="B415" s="16" t="n"/>
      <c r="C415" s="17" t="n"/>
      <c r="D415" s="18" t="n"/>
      <c r="E415" s="18" t="n"/>
      <c r="F415" s="16" t="n"/>
      <c r="G415" s="16" t="n"/>
      <c r="H415" s="16" t="n"/>
      <c r="I415" s="17" t="n"/>
      <c r="J415" s="19">
        <f>IF($A415="","",IF($C415="","⚠️ Thiếu ngày làm gần nhất",IF(AND(TODAY()-$C415&lt;=2,$H415&lt;&gt;"Có"),"💬 Cần nhắn hỏi thăm",IF(AND($I415&lt;&gt;"",$I415&gt;=TODAY()),"📅 Đã hẹn "&amp;TEXT($I415,"dd/mm"),IF(TODAY()-$C415&gt;=2*IF($G415="",30,$G415),"🔴 Lâu rồi chưa quay lại",IF(TODAY()-$C415&gt;=IF($G415="",30,$G415),"🟡 Tới kỳ chăm sóc tiếp","🟢 Chưa tới kỳ — chưa cần làm gì"))))))</f>
        <v/>
      </c>
    </row>
    <row r="416">
      <c r="A416" s="16" t="n"/>
      <c r="B416" s="16" t="n"/>
      <c r="C416" s="17" t="n"/>
      <c r="D416" s="18" t="n"/>
      <c r="E416" s="18" t="n"/>
      <c r="F416" s="16" t="n"/>
      <c r="G416" s="16" t="n"/>
      <c r="H416" s="16" t="n"/>
      <c r="I416" s="17" t="n"/>
      <c r="J416" s="19">
        <f>IF($A416="","",IF($C416="","⚠️ Thiếu ngày làm gần nhất",IF(AND(TODAY()-$C416&lt;=2,$H416&lt;&gt;"Có"),"💬 Cần nhắn hỏi thăm",IF(AND($I416&lt;&gt;"",$I416&gt;=TODAY()),"📅 Đã hẹn "&amp;TEXT($I416,"dd/mm"),IF(TODAY()-$C416&gt;=2*IF($G416="",30,$G416),"🔴 Lâu rồi chưa quay lại",IF(TODAY()-$C416&gt;=IF($G416="",30,$G416),"🟡 Tới kỳ chăm sóc tiếp","🟢 Chưa tới kỳ — chưa cần làm gì"))))))</f>
        <v/>
      </c>
    </row>
    <row r="417">
      <c r="A417" s="16" t="n"/>
      <c r="B417" s="16" t="n"/>
      <c r="C417" s="17" t="n"/>
      <c r="D417" s="18" t="n"/>
      <c r="E417" s="18" t="n"/>
      <c r="F417" s="16" t="n"/>
      <c r="G417" s="16" t="n"/>
      <c r="H417" s="16" t="n"/>
      <c r="I417" s="17" t="n"/>
      <c r="J417" s="19">
        <f>IF($A417="","",IF($C417="","⚠️ Thiếu ngày làm gần nhất",IF(AND(TODAY()-$C417&lt;=2,$H417&lt;&gt;"Có"),"💬 Cần nhắn hỏi thăm",IF(AND($I417&lt;&gt;"",$I417&gt;=TODAY()),"📅 Đã hẹn "&amp;TEXT($I417,"dd/mm"),IF(TODAY()-$C417&gt;=2*IF($G417="",30,$G417),"🔴 Lâu rồi chưa quay lại",IF(TODAY()-$C417&gt;=IF($G417="",30,$G417),"🟡 Tới kỳ chăm sóc tiếp","🟢 Chưa tới kỳ — chưa cần làm gì"))))))</f>
        <v/>
      </c>
    </row>
    <row r="418">
      <c r="A418" s="16" t="n"/>
      <c r="B418" s="16" t="n"/>
      <c r="C418" s="17" t="n"/>
      <c r="D418" s="18" t="n"/>
      <c r="E418" s="18" t="n"/>
      <c r="F418" s="16" t="n"/>
      <c r="G418" s="16" t="n"/>
      <c r="H418" s="16" t="n"/>
      <c r="I418" s="17" t="n"/>
      <c r="J418" s="19">
        <f>IF($A418="","",IF($C418="","⚠️ Thiếu ngày làm gần nhất",IF(AND(TODAY()-$C418&lt;=2,$H418&lt;&gt;"Có"),"💬 Cần nhắn hỏi thăm",IF(AND($I418&lt;&gt;"",$I418&gt;=TODAY()),"📅 Đã hẹn "&amp;TEXT($I418,"dd/mm"),IF(TODAY()-$C418&gt;=2*IF($G418="",30,$G418),"🔴 Lâu rồi chưa quay lại",IF(TODAY()-$C418&gt;=IF($G418="",30,$G418),"🟡 Tới kỳ chăm sóc tiếp","🟢 Chưa tới kỳ — chưa cần làm gì"))))))</f>
        <v/>
      </c>
    </row>
    <row r="419">
      <c r="A419" s="16" t="n"/>
      <c r="B419" s="16" t="n"/>
      <c r="C419" s="17" t="n"/>
      <c r="D419" s="18" t="n"/>
      <c r="E419" s="18" t="n"/>
      <c r="F419" s="16" t="n"/>
      <c r="G419" s="16" t="n"/>
      <c r="H419" s="16" t="n"/>
      <c r="I419" s="17" t="n"/>
      <c r="J419" s="19">
        <f>IF($A419="","",IF($C419="","⚠️ Thiếu ngày làm gần nhất",IF(AND(TODAY()-$C419&lt;=2,$H419&lt;&gt;"Có"),"💬 Cần nhắn hỏi thăm",IF(AND($I419&lt;&gt;"",$I419&gt;=TODAY()),"📅 Đã hẹn "&amp;TEXT($I419,"dd/mm"),IF(TODAY()-$C419&gt;=2*IF($G419="",30,$G419),"🔴 Lâu rồi chưa quay lại",IF(TODAY()-$C419&gt;=IF($G419="",30,$G419),"🟡 Tới kỳ chăm sóc tiếp","🟢 Chưa tới kỳ — chưa cần làm gì"))))))</f>
        <v/>
      </c>
    </row>
    <row r="420">
      <c r="A420" s="16" t="n"/>
      <c r="B420" s="16" t="n"/>
      <c r="C420" s="17" t="n"/>
      <c r="D420" s="18" t="n"/>
      <c r="E420" s="18" t="n"/>
      <c r="F420" s="16" t="n"/>
      <c r="G420" s="16" t="n"/>
      <c r="H420" s="16" t="n"/>
      <c r="I420" s="17" t="n"/>
      <c r="J420" s="19">
        <f>IF($A420="","",IF($C420="","⚠️ Thiếu ngày làm gần nhất",IF(AND(TODAY()-$C420&lt;=2,$H420&lt;&gt;"Có"),"💬 Cần nhắn hỏi thăm",IF(AND($I420&lt;&gt;"",$I420&gt;=TODAY()),"📅 Đã hẹn "&amp;TEXT($I420,"dd/mm"),IF(TODAY()-$C420&gt;=2*IF($G420="",30,$G420),"🔴 Lâu rồi chưa quay lại",IF(TODAY()-$C420&gt;=IF($G420="",30,$G420),"🟡 Tới kỳ chăm sóc tiếp","🟢 Chưa tới kỳ — chưa cần làm gì"))))))</f>
        <v/>
      </c>
    </row>
    <row r="421">
      <c r="A421" s="16" t="n"/>
      <c r="B421" s="16" t="n"/>
      <c r="C421" s="17" t="n"/>
      <c r="D421" s="18" t="n"/>
      <c r="E421" s="18" t="n"/>
      <c r="F421" s="16" t="n"/>
      <c r="G421" s="16" t="n"/>
      <c r="H421" s="16" t="n"/>
      <c r="I421" s="17" t="n"/>
      <c r="J421" s="19">
        <f>IF($A421="","",IF($C421="","⚠️ Thiếu ngày làm gần nhất",IF(AND(TODAY()-$C421&lt;=2,$H421&lt;&gt;"Có"),"💬 Cần nhắn hỏi thăm",IF(AND($I421&lt;&gt;"",$I421&gt;=TODAY()),"📅 Đã hẹn "&amp;TEXT($I421,"dd/mm"),IF(TODAY()-$C421&gt;=2*IF($G421="",30,$G421),"🔴 Lâu rồi chưa quay lại",IF(TODAY()-$C421&gt;=IF($G421="",30,$G421),"🟡 Tới kỳ chăm sóc tiếp","🟢 Chưa tới kỳ — chưa cần làm gì"))))))</f>
        <v/>
      </c>
    </row>
    <row r="422">
      <c r="A422" s="16" t="n"/>
      <c r="B422" s="16" t="n"/>
      <c r="C422" s="17" t="n"/>
      <c r="D422" s="18" t="n"/>
      <c r="E422" s="18" t="n"/>
      <c r="F422" s="16" t="n"/>
      <c r="G422" s="16" t="n"/>
      <c r="H422" s="16" t="n"/>
      <c r="I422" s="17" t="n"/>
      <c r="J422" s="19">
        <f>IF($A422="","",IF($C422="","⚠️ Thiếu ngày làm gần nhất",IF(AND(TODAY()-$C422&lt;=2,$H422&lt;&gt;"Có"),"💬 Cần nhắn hỏi thăm",IF(AND($I422&lt;&gt;"",$I422&gt;=TODAY()),"📅 Đã hẹn "&amp;TEXT($I422,"dd/mm"),IF(TODAY()-$C422&gt;=2*IF($G422="",30,$G422),"🔴 Lâu rồi chưa quay lại",IF(TODAY()-$C422&gt;=IF($G422="",30,$G422),"🟡 Tới kỳ chăm sóc tiếp","🟢 Chưa tới kỳ — chưa cần làm gì"))))))</f>
        <v/>
      </c>
    </row>
    <row r="423">
      <c r="A423" s="16" t="n"/>
      <c r="B423" s="16" t="n"/>
      <c r="C423" s="17" t="n"/>
      <c r="D423" s="18" t="n"/>
      <c r="E423" s="18" t="n"/>
      <c r="F423" s="16" t="n"/>
      <c r="G423" s="16" t="n"/>
      <c r="H423" s="16" t="n"/>
      <c r="I423" s="17" t="n"/>
      <c r="J423" s="19">
        <f>IF($A423="","",IF($C423="","⚠️ Thiếu ngày làm gần nhất",IF(AND(TODAY()-$C423&lt;=2,$H423&lt;&gt;"Có"),"💬 Cần nhắn hỏi thăm",IF(AND($I423&lt;&gt;"",$I423&gt;=TODAY()),"📅 Đã hẹn "&amp;TEXT($I423,"dd/mm"),IF(TODAY()-$C423&gt;=2*IF($G423="",30,$G423),"🔴 Lâu rồi chưa quay lại",IF(TODAY()-$C423&gt;=IF($G423="",30,$G423),"🟡 Tới kỳ chăm sóc tiếp","🟢 Chưa tới kỳ — chưa cần làm gì"))))))</f>
        <v/>
      </c>
    </row>
    <row r="424">
      <c r="A424" s="16" t="n"/>
      <c r="B424" s="16" t="n"/>
      <c r="C424" s="17" t="n"/>
      <c r="D424" s="18" t="n"/>
      <c r="E424" s="18" t="n"/>
      <c r="F424" s="16" t="n"/>
      <c r="G424" s="16" t="n"/>
      <c r="H424" s="16" t="n"/>
      <c r="I424" s="17" t="n"/>
      <c r="J424" s="19">
        <f>IF($A424="","",IF($C424="","⚠️ Thiếu ngày làm gần nhất",IF(AND(TODAY()-$C424&lt;=2,$H424&lt;&gt;"Có"),"💬 Cần nhắn hỏi thăm",IF(AND($I424&lt;&gt;"",$I424&gt;=TODAY()),"📅 Đã hẹn "&amp;TEXT($I424,"dd/mm"),IF(TODAY()-$C424&gt;=2*IF($G424="",30,$G424),"🔴 Lâu rồi chưa quay lại",IF(TODAY()-$C424&gt;=IF($G424="",30,$G424),"🟡 Tới kỳ chăm sóc tiếp","🟢 Chưa tới kỳ — chưa cần làm gì"))))))</f>
        <v/>
      </c>
    </row>
    <row r="425">
      <c r="A425" s="16" t="n"/>
      <c r="B425" s="16" t="n"/>
      <c r="C425" s="17" t="n"/>
      <c r="D425" s="18" t="n"/>
      <c r="E425" s="18" t="n"/>
      <c r="F425" s="16" t="n"/>
      <c r="G425" s="16" t="n"/>
      <c r="H425" s="16" t="n"/>
      <c r="I425" s="17" t="n"/>
      <c r="J425" s="19">
        <f>IF($A425="","",IF($C425="","⚠️ Thiếu ngày làm gần nhất",IF(AND(TODAY()-$C425&lt;=2,$H425&lt;&gt;"Có"),"💬 Cần nhắn hỏi thăm",IF(AND($I425&lt;&gt;"",$I425&gt;=TODAY()),"📅 Đã hẹn "&amp;TEXT($I425,"dd/mm"),IF(TODAY()-$C425&gt;=2*IF($G425="",30,$G425),"🔴 Lâu rồi chưa quay lại",IF(TODAY()-$C425&gt;=IF($G425="",30,$G425),"🟡 Tới kỳ chăm sóc tiếp","🟢 Chưa tới kỳ — chưa cần làm gì"))))))</f>
        <v/>
      </c>
    </row>
    <row r="426">
      <c r="A426" s="16" t="n"/>
      <c r="B426" s="16" t="n"/>
      <c r="C426" s="17" t="n"/>
      <c r="D426" s="18" t="n"/>
      <c r="E426" s="18" t="n"/>
      <c r="F426" s="16" t="n"/>
      <c r="G426" s="16" t="n"/>
      <c r="H426" s="16" t="n"/>
      <c r="I426" s="17" t="n"/>
      <c r="J426" s="19">
        <f>IF($A426="","",IF($C426="","⚠️ Thiếu ngày làm gần nhất",IF(AND(TODAY()-$C426&lt;=2,$H426&lt;&gt;"Có"),"💬 Cần nhắn hỏi thăm",IF(AND($I426&lt;&gt;"",$I426&gt;=TODAY()),"📅 Đã hẹn "&amp;TEXT($I426,"dd/mm"),IF(TODAY()-$C426&gt;=2*IF($G426="",30,$G426),"🔴 Lâu rồi chưa quay lại",IF(TODAY()-$C426&gt;=IF($G426="",30,$G426),"🟡 Tới kỳ chăm sóc tiếp","🟢 Chưa tới kỳ — chưa cần làm gì"))))))</f>
        <v/>
      </c>
    </row>
    <row r="427">
      <c r="A427" s="16" t="n"/>
      <c r="B427" s="16" t="n"/>
      <c r="C427" s="17" t="n"/>
      <c r="D427" s="18" t="n"/>
      <c r="E427" s="18" t="n"/>
      <c r="F427" s="16" t="n"/>
      <c r="G427" s="16" t="n"/>
      <c r="H427" s="16" t="n"/>
      <c r="I427" s="17" t="n"/>
      <c r="J427" s="19">
        <f>IF($A427="","",IF($C427="","⚠️ Thiếu ngày làm gần nhất",IF(AND(TODAY()-$C427&lt;=2,$H427&lt;&gt;"Có"),"💬 Cần nhắn hỏi thăm",IF(AND($I427&lt;&gt;"",$I427&gt;=TODAY()),"📅 Đã hẹn "&amp;TEXT($I427,"dd/mm"),IF(TODAY()-$C427&gt;=2*IF($G427="",30,$G427),"🔴 Lâu rồi chưa quay lại",IF(TODAY()-$C427&gt;=IF($G427="",30,$G427),"🟡 Tới kỳ chăm sóc tiếp","🟢 Chưa tới kỳ — chưa cần làm gì"))))))</f>
        <v/>
      </c>
    </row>
    <row r="428">
      <c r="A428" s="16" t="n"/>
      <c r="B428" s="16" t="n"/>
      <c r="C428" s="17" t="n"/>
      <c r="D428" s="18" t="n"/>
      <c r="E428" s="18" t="n"/>
      <c r="F428" s="16" t="n"/>
      <c r="G428" s="16" t="n"/>
      <c r="H428" s="16" t="n"/>
      <c r="I428" s="17" t="n"/>
      <c r="J428" s="19">
        <f>IF($A428="","",IF($C428="","⚠️ Thiếu ngày làm gần nhất",IF(AND(TODAY()-$C428&lt;=2,$H428&lt;&gt;"Có"),"💬 Cần nhắn hỏi thăm",IF(AND($I428&lt;&gt;"",$I428&gt;=TODAY()),"📅 Đã hẹn "&amp;TEXT($I428,"dd/mm"),IF(TODAY()-$C428&gt;=2*IF($G428="",30,$G428),"🔴 Lâu rồi chưa quay lại",IF(TODAY()-$C428&gt;=IF($G428="",30,$G428),"🟡 Tới kỳ chăm sóc tiếp","🟢 Chưa tới kỳ — chưa cần làm gì"))))))</f>
        <v/>
      </c>
    </row>
    <row r="429">
      <c r="A429" s="16" t="n"/>
      <c r="B429" s="16" t="n"/>
      <c r="C429" s="17" t="n"/>
      <c r="D429" s="18" t="n"/>
      <c r="E429" s="18" t="n"/>
      <c r="F429" s="16" t="n"/>
      <c r="G429" s="16" t="n"/>
      <c r="H429" s="16" t="n"/>
      <c r="I429" s="17" t="n"/>
      <c r="J429" s="19">
        <f>IF($A429="","",IF($C429="","⚠️ Thiếu ngày làm gần nhất",IF(AND(TODAY()-$C429&lt;=2,$H429&lt;&gt;"Có"),"💬 Cần nhắn hỏi thăm",IF(AND($I429&lt;&gt;"",$I429&gt;=TODAY()),"📅 Đã hẹn "&amp;TEXT($I429,"dd/mm"),IF(TODAY()-$C429&gt;=2*IF($G429="",30,$G429),"🔴 Lâu rồi chưa quay lại",IF(TODAY()-$C429&gt;=IF($G429="",30,$G429),"🟡 Tới kỳ chăm sóc tiếp","🟢 Chưa tới kỳ — chưa cần làm gì"))))))</f>
        <v/>
      </c>
    </row>
    <row r="430">
      <c r="A430" s="16" t="n"/>
      <c r="B430" s="16" t="n"/>
      <c r="C430" s="17" t="n"/>
      <c r="D430" s="18" t="n"/>
      <c r="E430" s="18" t="n"/>
      <c r="F430" s="16" t="n"/>
      <c r="G430" s="16" t="n"/>
      <c r="H430" s="16" t="n"/>
      <c r="I430" s="17" t="n"/>
      <c r="J430" s="19">
        <f>IF($A430="","",IF($C430="","⚠️ Thiếu ngày làm gần nhất",IF(AND(TODAY()-$C430&lt;=2,$H430&lt;&gt;"Có"),"💬 Cần nhắn hỏi thăm",IF(AND($I430&lt;&gt;"",$I430&gt;=TODAY()),"📅 Đã hẹn "&amp;TEXT($I430,"dd/mm"),IF(TODAY()-$C430&gt;=2*IF($G430="",30,$G430),"🔴 Lâu rồi chưa quay lại",IF(TODAY()-$C430&gt;=IF($G430="",30,$G430),"🟡 Tới kỳ chăm sóc tiếp","🟢 Chưa tới kỳ — chưa cần làm gì"))))))</f>
        <v/>
      </c>
    </row>
    <row r="431">
      <c r="A431" s="16" t="n"/>
      <c r="B431" s="16" t="n"/>
      <c r="C431" s="17" t="n"/>
      <c r="D431" s="18" t="n"/>
      <c r="E431" s="18" t="n"/>
      <c r="F431" s="16" t="n"/>
      <c r="G431" s="16" t="n"/>
      <c r="H431" s="16" t="n"/>
      <c r="I431" s="17" t="n"/>
      <c r="J431" s="19">
        <f>IF($A431="","",IF($C431="","⚠️ Thiếu ngày làm gần nhất",IF(AND(TODAY()-$C431&lt;=2,$H431&lt;&gt;"Có"),"💬 Cần nhắn hỏi thăm",IF(AND($I431&lt;&gt;"",$I431&gt;=TODAY()),"📅 Đã hẹn "&amp;TEXT($I431,"dd/mm"),IF(TODAY()-$C431&gt;=2*IF($G431="",30,$G431),"🔴 Lâu rồi chưa quay lại",IF(TODAY()-$C431&gt;=IF($G431="",30,$G431),"🟡 Tới kỳ chăm sóc tiếp","🟢 Chưa tới kỳ — chưa cần làm gì"))))))</f>
        <v/>
      </c>
    </row>
    <row r="432">
      <c r="A432" s="16" t="n"/>
      <c r="B432" s="16" t="n"/>
      <c r="C432" s="17" t="n"/>
      <c r="D432" s="18" t="n"/>
      <c r="E432" s="18" t="n"/>
      <c r="F432" s="16" t="n"/>
      <c r="G432" s="16" t="n"/>
      <c r="H432" s="16" t="n"/>
      <c r="I432" s="17" t="n"/>
      <c r="J432" s="19">
        <f>IF($A432="","",IF($C432="","⚠️ Thiếu ngày làm gần nhất",IF(AND(TODAY()-$C432&lt;=2,$H432&lt;&gt;"Có"),"💬 Cần nhắn hỏi thăm",IF(AND($I432&lt;&gt;"",$I432&gt;=TODAY()),"📅 Đã hẹn "&amp;TEXT($I432,"dd/mm"),IF(TODAY()-$C432&gt;=2*IF($G432="",30,$G432),"🔴 Lâu rồi chưa quay lại",IF(TODAY()-$C432&gt;=IF($G432="",30,$G432),"🟡 Tới kỳ chăm sóc tiếp","🟢 Chưa tới kỳ — chưa cần làm gì"))))))</f>
        <v/>
      </c>
    </row>
    <row r="433">
      <c r="A433" s="16" t="n"/>
      <c r="B433" s="16" t="n"/>
      <c r="C433" s="17" t="n"/>
      <c r="D433" s="18" t="n"/>
      <c r="E433" s="18" t="n"/>
      <c r="F433" s="16" t="n"/>
      <c r="G433" s="16" t="n"/>
      <c r="H433" s="16" t="n"/>
      <c r="I433" s="17" t="n"/>
      <c r="J433" s="19">
        <f>IF($A433="","",IF($C433="","⚠️ Thiếu ngày làm gần nhất",IF(AND(TODAY()-$C433&lt;=2,$H433&lt;&gt;"Có"),"💬 Cần nhắn hỏi thăm",IF(AND($I433&lt;&gt;"",$I433&gt;=TODAY()),"📅 Đã hẹn "&amp;TEXT($I433,"dd/mm"),IF(TODAY()-$C433&gt;=2*IF($G433="",30,$G433),"🔴 Lâu rồi chưa quay lại",IF(TODAY()-$C433&gt;=IF($G433="",30,$G433),"🟡 Tới kỳ chăm sóc tiếp","🟢 Chưa tới kỳ — chưa cần làm gì"))))))</f>
        <v/>
      </c>
    </row>
    <row r="434">
      <c r="A434" s="16" t="n"/>
      <c r="B434" s="16" t="n"/>
      <c r="C434" s="17" t="n"/>
      <c r="D434" s="18" t="n"/>
      <c r="E434" s="18" t="n"/>
      <c r="F434" s="16" t="n"/>
      <c r="G434" s="16" t="n"/>
      <c r="H434" s="16" t="n"/>
      <c r="I434" s="17" t="n"/>
      <c r="J434" s="19">
        <f>IF($A434="","",IF($C434="","⚠️ Thiếu ngày làm gần nhất",IF(AND(TODAY()-$C434&lt;=2,$H434&lt;&gt;"Có"),"💬 Cần nhắn hỏi thăm",IF(AND($I434&lt;&gt;"",$I434&gt;=TODAY()),"📅 Đã hẹn "&amp;TEXT($I434,"dd/mm"),IF(TODAY()-$C434&gt;=2*IF($G434="",30,$G434),"🔴 Lâu rồi chưa quay lại",IF(TODAY()-$C434&gt;=IF($G434="",30,$G434),"🟡 Tới kỳ chăm sóc tiếp","🟢 Chưa tới kỳ — chưa cần làm gì"))))))</f>
        <v/>
      </c>
    </row>
    <row r="435">
      <c r="A435" s="16" t="n"/>
      <c r="B435" s="16" t="n"/>
      <c r="C435" s="17" t="n"/>
      <c r="D435" s="18" t="n"/>
      <c r="E435" s="18" t="n"/>
      <c r="F435" s="16" t="n"/>
      <c r="G435" s="16" t="n"/>
      <c r="H435" s="16" t="n"/>
      <c r="I435" s="17" t="n"/>
      <c r="J435" s="19">
        <f>IF($A435="","",IF($C435="","⚠️ Thiếu ngày làm gần nhất",IF(AND(TODAY()-$C435&lt;=2,$H435&lt;&gt;"Có"),"💬 Cần nhắn hỏi thăm",IF(AND($I435&lt;&gt;"",$I435&gt;=TODAY()),"📅 Đã hẹn "&amp;TEXT($I435,"dd/mm"),IF(TODAY()-$C435&gt;=2*IF($G435="",30,$G435),"🔴 Lâu rồi chưa quay lại",IF(TODAY()-$C435&gt;=IF($G435="",30,$G435),"🟡 Tới kỳ chăm sóc tiếp","🟢 Chưa tới kỳ — chưa cần làm gì"))))))</f>
        <v/>
      </c>
    </row>
    <row r="436">
      <c r="A436" s="16" t="n"/>
      <c r="B436" s="16" t="n"/>
      <c r="C436" s="17" t="n"/>
      <c r="D436" s="18" t="n"/>
      <c r="E436" s="18" t="n"/>
      <c r="F436" s="16" t="n"/>
      <c r="G436" s="16" t="n"/>
      <c r="H436" s="16" t="n"/>
      <c r="I436" s="17" t="n"/>
      <c r="J436" s="19">
        <f>IF($A436="","",IF($C436="","⚠️ Thiếu ngày làm gần nhất",IF(AND(TODAY()-$C436&lt;=2,$H436&lt;&gt;"Có"),"💬 Cần nhắn hỏi thăm",IF(AND($I436&lt;&gt;"",$I436&gt;=TODAY()),"📅 Đã hẹn "&amp;TEXT($I436,"dd/mm"),IF(TODAY()-$C436&gt;=2*IF($G436="",30,$G436),"🔴 Lâu rồi chưa quay lại",IF(TODAY()-$C436&gt;=IF($G436="",30,$G436),"🟡 Tới kỳ chăm sóc tiếp","🟢 Chưa tới kỳ — chưa cần làm gì"))))))</f>
        <v/>
      </c>
    </row>
    <row r="437">
      <c r="A437" s="16" t="n"/>
      <c r="B437" s="16" t="n"/>
      <c r="C437" s="17" t="n"/>
      <c r="D437" s="18" t="n"/>
      <c r="E437" s="18" t="n"/>
      <c r="F437" s="16" t="n"/>
      <c r="G437" s="16" t="n"/>
      <c r="H437" s="16" t="n"/>
      <c r="I437" s="17" t="n"/>
      <c r="J437" s="19">
        <f>IF($A437="","",IF($C437="","⚠️ Thiếu ngày làm gần nhất",IF(AND(TODAY()-$C437&lt;=2,$H437&lt;&gt;"Có"),"💬 Cần nhắn hỏi thăm",IF(AND($I437&lt;&gt;"",$I437&gt;=TODAY()),"📅 Đã hẹn "&amp;TEXT($I437,"dd/mm"),IF(TODAY()-$C437&gt;=2*IF($G437="",30,$G437),"🔴 Lâu rồi chưa quay lại",IF(TODAY()-$C437&gt;=IF($G437="",30,$G437),"🟡 Tới kỳ chăm sóc tiếp","🟢 Chưa tới kỳ — chưa cần làm gì"))))))</f>
        <v/>
      </c>
    </row>
    <row r="438">
      <c r="A438" s="16" t="n"/>
      <c r="B438" s="16" t="n"/>
      <c r="C438" s="17" t="n"/>
      <c r="D438" s="18" t="n"/>
      <c r="E438" s="18" t="n"/>
      <c r="F438" s="16" t="n"/>
      <c r="G438" s="16" t="n"/>
      <c r="H438" s="16" t="n"/>
      <c r="I438" s="17" t="n"/>
      <c r="J438" s="19">
        <f>IF($A438="","",IF($C438="","⚠️ Thiếu ngày làm gần nhất",IF(AND(TODAY()-$C438&lt;=2,$H438&lt;&gt;"Có"),"💬 Cần nhắn hỏi thăm",IF(AND($I438&lt;&gt;"",$I438&gt;=TODAY()),"📅 Đã hẹn "&amp;TEXT($I438,"dd/mm"),IF(TODAY()-$C438&gt;=2*IF($G438="",30,$G438),"🔴 Lâu rồi chưa quay lại",IF(TODAY()-$C438&gt;=IF($G438="",30,$G438),"🟡 Tới kỳ chăm sóc tiếp","🟢 Chưa tới kỳ — chưa cần làm gì"))))))</f>
        <v/>
      </c>
    </row>
    <row r="439">
      <c r="A439" s="16" t="n"/>
      <c r="B439" s="16" t="n"/>
      <c r="C439" s="17" t="n"/>
      <c r="D439" s="18" t="n"/>
      <c r="E439" s="18" t="n"/>
      <c r="F439" s="16" t="n"/>
      <c r="G439" s="16" t="n"/>
      <c r="H439" s="16" t="n"/>
      <c r="I439" s="17" t="n"/>
      <c r="J439" s="19">
        <f>IF($A439="","",IF($C439="","⚠️ Thiếu ngày làm gần nhất",IF(AND(TODAY()-$C439&lt;=2,$H439&lt;&gt;"Có"),"💬 Cần nhắn hỏi thăm",IF(AND($I439&lt;&gt;"",$I439&gt;=TODAY()),"📅 Đã hẹn "&amp;TEXT($I439,"dd/mm"),IF(TODAY()-$C439&gt;=2*IF($G439="",30,$G439),"🔴 Lâu rồi chưa quay lại",IF(TODAY()-$C439&gt;=IF($G439="",30,$G439),"🟡 Tới kỳ chăm sóc tiếp","🟢 Chưa tới kỳ — chưa cần làm gì"))))))</f>
        <v/>
      </c>
    </row>
    <row r="440">
      <c r="A440" s="16" t="n"/>
      <c r="B440" s="16" t="n"/>
      <c r="C440" s="17" t="n"/>
      <c r="D440" s="18" t="n"/>
      <c r="E440" s="18" t="n"/>
      <c r="F440" s="16" t="n"/>
      <c r="G440" s="16" t="n"/>
      <c r="H440" s="16" t="n"/>
      <c r="I440" s="17" t="n"/>
      <c r="J440" s="19">
        <f>IF($A440="","",IF($C440="","⚠️ Thiếu ngày làm gần nhất",IF(AND(TODAY()-$C440&lt;=2,$H440&lt;&gt;"Có"),"💬 Cần nhắn hỏi thăm",IF(AND($I440&lt;&gt;"",$I440&gt;=TODAY()),"📅 Đã hẹn "&amp;TEXT($I440,"dd/mm"),IF(TODAY()-$C440&gt;=2*IF($G440="",30,$G440),"🔴 Lâu rồi chưa quay lại",IF(TODAY()-$C440&gt;=IF($G440="",30,$G440),"🟡 Tới kỳ chăm sóc tiếp","🟢 Chưa tới kỳ — chưa cần làm gì"))))))</f>
        <v/>
      </c>
    </row>
    <row r="441">
      <c r="A441" s="16" t="n"/>
      <c r="B441" s="16" t="n"/>
      <c r="C441" s="17" t="n"/>
      <c r="D441" s="18" t="n"/>
      <c r="E441" s="18" t="n"/>
      <c r="F441" s="16" t="n"/>
      <c r="G441" s="16" t="n"/>
      <c r="H441" s="16" t="n"/>
      <c r="I441" s="17" t="n"/>
      <c r="J441" s="19">
        <f>IF($A441="","",IF($C441="","⚠️ Thiếu ngày làm gần nhất",IF(AND(TODAY()-$C441&lt;=2,$H441&lt;&gt;"Có"),"💬 Cần nhắn hỏi thăm",IF(AND($I441&lt;&gt;"",$I441&gt;=TODAY()),"📅 Đã hẹn "&amp;TEXT($I441,"dd/mm"),IF(TODAY()-$C441&gt;=2*IF($G441="",30,$G441),"🔴 Lâu rồi chưa quay lại",IF(TODAY()-$C441&gt;=IF($G441="",30,$G441),"🟡 Tới kỳ chăm sóc tiếp","🟢 Chưa tới kỳ — chưa cần làm gì"))))))</f>
        <v/>
      </c>
    </row>
    <row r="442">
      <c r="A442" s="16" t="n"/>
      <c r="B442" s="16" t="n"/>
      <c r="C442" s="17" t="n"/>
      <c r="D442" s="18" t="n"/>
      <c r="E442" s="18" t="n"/>
      <c r="F442" s="16" t="n"/>
      <c r="G442" s="16" t="n"/>
      <c r="H442" s="16" t="n"/>
      <c r="I442" s="17" t="n"/>
      <c r="J442" s="19">
        <f>IF($A442="","",IF($C442="","⚠️ Thiếu ngày làm gần nhất",IF(AND(TODAY()-$C442&lt;=2,$H442&lt;&gt;"Có"),"💬 Cần nhắn hỏi thăm",IF(AND($I442&lt;&gt;"",$I442&gt;=TODAY()),"📅 Đã hẹn "&amp;TEXT($I442,"dd/mm"),IF(TODAY()-$C442&gt;=2*IF($G442="",30,$G442),"🔴 Lâu rồi chưa quay lại",IF(TODAY()-$C442&gt;=IF($G442="",30,$G442),"🟡 Tới kỳ chăm sóc tiếp","🟢 Chưa tới kỳ — chưa cần làm gì"))))))</f>
        <v/>
      </c>
    </row>
    <row r="443">
      <c r="A443" s="16" t="n"/>
      <c r="B443" s="16" t="n"/>
      <c r="C443" s="17" t="n"/>
      <c r="D443" s="18" t="n"/>
      <c r="E443" s="18" t="n"/>
      <c r="F443" s="16" t="n"/>
      <c r="G443" s="16" t="n"/>
      <c r="H443" s="16" t="n"/>
      <c r="I443" s="17" t="n"/>
      <c r="J443" s="19">
        <f>IF($A443="","",IF($C443="","⚠️ Thiếu ngày làm gần nhất",IF(AND(TODAY()-$C443&lt;=2,$H443&lt;&gt;"Có"),"💬 Cần nhắn hỏi thăm",IF(AND($I443&lt;&gt;"",$I443&gt;=TODAY()),"📅 Đã hẹn "&amp;TEXT($I443,"dd/mm"),IF(TODAY()-$C443&gt;=2*IF($G443="",30,$G443),"🔴 Lâu rồi chưa quay lại",IF(TODAY()-$C443&gt;=IF($G443="",30,$G443),"🟡 Tới kỳ chăm sóc tiếp","🟢 Chưa tới kỳ — chưa cần làm gì"))))))</f>
        <v/>
      </c>
    </row>
    <row r="444">
      <c r="A444" s="16" t="n"/>
      <c r="B444" s="16" t="n"/>
      <c r="C444" s="17" t="n"/>
      <c r="D444" s="18" t="n"/>
      <c r="E444" s="18" t="n"/>
      <c r="F444" s="16" t="n"/>
      <c r="G444" s="16" t="n"/>
      <c r="H444" s="16" t="n"/>
      <c r="I444" s="17" t="n"/>
      <c r="J444" s="19">
        <f>IF($A444="","",IF($C444="","⚠️ Thiếu ngày làm gần nhất",IF(AND(TODAY()-$C444&lt;=2,$H444&lt;&gt;"Có"),"💬 Cần nhắn hỏi thăm",IF(AND($I444&lt;&gt;"",$I444&gt;=TODAY()),"📅 Đã hẹn "&amp;TEXT($I444,"dd/mm"),IF(TODAY()-$C444&gt;=2*IF($G444="",30,$G444),"🔴 Lâu rồi chưa quay lại",IF(TODAY()-$C444&gt;=IF($G444="",30,$G444),"🟡 Tới kỳ chăm sóc tiếp","🟢 Chưa tới kỳ — chưa cần làm gì"))))))</f>
        <v/>
      </c>
    </row>
    <row r="445">
      <c r="A445" s="16" t="n"/>
      <c r="B445" s="16" t="n"/>
      <c r="C445" s="17" t="n"/>
      <c r="D445" s="18" t="n"/>
      <c r="E445" s="18" t="n"/>
      <c r="F445" s="16" t="n"/>
      <c r="G445" s="16" t="n"/>
      <c r="H445" s="16" t="n"/>
      <c r="I445" s="17" t="n"/>
      <c r="J445" s="19">
        <f>IF($A445="","",IF($C445="","⚠️ Thiếu ngày làm gần nhất",IF(AND(TODAY()-$C445&lt;=2,$H445&lt;&gt;"Có"),"💬 Cần nhắn hỏi thăm",IF(AND($I445&lt;&gt;"",$I445&gt;=TODAY()),"📅 Đã hẹn "&amp;TEXT($I445,"dd/mm"),IF(TODAY()-$C445&gt;=2*IF($G445="",30,$G445),"🔴 Lâu rồi chưa quay lại",IF(TODAY()-$C445&gt;=IF($G445="",30,$G445),"🟡 Tới kỳ chăm sóc tiếp","🟢 Chưa tới kỳ — chưa cần làm gì"))))))</f>
        <v/>
      </c>
    </row>
    <row r="446">
      <c r="A446" s="16" t="n"/>
      <c r="B446" s="16" t="n"/>
      <c r="C446" s="17" t="n"/>
      <c r="D446" s="18" t="n"/>
      <c r="E446" s="18" t="n"/>
      <c r="F446" s="16" t="n"/>
      <c r="G446" s="16" t="n"/>
      <c r="H446" s="16" t="n"/>
      <c r="I446" s="17" t="n"/>
      <c r="J446" s="19">
        <f>IF($A446="","",IF($C446="","⚠️ Thiếu ngày làm gần nhất",IF(AND(TODAY()-$C446&lt;=2,$H446&lt;&gt;"Có"),"💬 Cần nhắn hỏi thăm",IF(AND($I446&lt;&gt;"",$I446&gt;=TODAY()),"📅 Đã hẹn "&amp;TEXT($I446,"dd/mm"),IF(TODAY()-$C446&gt;=2*IF($G446="",30,$G446),"🔴 Lâu rồi chưa quay lại",IF(TODAY()-$C446&gt;=IF($G446="",30,$G446),"🟡 Tới kỳ chăm sóc tiếp","🟢 Chưa tới kỳ — chưa cần làm gì"))))))</f>
        <v/>
      </c>
    </row>
    <row r="447">
      <c r="A447" s="16" t="n"/>
      <c r="B447" s="16" t="n"/>
      <c r="C447" s="17" t="n"/>
      <c r="D447" s="18" t="n"/>
      <c r="E447" s="18" t="n"/>
      <c r="F447" s="16" t="n"/>
      <c r="G447" s="16" t="n"/>
      <c r="H447" s="16" t="n"/>
      <c r="I447" s="17" t="n"/>
      <c r="J447" s="19">
        <f>IF($A447="","",IF($C447="","⚠️ Thiếu ngày làm gần nhất",IF(AND(TODAY()-$C447&lt;=2,$H447&lt;&gt;"Có"),"💬 Cần nhắn hỏi thăm",IF(AND($I447&lt;&gt;"",$I447&gt;=TODAY()),"📅 Đã hẹn "&amp;TEXT($I447,"dd/mm"),IF(TODAY()-$C447&gt;=2*IF($G447="",30,$G447),"🔴 Lâu rồi chưa quay lại",IF(TODAY()-$C447&gt;=IF($G447="",30,$G447),"🟡 Tới kỳ chăm sóc tiếp","🟢 Chưa tới kỳ — chưa cần làm gì"))))))</f>
        <v/>
      </c>
    </row>
    <row r="448">
      <c r="A448" s="16" t="n"/>
      <c r="B448" s="16" t="n"/>
      <c r="C448" s="17" t="n"/>
      <c r="D448" s="18" t="n"/>
      <c r="E448" s="18" t="n"/>
      <c r="F448" s="16" t="n"/>
      <c r="G448" s="16" t="n"/>
      <c r="H448" s="16" t="n"/>
      <c r="I448" s="17" t="n"/>
      <c r="J448" s="19">
        <f>IF($A448="","",IF($C448="","⚠️ Thiếu ngày làm gần nhất",IF(AND(TODAY()-$C448&lt;=2,$H448&lt;&gt;"Có"),"💬 Cần nhắn hỏi thăm",IF(AND($I448&lt;&gt;"",$I448&gt;=TODAY()),"📅 Đã hẹn "&amp;TEXT($I448,"dd/mm"),IF(TODAY()-$C448&gt;=2*IF($G448="",30,$G448),"🔴 Lâu rồi chưa quay lại",IF(TODAY()-$C448&gt;=IF($G448="",30,$G448),"🟡 Tới kỳ chăm sóc tiếp","🟢 Chưa tới kỳ — chưa cần làm gì"))))))</f>
        <v/>
      </c>
    </row>
    <row r="449">
      <c r="A449" s="16" t="n"/>
      <c r="B449" s="16" t="n"/>
      <c r="C449" s="17" t="n"/>
      <c r="D449" s="18" t="n"/>
      <c r="E449" s="18" t="n"/>
      <c r="F449" s="16" t="n"/>
      <c r="G449" s="16" t="n"/>
      <c r="H449" s="16" t="n"/>
      <c r="I449" s="17" t="n"/>
      <c r="J449" s="19">
        <f>IF($A449="","",IF($C449="","⚠️ Thiếu ngày làm gần nhất",IF(AND(TODAY()-$C449&lt;=2,$H449&lt;&gt;"Có"),"💬 Cần nhắn hỏi thăm",IF(AND($I449&lt;&gt;"",$I449&gt;=TODAY()),"📅 Đã hẹn "&amp;TEXT($I449,"dd/mm"),IF(TODAY()-$C449&gt;=2*IF($G449="",30,$G449),"🔴 Lâu rồi chưa quay lại",IF(TODAY()-$C449&gt;=IF($G449="",30,$G449),"🟡 Tới kỳ chăm sóc tiếp","🟢 Chưa tới kỳ — chưa cần làm gì"))))))</f>
        <v/>
      </c>
    </row>
    <row r="450">
      <c r="A450" s="16" t="n"/>
      <c r="B450" s="16" t="n"/>
      <c r="C450" s="17" t="n"/>
      <c r="D450" s="18" t="n"/>
      <c r="E450" s="18" t="n"/>
      <c r="F450" s="16" t="n"/>
      <c r="G450" s="16" t="n"/>
      <c r="H450" s="16" t="n"/>
      <c r="I450" s="17" t="n"/>
      <c r="J450" s="19">
        <f>IF($A450="","",IF($C450="","⚠️ Thiếu ngày làm gần nhất",IF(AND(TODAY()-$C450&lt;=2,$H450&lt;&gt;"Có"),"💬 Cần nhắn hỏi thăm",IF(AND($I450&lt;&gt;"",$I450&gt;=TODAY()),"📅 Đã hẹn "&amp;TEXT($I450,"dd/mm"),IF(TODAY()-$C450&gt;=2*IF($G450="",30,$G450),"🔴 Lâu rồi chưa quay lại",IF(TODAY()-$C450&gt;=IF($G450="",30,$G450),"🟡 Tới kỳ chăm sóc tiếp","🟢 Chưa tới kỳ — chưa cần làm gì"))))))</f>
        <v/>
      </c>
    </row>
    <row r="451">
      <c r="A451" s="16" t="n"/>
      <c r="B451" s="16" t="n"/>
      <c r="C451" s="17" t="n"/>
      <c r="D451" s="18" t="n"/>
      <c r="E451" s="18" t="n"/>
      <c r="F451" s="16" t="n"/>
      <c r="G451" s="16" t="n"/>
      <c r="H451" s="16" t="n"/>
      <c r="I451" s="17" t="n"/>
      <c r="J451" s="19">
        <f>IF($A451="","",IF($C451="","⚠️ Thiếu ngày làm gần nhất",IF(AND(TODAY()-$C451&lt;=2,$H451&lt;&gt;"Có"),"💬 Cần nhắn hỏi thăm",IF(AND($I451&lt;&gt;"",$I451&gt;=TODAY()),"📅 Đã hẹn "&amp;TEXT($I451,"dd/mm"),IF(TODAY()-$C451&gt;=2*IF($G451="",30,$G451),"🔴 Lâu rồi chưa quay lại",IF(TODAY()-$C451&gt;=IF($G451="",30,$G451),"🟡 Tới kỳ chăm sóc tiếp","🟢 Chưa tới kỳ — chưa cần làm gì"))))))</f>
        <v/>
      </c>
    </row>
    <row r="452">
      <c r="A452" s="16" t="n"/>
      <c r="B452" s="16" t="n"/>
      <c r="C452" s="17" t="n"/>
      <c r="D452" s="18" t="n"/>
      <c r="E452" s="18" t="n"/>
      <c r="F452" s="16" t="n"/>
      <c r="G452" s="16" t="n"/>
      <c r="H452" s="16" t="n"/>
      <c r="I452" s="17" t="n"/>
      <c r="J452" s="19">
        <f>IF($A452="","",IF($C452="","⚠️ Thiếu ngày làm gần nhất",IF(AND(TODAY()-$C452&lt;=2,$H452&lt;&gt;"Có"),"💬 Cần nhắn hỏi thăm",IF(AND($I452&lt;&gt;"",$I452&gt;=TODAY()),"📅 Đã hẹn "&amp;TEXT($I452,"dd/mm"),IF(TODAY()-$C452&gt;=2*IF($G452="",30,$G452),"🔴 Lâu rồi chưa quay lại",IF(TODAY()-$C452&gt;=IF($G452="",30,$G452),"🟡 Tới kỳ chăm sóc tiếp","🟢 Chưa tới kỳ — chưa cần làm gì"))))))</f>
        <v/>
      </c>
    </row>
    <row r="453">
      <c r="A453" s="16" t="n"/>
      <c r="B453" s="16" t="n"/>
      <c r="C453" s="17" t="n"/>
      <c r="D453" s="18" t="n"/>
      <c r="E453" s="18" t="n"/>
      <c r="F453" s="16" t="n"/>
      <c r="G453" s="16" t="n"/>
      <c r="H453" s="16" t="n"/>
      <c r="I453" s="17" t="n"/>
      <c r="J453" s="19">
        <f>IF($A453="","",IF($C453="","⚠️ Thiếu ngày làm gần nhất",IF(AND(TODAY()-$C453&lt;=2,$H453&lt;&gt;"Có"),"💬 Cần nhắn hỏi thăm",IF(AND($I453&lt;&gt;"",$I453&gt;=TODAY()),"📅 Đã hẹn "&amp;TEXT($I453,"dd/mm"),IF(TODAY()-$C453&gt;=2*IF($G453="",30,$G453),"🔴 Lâu rồi chưa quay lại",IF(TODAY()-$C453&gt;=IF($G453="",30,$G453),"🟡 Tới kỳ chăm sóc tiếp","🟢 Chưa tới kỳ — chưa cần làm gì"))))))</f>
        <v/>
      </c>
    </row>
    <row r="454">
      <c r="A454" s="16" t="n"/>
      <c r="B454" s="16" t="n"/>
      <c r="C454" s="17" t="n"/>
      <c r="D454" s="18" t="n"/>
      <c r="E454" s="18" t="n"/>
      <c r="F454" s="16" t="n"/>
      <c r="G454" s="16" t="n"/>
      <c r="H454" s="16" t="n"/>
      <c r="I454" s="17" t="n"/>
      <c r="J454" s="19">
        <f>IF($A454="","",IF($C454="","⚠️ Thiếu ngày làm gần nhất",IF(AND(TODAY()-$C454&lt;=2,$H454&lt;&gt;"Có"),"💬 Cần nhắn hỏi thăm",IF(AND($I454&lt;&gt;"",$I454&gt;=TODAY()),"📅 Đã hẹn "&amp;TEXT($I454,"dd/mm"),IF(TODAY()-$C454&gt;=2*IF($G454="",30,$G454),"🔴 Lâu rồi chưa quay lại",IF(TODAY()-$C454&gt;=IF($G454="",30,$G454),"🟡 Tới kỳ chăm sóc tiếp","🟢 Chưa tới kỳ — chưa cần làm gì"))))))</f>
        <v/>
      </c>
    </row>
    <row r="455">
      <c r="A455" s="16" t="n"/>
      <c r="B455" s="16" t="n"/>
      <c r="C455" s="17" t="n"/>
      <c r="D455" s="18" t="n"/>
      <c r="E455" s="18" t="n"/>
      <c r="F455" s="16" t="n"/>
      <c r="G455" s="16" t="n"/>
      <c r="H455" s="16" t="n"/>
      <c r="I455" s="17" t="n"/>
      <c r="J455" s="19">
        <f>IF($A455="","",IF($C455="","⚠️ Thiếu ngày làm gần nhất",IF(AND(TODAY()-$C455&lt;=2,$H455&lt;&gt;"Có"),"💬 Cần nhắn hỏi thăm",IF(AND($I455&lt;&gt;"",$I455&gt;=TODAY()),"📅 Đã hẹn "&amp;TEXT($I455,"dd/mm"),IF(TODAY()-$C455&gt;=2*IF($G455="",30,$G455),"🔴 Lâu rồi chưa quay lại",IF(TODAY()-$C455&gt;=IF($G455="",30,$G455),"🟡 Tới kỳ chăm sóc tiếp","🟢 Chưa tới kỳ — chưa cần làm gì"))))))</f>
        <v/>
      </c>
    </row>
    <row r="456">
      <c r="A456" s="16" t="n"/>
      <c r="B456" s="16" t="n"/>
      <c r="C456" s="17" t="n"/>
      <c r="D456" s="18" t="n"/>
      <c r="E456" s="18" t="n"/>
      <c r="F456" s="16" t="n"/>
      <c r="G456" s="16" t="n"/>
      <c r="H456" s="16" t="n"/>
      <c r="I456" s="17" t="n"/>
      <c r="J456" s="19">
        <f>IF($A456="","",IF($C456="","⚠️ Thiếu ngày làm gần nhất",IF(AND(TODAY()-$C456&lt;=2,$H456&lt;&gt;"Có"),"💬 Cần nhắn hỏi thăm",IF(AND($I456&lt;&gt;"",$I456&gt;=TODAY()),"📅 Đã hẹn "&amp;TEXT($I456,"dd/mm"),IF(TODAY()-$C456&gt;=2*IF($G456="",30,$G456),"🔴 Lâu rồi chưa quay lại",IF(TODAY()-$C456&gt;=IF($G456="",30,$G456),"🟡 Tới kỳ chăm sóc tiếp","🟢 Chưa tới kỳ — chưa cần làm gì"))))))</f>
        <v/>
      </c>
    </row>
    <row r="457">
      <c r="A457" s="16" t="n"/>
      <c r="B457" s="16" t="n"/>
      <c r="C457" s="17" t="n"/>
      <c r="D457" s="18" t="n"/>
      <c r="E457" s="18" t="n"/>
      <c r="F457" s="16" t="n"/>
      <c r="G457" s="16" t="n"/>
      <c r="H457" s="16" t="n"/>
      <c r="I457" s="17" t="n"/>
      <c r="J457" s="19">
        <f>IF($A457="","",IF($C457="","⚠️ Thiếu ngày làm gần nhất",IF(AND(TODAY()-$C457&lt;=2,$H457&lt;&gt;"Có"),"💬 Cần nhắn hỏi thăm",IF(AND($I457&lt;&gt;"",$I457&gt;=TODAY()),"📅 Đã hẹn "&amp;TEXT($I457,"dd/mm"),IF(TODAY()-$C457&gt;=2*IF($G457="",30,$G457),"🔴 Lâu rồi chưa quay lại",IF(TODAY()-$C457&gt;=IF($G457="",30,$G457),"🟡 Tới kỳ chăm sóc tiếp","🟢 Chưa tới kỳ — chưa cần làm gì"))))))</f>
        <v/>
      </c>
    </row>
    <row r="458">
      <c r="A458" s="16" t="n"/>
      <c r="B458" s="16" t="n"/>
      <c r="C458" s="17" t="n"/>
      <c r="D458" s="18" t="n"/>
      <c r="E458" s="18" t="n"/>
      <c r="F458" s="16" t="n"/>
      <c r="G458" s="16" t="n"/>
      <c r="H458" s="16" t="n"/>
      <c r="I458" s="17" t="n"/>
      <c r="J458" s="19">
        <f>IF($A458="","",IF($C458="","⚠️ Thiếu ngày làm gần nhất",IF(AND(TODAY()-$C458&lt;=2,$H458&lt;&gt;"Có"),"💬 Cần nhắn hỏi thăm",IF(AND($I458&lt;&gt;"",$I458&gt;=TODAY()),"📅 Đã hẹn "&amp;TEXT($I458,"dd/mm"),IF(TODAY()-$C458&gt;=2*IF($G458="",30,$G458),"🔴 Lâu rồi chưa quay lại",IF(TODAY()-$C458&gt;=IF($G458="",30,$G458),"🟡 Tới kỳ chăm sóc tiếp","🟢 Chưa tới kỳ — chưa cần làm gì"))))))</f>
        <v/>
      </c>
    </row>
    <row r="459">
      <c r="A459" s="16" t="n"/>
      <c r="B459" s="16" t="n"/>
      <c r="C459" s="17" t="n"/>
      <c r="D459" s="18" t="n"/>
      <c r="E459" s="18" t="n"/>
      <c r="F459" s="16" t="n"/>
      <c r="G459" s="16" t="n"/>
      <c r="H459" s="16" t="n"/>
      <c r="I459" s="17" t="n"/>
      <c r="J459" s="19">
        <f>IF($A459="","",IF($C459="","⚠️ Thiếu ngày làm gần nhất",IF(AND(TODAY()-$C459&lt;=2,$H459&lt;&gt;"Có"),"💬 Cần nhắn hỏi thăm",IF(AND($I459&lt;&gt;"",$I459&gt;=TODAY()),"📅 Đã hẹn "&amp;TEXT($I459,"dd/mm"),IF(TODAY()-$C459&gt;=2*IF($G459="",30,$G459),"🔴 Lâu rồi chưa quay lại",IF(TODAY()-$C459&gt;=IF($G459="",30,$G459),"🟡 Tới kỳ chăm sóc tiếp","🟢 Chưa tới kỳ — chưa cần làm gì"))))))</f>
        <v/>
      </c>
    </row>
    <row r="460">
      <c r="A460" s="16" t="n"/>
      <c r="B460" s="16" t="n"/>
      <c r="C460" s="17" t="n"/>
      <c r="D460" s="18" t="n"/>
      <c r="E460" s="18" t="n"/>
      <c r="F460" s="16" t="n"/>
      <c r="G460" s="16" t="n"/>
      <c r="H460" s="16" t="n"/>
      <c r="I460" s="17" t="n"/>
      <c r="J460" s="19">
        <f>IF($A460="","",IF($C460="","⚠️ Thiếu ngày làm gần nhất",IF(AND(TODAY()-$C460&lt;=2,$H460&lt;&gt;"Có"),"💬 Cần nhắn hỏi thăm",IF(AND($I460&lt;&gt;"",$I460&gt;=TODAY()),"📅 Đã hẹn "&amp;TEXT($I460,"dd/mm"),IF(TODAY()-$C460&gt;=2*IF($G460="",30,$G460),"🔴 Lâu rồi chưa quay lại",IF(TODAY()-$C460&gt;=IF($G460="",30,$G460),"🟡 Tới kỳ chăm sóc tiếp","🟢 Chưa tới kỳ — chưa cần làm gì"))))))</f>
        <v/>
      </c>
    </row>
    <row r="461">
      <c r="A461" s="16" t="n"/>
      <c r="B461" s="16" t="n"/>
      <c r="C461" s="17" t="n"/>
      <c r="D461" s="18" t="n"/>
      <c r="E461" s="18" t="n"/>
      <c r="F461" s="16" t="n"/>
      <c r="G461" s="16" t="n"/>
      <c r="H461" s="16" t="n"/>
      <c r="I461" s="17" t="n"/>
      <c r="J461" s="19">
        <f>IF($A461="","",IF($C461="","⚠️ Thiếu ngày làm gần nhất",IF(AND(TODAY()-$C461&lt;=2,$H461&lt;&gt;"Có"),"💬 Cần nhắn hỏi thăm",IF(AND($I461&lt;&gt;"",$I461&gt;=TODAY()),"📅 Đã hẹn "&amp;TEXT($I461,"dd/mm"),IF(TODAY()-$C461&gt;=2*IF($G461="",30,$G461),"🔴 Lâu rồi chưa quay lại",IF(TODAY()-$C461&gt;=IF($G461="",30,$G461),"🟡 Tới kỳ chăm sóc tiếp","🟢 Chưa tới kỳ — chưa cần làm gì"))))))</f>
        <v/>
      </c>
    </row>
    <row r="462">
      <c r="A462" s="16" t="n"/>
      <c r="B462" s="16" t="n"/>
      <c r="C462" s="17" t="n"/>
      <c r="D462" s="18" t="n"/>
      <c r="E462" s="18" t="n"/>
      <c r="F462" s="16" t="n"/>
      <c r="G462" s="16" t="n"/>
      <c r="H462" s="16" t="n"/>
      <c r="I462" s="17" t="n"/>
      <c r="J462" s="19">
        <f>IF($A462="","",IF($C462="","⚠️ Thiếu ngày làm gần nhất",IF(AND(TODAY()-$C462&lt;=2,$H462&lt;&gt;"Có"),"💬 Cần nhắn hỏi thăm",IF(AND($I462&lt;&gt;"",$I462&gt;=TODAY()),"📅 Đã hẹn "&amp;TEXT($I462,"dd/mm"),IF(TODAY()-$C462&gt;=2*IF($G462="",30,$G462),"🔴 Lâu rồi chưa quay lại",IF(TODAY()-$C462&gt;=IF($G462="",30,$G462),"🟡 Tới kỳ chăm sóc tiếp","🟢 Chưa tới kỳ — chưa cần làm gì"))))))</f>
        <v/>
      </c>
    </row>
    <row r="463">
      <c r="A463" s="16" t="n"/>
      <c r="B463" s="16" t="n"/>
      <c r="C463" s="17" t="n"/>
      <c r="D463" s="18" t="n"/>
      <c r="E463" s="18" t="n"/>
      <c r="F463" s="16" t="n"/>
      <c r="G463" s="16" t="n"/>
      <c r="H463" s="16" t="n"/>
      <c r="I463" s="17" t="n"/>
      <c r="J463" s="19">
        <f>IF($A463="","",IF($C463="","⚠️ Thiếu ngày làm gần nhất",IF(AND(TODAY()-$C463&lt;=2,$H463&lt;&gt;"Có"),"💬 Cần nhắn hỏi thăm",IF(AND($I463&lt;&gt;"",$I463&gt;=TODAY()),"📅 Đã hẹn "&amp;TEXT($I463,"dd/mm"),IF(TODAY()-$C463&gt;=2*IF($G463="",30,$G463),"🔴 Lâu rồi chưa quay lại",IF(TODAY()-$C463&gt;=IF($G463="",30,$G463),"🟡 Tới kỳ chăm sóc tiếp","🟢 Chưa tới kỳ — chưa cần làm gì"))))))</f>
        <v/>
      </c>
    </row>
    <row r="464">
      <c r="A464" s="16" t="n"/>
      <c r="B464" s="16" t="n"/>
      <c r="C464" s="17" t="n"/>
      <c r="D464" s="18" t="n"/>
      <c r="E464" s="18" t="n"/>
      <c r="F464" s="16" t="n"/>
      <c r="G464" s="16" t="n"/>
      <c r="H464" s="16" t="n"/>
      <c r="I464" s="17" t="n"/>
      <c r="J464" s="19">
        <f>IF($A464="","",IF($C464="","⚠️ Thiếu ngày làm gần nhất",IF(AND(TODAY()-$C464&lt;=2,$H464&lt;&gt;"Có"),"💬 Cần nhắn hỏi thăm",IF(AND($I464&lt;&gt;"",$I464&gt;=TODAY()),"📅 Đã hẹn "&amp;TEXT($I464,"dd/mm"),IF(TODAY()-$C464&gt;=2*IF($G464="",30,$G464),"🔴 Lâu rồi chưa quay lại",IF(TODAY()-$C464&gt;=IF($G464="",30,$G464),"🟡 Tới kỳ chăm sóc tiếp","🟢 Chưa tới kỳ — chưa cần làm gì"))))))</f>
        <v/>
      </c>
    </row>
    <row r="465">
      <c r="A465" s="16" t="n"/>
      <c r="B465" s="16" t="n"/>
      <c r="C465" s="17" t="n"/>
      <c r="D465" s="18" t="n"/>
      <c r="E465" s="18" t="n"/>
      <c r="F465" s="16" t="n"/>
      <c r="G465" s="16" t="n"/>
      <c r="H465" s="16" t="n"/>
      <c r="I465" s="17" t="n"/>
      <c r="J465" s="19">
        <f>IF($A465="","",IF($C465="","⚠️ Thiếu ngày làm gần nhất",IF(AND(TODAY()-$C465&lt;=2,$H465&lt;&gt;"Có"),"💬 Cần nhắn hỏi thăm",IF(AND($I465&lt;&gt;"",$I465&gt;=TODAY()),"📅 Đã hẹn "&amp;TEXT($I465,"dd/mm"),IF(TODAY()-$C465&gt;=2*IF($G465="",30,$G465),"🔴 Lâu rồi chưa quay lại",IF(TODAY()-$C465&gt;=IF($G465="",30,$G465),"🟡 Tới kỳ chăm sóc tiếp","🟢 Chưa tới kỳ — chưa cần làm gì"))))))</f>
        <v/>
      </c>
    </row>
    <row r="466">
      <c r="A466" s="16" t="n"/>
      <c r="B466" s="16" t="n"/>
      <c r="C466" s="17" t="n"/>
      <c r="D466" s="18" t="n"/>
      <c r="E466" s="18" t="n"/>
      <c r="F466" s="16" t="n"/>
      <c r="G466" s="16" t="n"/>
      <c r="H466" s="16" t="n"/>
      <c r="I466" s="17" t="n"/>
      <c r="J466" s="19">
        <f>IF($A466="","",IF($C466="","⚠️ Thiếu ngày làm gần nhất",IF(AND(TODAY()-$C466&lt;=2,$H466&lt;&gt;"Có"),"💬 Cần nhắn hỏi thăm",IF(AND($I466&lt;&gt;"",$I466&gt;=TODAY()),"📅 Đã hẹn "&amp;TEXT($I466,"dd/mm"),IF(TODAY()-$C466&gt;=2*IF($G466="",30,$G466),"🔴 Lâu rồi chưa quay lại",IF(TODAY()-$C466&gt;=IF($G466="",30,$G466),"🟡 Tới kỳ chăm sóc tiếp","🟢 Chưa tới kỳ — chưa cần làm gì"))))))</f>
        <v/>
      </c>
    </row>
    <row r="467">
      <c r="A467" s="16" t="n"/>
      <c r="B467" s="16" t="n"/>
      <c r="C467" s="17" t="n"/>
      <c r="D467" s="18" t="n"/>
      <c r="E467" s="18" t="n"/>
      <c r="F467" s="16" t="n"/>
      <c r="G467" s="16" t="n"/>
      <c r="H467" s="16" t="n"/>
      <c r="I467" s="17" t="n"/>
      <c r="J467" s="19">
        <f>IF($A467="","",IF($C467="","⚠️ Thiếu ngày làm gần nhất",IF(AND(TODAY()-$C467&lt;=2,$H467&lt;&gt;"Có"),"💬 Cần nhắn hỏi thăm",IF(AND($I467&lt;&gt;"",$I467&gt;=TODAY()),"📅 Đã hẹn "&amp;TEXT($I467,"dd/mm"),IF(TODAY()-$C467&gt;=2*IF($G467="",30,$G467),"🔴 Lâu rồi chưa quay lại",IF(TODAY()-$C467&gt;=IF($G467="",30,$G467),"🟡 Tới kỳ chăm sóc tiếp","🟢 Chưa tới kỳ — chưa cần làm gì"))))))</f>
        <v/>
      </c>
    </row>
    <row r="468">
      <c r="A468" s="16" t="n"/>
      <c r="B468" s="16" t="n"/>
      <c r="C468" s="17" t="n"/>
      <c r="D468" s="18" t="n"/>
      <c r="E468" s="18" t="n"/>
      <c r="F468" s="16" t="n"/>
      <c r="G468" s="16" t="n"/>
      <c r="H468" s="16" t="n"/>
      <c r="I468" s="17" t="n"/>
      <c r="J468" s="19">
        <f>IF($A468="","",IF($C468="","⚠️ Thiếu ngày làm gần nhất",IF(AND(TODAY()-$C468&lt;=2,$H468&lt;&gt;"Có"),"💬 Cần nhắn hỏi thăm",IF(AND($I468&lt;&gt;"",$I468&gt;=TODAY()),"📅 Đã hẹn "&amp;TEXT($I468,"dd/mm"),IF(TODAY()-$C468&gt;=2*IF($G468="",30,$G468),"🔴 Lâu rồi chưa quay lại",IF(TODAY()-$C468&gt;=IF($G468="",30,$G468),"🟡 Tới kỳ chăm sóc tiếp","🟢 Chưa tới kỳ — chưa cần làm gì"))))))</f>
        <v/>
      </c>
    </row>
    <row r="469">
      <c r="A469" s="16" t="n"/>
      <c r="B469" s="16" t="n"/>
      <c r="C469" s="17" t="n"/>
      <c r="D469" s="18" t="n"/>
      <c r="E469" s="18" t="n"/>
      <c r="F469" s="16" t="n"/>
      <c r="G469" s="16" t="n"/>
      <c r="H469" s="16" t="n"/>
      <c r="I469" s="17" t="n"/>
      <c r="J469" s="19">
        <f>IF($A469="","",IF($C469="","⚠️ Thiếu ngày làm gần nhất",IF(AND(TODAY()-$C469&lt;=2,$H469&lt;&gt;"Có"),"💬 Cần nhắn hỏi thăm",IF(AND($I469&lt;&gt;"",$I469&gt;=TODAY()),"📅 Đã hẹn "&amp;TEXT($I469,"dd/mm"),IF(TODAY()-$C469&gt;=2*IF($G469="",30,$G469),"🔴 Lâu rồi chưa quay lại",IF(TODAY()-$C469&gt;=IF($G469="",30,$G469),"🟡 Tới kỳ chăm sóc tiếp","🟢 Chưa tới kỳ — chưa cần làm gì"))))))</f>
        <v/>
      </c>
    </row>
    <row r="470">
      <c r="A470" s="16" t="n"/>
      <c r="B470" s="16" t="n"/>
      <c r="C470" s="17" t="n"/>
      <c r="D470" s="18" t="n"/>
      <c r="E470" s="18" t="n"/>
      <c r="F470" s="16" t="n"/>
      <c r="G470" s="16" t="n"/>
      <c r="H470" s="16" t="n"/>
      <c r="I470" s="17" t="n"/>
      <c r="J470" s="19">
        <f>IF($A470="","",IF($C470="","⚠️ Thiếu ngày làm gần nhất",IF(AND(TODAY()-$C470&lt;=2,$H470&lt;&gt;"Có"),"💬 Cần nhắn hỏi thăm",IF(AND($I470&lt;&gt;"",$I470&gt;=TODAY()),"📅 Đã hẹn "&amp;TEXT($I470,"dd/mm"),IF(TODAY()-$C470&gt;=2*IF($G470="",30,$G470),"🔴 Lâu rồi chưa quay lại",IF(TODAY()-$C470&gt;=IF($G470="",30,$G470),"🟡 Tới kỳ chăm sóc tiếp","🟢 Chưa tới kỳ — chưa cần làm gì"))))))</f>
        <v/>
      </c>
    </row>
    <row r="471">
      <c r="A471" s="16" t="n"/>
      <c r="B471" s="16" t="n"/>
      <c r="C471" s="17" t="n"/>
      <c r="D471" s="18" t="n"/>
      <c r="E471" s="18" t="n"/>
      <c r="F471" s="16" t="n"/>
      <c r="G471" s="16" t="n"/>
      <c r="H471" s="16" t="n"/>
      <c r="I471" s="17" t="n"/>
      <c r="J471" s="19">
        <f>IF($A471="","",IF($C471="","⚠️ Thiếu ngày làm gần nhất",IF(AND(TODAY()-$C471&lt;=2,$H471&lt;&gt;"Có"),"💬 Cần nhắn hỏi thăm",IF(AND($I471&lt;&gt;"",$I471&gt;=TODAY()),"📅 Đã hẹn "&amp;TEXT($I471,"dd/mm"),IF(TODAY()-$C471&gt;=2*IF($G471="",30,$G471),"🔴 Lâu rồi chưa quay lại",IF(TODAY()-$C471&gt;=IF($G471="",30,$G471),"🟡 Tới kỳ chăm sóc tiếp","🟢 Chưa tới kỳ — chưa cần làm gì"))))))</f>
        <v/>
      </c>
    </row>
    <row r="472">
      <c r="A472" s="16" t="n"/>
      <c r="B472" s="16" t="n"/>
      <c r="C472" s="17" t="n"/>
      <c r="D472" s="18" t="n"/>
      <c r="E472" s="18" t="n"/>
      <c r="F472" s="16" t="n"/>
      <c r="G472" s="16" t="n"/>
      <c r="H472" s="16" t="n"/>
      <c r="I472" s="17" t="n"/>
      <c r="J472" s="19">
        <f>IF($A472="","",IF($C472="","⚠️ Thiếu ngày làm gần nhất",IF(AND(TODAY()-$C472&lt;=2,$H472&lt;&gt;"Có"),"💬 Cần nhắn hỏi thăm",IF(AND($I472&lt;&gt;"",$I472&gt;=TODAY()),"📅 Đã hẹn "&amp;TEXT($I472,"dd/mm"),IF(TODAY()-$C472&gt;=2*IF($G472="",30,$G472),"🔴 Lâu rồi chưa quay lại",IF(TODAY()-$C472&gt;=IF($G472="",30,$G472),"🟡 Tới kỳ chăm sóc tiếp","🟢 Chưa tới kỳ — chưa cần làm gì"))))))</f>
        <v/>
      </c>
    </row>
    <row r="473">
      <c r="A473" s="16" t="n"/>
      <c r="B473" s="16" t="n"/>
      <c r="C473" s="17" t="n"/>
      <c r="D473" s="18" t="n"/>
      <c r="E473" s="18" t="n"/>
      <c r="F473" s="16" t="n"/>
      <c r="G473" s="16" t="n"/>
      <c r="H473" s="16" t="n"/>
      <c r="I473" s="17" t="n"/>
      <c r="J473" s="19">
        <f>IF($A473="","",IF($C473="","⚠️ Thiếu ngày làm gần nhất",IF(AND(TODAY()-$C473&lt;=2,$H473&lt;&gt;"Có"),"💬 Cần nhắn hỏi thăm",IF(AND($I473&lt;&gt;"",$I473&gt;=TODAY()),"📅 Đã hẹn "&amp;TEXT($I473,"dd/mm"),IF(TODAY()-$C473&gt;=2*IF($G473="",30,$G473),"🔴 Lâu rồi chưa quay lại",IF(TODAY()-$C473&gt;=IF($G473="",30,$G473),"🟡 Tới kỳ chăm sóc tiếp","🟢 Chưa tới kỳ — chưa cần làm gì"))))))</f>
        <v/>
      </c>
    </row>
    <row r="474">
      <c r="A474" s="16" t="n"/>
      <c r="B474" s="16" t="n"/>
      <c r="C474" s="17" t="n"/>
      <c r="D474" s="18" t="n"/>
      <c r="E474" s="18" t="n"/>
      <c r="F474" s="16" t="n"/>
      <c r="G474" s="16" t="n"/>
      <c r="H474" s="16" t="n"/>
      <c r="I474" s="17" t="n"/>
      <c r="J474" s="19">
        <f>IF($A474="","",IF($C474="","⚠️ Thiếu ngày làm gần nhất",IF(AND(TODAY()-$C474&lt;=2,$H474&lt;&gt;"Có"),"💬 Cần nhắn hỏi thăm",IF(AND($I474&lt;&gt;"",$I474&gt;=TODAY()),"📅 Đã hẹn "&amp;TEXT($I474,"dd/mm"),IF(TODAY()-$C474&gt;=2*IF($G474="",30,$G474),"🔴 Lâu rồi chưa quay lại",IF(TODAY()-$C474&gt;=IF($G474="",30,$G474),"🟡 Tới kỳ chăm sóc tiếp","🟢 Chưa tới kỳ — chưa cần làm gì"))))))</f>
        <v/>
      </c>
    </row>
    <row r="475">
      <c r="A475" s="16" t="n"/>
      <c r="B475" s="16" t="n"/>
      <c r="C475" s="17" t="n"/>
      <c r="D475" s="18" t="n"/>
      <c r="E475" s="18" t="n"/>
      <c r="F475" s="16" t="n"/>
      <c r="G475" s="16" t="n"/>
      <c r="H475" s="16" t="n"/>
      <c r="I475" s="17" t="n"/>
      <c r="J475" s="19">
        <f>IF($A475="","",IF($C475="","⚠️ Thiếu ngày làm gần nhất",IF(AND(TODAY()-$C475&lt;=2,$H475&lt;&gt;"Có"),"💬 Cần nhắn hỏi thăm",IF(AND($I475&lt;&gt;"",$I475&gt;=TODAY()),"📅 Đã hẹn "&amp;TEXT($I475,"dd/mm"),IF(TODAY()-$C475&gt;=2*IF($G475="",30,$G475),"🔴 Lâu rồi chưa quay lại",IF(TODAY()-$C475&gt;=IF($G475="",30,$G475),"🟡 Tới kỳ chăm sóc tiếp","🟢 Chưa tới kỳ — chưa cần làm gì"))))))</f>
        <v/>
      </c>
    </row>
    <row r="476">
      <c r="A476" s="16" t="n"/>
      <c r="B476" s="16" t="n"/>
      <c r="C476" s="17" t="n"/>
      <c r="D476" s="18" t="n"/>
      <c r="E476" s="18" t="n"/>
      <c r="F476" s="16" t="n"/>
      <c r="G476" s="16" t="n"/>
      <c r="H476" s="16" t="n"/>
      <c r="I476" s="17" t="n"/>
      <c r="J476" s="19">
        <f>IF($A476="","",IF($C476="","⚠️ Thiếu ngày làm gần nhất",IF(AND(TODAY()-$C476&lt;=2,$H476&lt;&gt;"Có"),"💬 Cần nhắn hỏi thăm",IF(AND($I476&lt;&gt;"",$I476&gt;=TODAY()),"📅 Đã hẹn "&amp;TEXT($I476,"dd/mm"),IF(TODAY()-$C476&gt;=2*IF($G476="",30,$G476),"🔴 Lâu rồi chưa quay lại",IF(TODAY()-$C476&gt;=IF($G476="",30,$G476),"🟡 Tới kỳ chăm sóc tiếp","🟢 Chưa tới kỳ — chưa cần làm gì"))))))</f>
        <v/>
      </c>
    </row>
    <row r="477">
      <c r="A477" s="16" t="n"/>
      <c r="B477" s="16" t="n"/>
      <c r="C477" s="17" t="n"/>
      <c r="D477" s="18" t="n"/>
      <c r="E477" s="18" t="n"/>
      <c r="F477" s="16" t="n"/>
      <c r="G477" s="16" t="n"/>
      <c r="H477" s="16" t="n"/>
      <c r="I477" s="17" t="n"/>
      <c r="J477" s="19">
        <f>IF($A477="","",IF($C477="","⚠️ Thiếu ngày làm gần nhất",IF(AND(TODAY()-$C477&lt;=2,$H477&lt;&gt;"Có"),"💬 Cần nhắn hỏi thăm",IF(AND($I477&lt;&gt;"",$I477&gt;=TODAY()),"📅 Đã hẹn "&amp;TEXT($I477,"dd/mm"),IF(TODAY()-$C477&gt;=2*IF($G477="",30,$G477),"🔴 Lâu rồi chưa quay lại",IF(TODAY()-$C477&gt;=IF($G477="",30,$G477),"🟡 Tới kỳ chăm sóc tiếp","🟢 Chưa tới kỳ — chưa cần làm gì"))))))</f>
        <v/>
      </c>
    </row>
    <row r="478">
      <c r="A478" s="16" t="n"/>
      <c r="B478" s="16" t="n"/>
      <c r="C478" s="17" t="n"/>
      <c r="D478" s="18" t="n"/>
      <c r="E478" s="18" t="n"/>
      <c r="F478" s="16" t="n"/>
      <c r="G478" s="16" t="n"/>
      <c r="H478" s="16" t="n"/>
      <c r="I478" s="17" t="n"/>
      <c r="J478" s="19">
        <f>IF($A478="","",IF($C478="","⚠️ Thiếu ngày làm gần nhất",IF(AND(TODAY()-$C478&lt;=2,$H478&lt;&gt;"Có"),"💬 Cần nhắn hỏi thăm",IF(AND($I478&lt;&gt;"",$I478&gt;=TODAY()),"📅 Đã hẹn "&amp;TEXT($I478,"dd/mm"),IF(TODAY()-$C478&gt;=2*IF($G478="",30,$G478),"🔴 Lâu rồi chưa quay lại",IF(TODAY()-$C478&gt;=IF($G478="",30,$G478),"🟡 Tới kỳ chăm sóc tiếp","🟢 Chưa tới kỳ — chưa cần làm gì"))))))</f>
        <v/>
      </c>
    </row>
    <row r="479">
      <c r="A479" s="16" t="n"/>
      <c r="B479" s="16" t="n"/>
      <c r="C479" s="17" t="n"/>
      <c r="D479" s="18" t="n"/>
      <c r="E479" s="18" t="n"/>
      <c r="F479" s="16" t="n"/>
      <c r="G479" s="16" t="n"/>
      <c r="H479" s="16" t="n"/>
      <c r="I479" s="17" t="n"/>
      <c r="J479" s="19">
        <f>IF($A479="","",IF($C479="","⚠️ Thiếu ngày làm gần nhất",IF(AND(TODAY()-$C479&lt;=2,$H479&lt;&gt;"Có"),"💬 Cần nhắn hỏi thăm",IF(AND($I479&lt;&gt;"",$I479&gt;=TODAY()),"📅 Đã hẹn "&amp;TEXT($I479,"dd/mm"),IF(TODAY()-$C479&gt;=2*IF($G479="",30,$G479),"🔴 Lâu rồi chưa quay lại",IF(TODAY()-$C479&gt;=IF($G479="",30,$G479),"🟡 Tới kỳ chăm sóc tiếp","🟢 Chưa tới kỳ — chưa cần làm gì"))))))</f>
        <v/>
      </c>
    </row>
    <row r="480">
      <c r="A480" s="16" t="n"/>
      <c r="B480" s="16" t="n"/>
      <c r="C480" s="17" t="n"/>
      <c r="D480" s="18" t="n"/>
      <c r="E480" s="18" t="n"/>
      <c r="F480" s="16" t="n"/>
      <c r="G480" s="16" t="n"/>
      <c r="H480" s="16" t="n"/>
      <c r="I480" s="17" t="n"/>
      <c r="J480" s="19">
        <f>IF($A480="","",IF($C480="","⚠️ Thiếu ngày làm gần nhất",IF(AND(TODAY()-$C480&lt;=2,$H480&lt;&gt;"Có"),"💬 Cần nhắn hỏi thăm",IF(AND($I480&lt;&gt;"",$I480&gt;=TODAY()),"📅 Đã hẹn "&amp;TEXT($I480,"dd/mm"),IF(TODAY()-$C480&gt;=2*IF($G480="",30,$G480),"🔴 Lâu rồi chưa quay lại",IF(TODAY()-$C480&gt;=IF($G480="",30,$G480),"🟡 Tới kỳ chăm sóc tiếp","🟢 Chưa tới kỳ — chưa cần làm gì"))))))</f>
        <v/>
      </c>
    </row>
    <row r="481">
      <c r="A481" s="16" t="n"/>
      <c r="B481" s="16" t="n"/>
      <c r="C481" s="17" t="n"/>
      <c r="D481" s="18" t="n"/>
      <c r="E481" s="18" t="n"/>
      <c r="F481" s="16" t="n"/>
      <c r="G481" s="16" t="n"/>
      <c r="H481" s="16" t="n"/>
      <c r="I481" s="17" t="n"/>
      <c r="J481" s="19">
        <f>IF($A481="","",IF($C481="","⚠️ Thiếu ngày làm gần nhất",IF(AND(TODAY()-$C481&lt;=2,$H481&lt;&gt;"Có"),"💬 Cần nhắn hỏi thăm",IF(AND($I481&lt;&gt;"",$I481&gt;=TODAY()),"📅 Đã hẹn "&amp;TEXT($I481,"dd/mm"),IF(TODAY()-$C481&gt;=2*IF($G481="",30,$G481),"🔴 Lâu rồi chưa quay lại",IF(TODAY()-$C481&gt;=IF($G481="",30,$G481),"🟡 Tới kỳ chăm sóc tiếp","🟢 Chưa tới kỳ — chưa cần làm gì"))))))</f>
        <v/>
      </c>
    </row>
    <row r="482">
      <c r="A482" s="16" t="n"/>
      <c r="B482" s="16" t="n"/>
      <c r="C482" s="17" t="n"/>
      <c r="D482" s="18" t="n"/>
      <c r="E482" s="18" t="n"/>
      <c r="F482" s="16" t="n"/>
      <c r="G482" s="16" t="n"/>
      <c r="H482" s="16" t="n"/>
      <c r="I482" s="17" t="n"/>
      <c r="J482" s="19">
        <f>IF($A482="","",IF($C482="","⚠️ Thiếu ngày làm gần nhất",IF(AND(TODAY()-$C482&lt;=2,$H482&lt;&gt;"Có"),"💬 Cần nhắn hỏi thăm",IF(AND($I482&lt;&gt;"",$I482&gt;=TODAY()),"📅 Đã hẹn "&amp;TEXT($I482,"dd/mm"),IF(TODAY()-$C482&gt;=2*IF($G482="",30,$G482),"🔴 Lâu rồi chưa quay lại",IF(TODAY()-$C482&gt;=IF($G482="",30,$G482),"🟡 Tới kỳ chăm sóc tiếp","🟢 Chưa tới kỳ — chưa cần làm gì"))))))</f>
        <v/>
      </c>
    </row>
    <row r="483">
      <c r="A483" s="16" t="n"/>
      <c r="B483" s="16" t="n"/>
      <c r="C483" s="17" t="n"/>
      <c r="D483" s="18" t="n"/>
      <c r="E483" s="18" t="n"/>
      <c r="F483" s="16" t="n"/>
      <c r="G483" s="16" t="n"/>
      <c r="H483" s="16" t="n"/>
      <c r="I483" s="17" t="n"/>
      <c r="J483" s="19">
        <f>IF($A483="","",IF($C483="","⚠️ Thiếu ngày làm gần nhất",IF(AND(TODAY()-$C483&lt;=2,$H483&lt;&gt;"Có"),"💬 Cần nhắn hỏi thăm",IF(AND($I483&lt;&gt;"",$I483&gt;=TODAY()),"📅 Đã hẹn "&amp;TEXT($I483,"dd/mm"),IF(TODAY()-$C483&gt;=2*IF($G483="",30,$G483),"🔴 Lâu rồi chưa quay lại",IF(TODAY()-$C483&gt;=IF($G483="",30,$G483),"🟡 Tới kỳ chăm sóc tiếp","🟢 Chưa tới kỳ — chưa cần làm gì"))))))</f>
        <v/>
      </c>
    </row>
    <row r="484">
      <c r="A484" s="16" t="n"/>
      <c r="B484" s="16" t="n"/>
      <c r="C484" s="17" t="n"/>
      <c r="D484" s="18" t="n"/>
      <c r="E484" s="18" t="n"/>
      <c r="F484" s="16" t="n"/>
      <c r="G484" s="16" t="n"/>
      <c r="H484" s="16" t="n"/>
      <c r="I484" s="17" t="n"/>
      <c r="J484" s="19">
        <f>IF($A484="","",IF($C484="","⚠️ Thiếu ngày làm gần nhất",IF(AND(TODAY()-$C484&lt;=2,$H484&lt;&gt;"Có"),"💬 Cần nhắn hỏi thăm",IF(AND($I484&lt;&gt;"",$I484&gt;=TODAY()),"📅 Đã hẹn "&amp;TEXT($I484,"dd/mm"),IF(TODAY()-$C484&gt;=2*IF($G484="",30,$G484),"🔴 Lâu rồi chưa quay lại",IF(TODAY()-$C484&gt;=IF($G484="",30,$G484),"🟡 Tới kỳ chăm sóc tiếp","🟢 Chưa tới kỳ — chưa cần làm gì"))))))</f>
        <v/>
      </c>
    </row>
    <row r="485">
      <c r="A485" s="16" t="n"/>
      <c r="B485" s="16" t="n"/>
      <c r="C485" s="17" t="n"/>
      <c r="D485" s="18" t="n"/>
      <c r="E485" s="18" t="n"/>
      <c r="F485" s="16" t="n"/>
      <c r="G485" s="16" t="n"/>
      <c r="H485" s="16" t="n"/>
      <c r="I485" s="17" t="n"/>
      <c r="J485" s="19">
        <f>IF($A485="","",IF($C485="","⚠️ Thiếu ngày làm gần nhất",IF(AND(TODAY()-$C485&lt;=2,$H485&lt;&gt;"Có"),"💬 Cần nhắn hỏi thăm",IF(AND($I485&lt;&gt;"",$I485&gt;=TODAY()),"📅 Đã hẹn "&amp;TEXT($I485,"dd/mm"),IF(TODAY()-$C485&gt;=2*IF($G485="",30,$G485),"🔴 Lâu rồi chưa quay lại",IF(TODAY()-$C485&gt;=IF($G485="",30,$G485),"🟡 Tới kỳ chăm sóc tiếp","🟢 Chưa tới kỳ — chưa cần làm gì"))))))</f>
        <v/>
      </c>
    </row>
    <row r="486">
      <c r="A486" s="16" t="n"/>
      <c r="B486" s="16" t="n"/>
      <c r="C486" s="17" t="n"/>
      <c r="D486" s="18" t="n"/>
      <c r="E486" s="18" t="n"/>
      <c r="F486" s="16" t="n"/>
      <c r="G486" s="16" t="n"/>
      <c r="H486" s="16" t="n"/>
      <c r="I486" s="17" t="n"/>
      <c r="J486" s="19">
        <f>IF($A486="","",IF($C486="","⚠️ Thiếu ngày làm gần nhất",IF(AND(TODAY()-$C486&lt;=2,$H486&lt;&gt;"Có"),"💬 Cần nhắn hỏi thăm",IF(AND($I486&lt;&gt;"",$I486&gt;=TODAY()),"📅 Đã hẹn "&amp;TEXT($I486,"dd/mm"),IF(TODAY()-$C486&gt;=2*IF($G486="",30,$G486),"🔴 Lâu rồi chưa quay lại",IF(TODAY()-$C486&gt;=IF($G486="",30,$G486),"🟡 Tới kỳ chăm sóc tiếp","🟢 Chưa tới kỳ — chưa cần làm gì"))))))</f>
        <v/>
      </c>
    </row>
    <row r="487">
      <c r="A487" s="16" t="n"/>
      <c r="B487" s="16" t="n"/>
      <c r="C487" s="17" t="n"/>
      <c r="D487" s="18" t="n"/>
      <c r="E487" s="18" t="n"/>
      <c r="F487" s="16" t="n"/>
      <c r="G487" s="16" t="n"/>
      <c r="H487" s="16" t="n"/>
      <c r="I487" s="17" t="n"/>
      <c r="J487" s="19">
        <f>IF($A487="","",IF($C487="","⚠️ Thiếu ngày làm gần nhất",IF(AND(TODAY()-$C487&lt;=2,$H487&lt;&gt;"Có"),"💬 Cần nhắn hỏi thăm",IF(AND($I487&lt;&gt;"",$I487&gt;=TODAY()),"📅 Đã hẹn "&amp;TEXT($I487,"dd/mm"),IF(TODAY()-$C487&gt;=2*IF($G487="",30,$G487),"🔴 Lâu rồi chưa quay lại",IF(TODAY()-$C487&gt;=IF($G487="",30,$G487),"🟡 Tới kỳ chăm sóc tiếp","🟢 Chưa tới kỳ — chưa cần làm gì"))))))</f>
        <v/>
      </c>
    </row>
    <row r="488">
      <c r="A488" s="16" t="n"/>
      <c r="B488" s="16" t="n"/>
      <c r="C488" s="17" t="n"/>
      <c r="D488" s="18" t="n"/>
      <c r="E488" s="18" t="n"/>
      <c r="F488" s="16" t="n"/>
      <c r="G488" s="16" t="n"/>
      <c r="H488" s="16" t="n"/>
      <c r="I488" s="17" t="n"/>
      <c r="J488" s="19">
        <f>IF($A488="","",IF($C488="","⚠️ Thiếu ngày làm gần nhất",IF(AND(TODAY()-$C488&lt;=2,$H488&lt;&gt;"Có"),"💬 Cần nhắn hỏi thăm",IF(AND($I488&lt;&gt;"",$I488&gt;=TODAY()),"📅 Đã hẹn "&amp;TEXT($I488,"dd/mm"),IF(TODAY()-$C488&gt;=2*IF($G488="",30,$G488),"🔴 Lâu rồi chưa quay lại",IF(TODAY()-$C488&gt;=IF($G488="",30,$G488),"🟡 Tới kỳ chăm sóc tiếp","🟢 Chưa tới kỳ — chưa cần làm gì"))))))</f>
        <v/>
      </c>
    </row>
    <row r="489">
      <c r="A489" s="16" t="n"/>
      <c r="B489" s="16" t="n"/>
      <c r="C489" s="17" t="n"/>
      <c r="D489" s="18" t="n"/>
      <c r="E489" s="18" t="n"/>
      <c r="F489" s="16" t="n"/>
      <c r="G489" s="16" t="n"/>
      <c r="H489" s="16" t="n"/>
      <c r="I489" s="17" t="n"/>
      <c r="J489" s="19">
        <f>IF($A489="","",IF($C489="","⚠️ Thiếu ngày làm gần nhất",IF(AND(TODAY()-$C489&lt;=2,$H489&lt;&gt;"Có"),"💬 Cần nhắn hỏi thăm",IF(AND($I489&lt;&gt;"",$I489&gt;=TODAY()),"📅 Đã hẹn "&amp;TEXT($I489,"dd/mm"),IF(TODAY()-$C489&gt;=2*IF($G489="",30,$G489),"🔴 Lâu rồi chưa quay lại",IF(TODAY()-$C489&gt;=IF($G489="",30,$G489),"🟡 Tới kỳ chăm sóc tiếp","🟢 Chưa tới kỳ — chưa cần làm gì"))))))</f>
        <v/>
      </c>
    </row>
    <row r="490">
      <c r="A490" s="16" t="n"/>
      <c r="B490" s="16" t="n"/>
      <c r="C490" s="17" t="n"/>
      <c r="D490" s="18" t="n"/>
      <c r="E490" s="18" t="n"/>
      <c r="F490" s="16" t="n"/>
      <c r="G490" s="16" t="n"/>
      <c r="H490" s="16" t="n"/>
      <c r="I490" s="17" t="n"/>
      <c r="J490" s="19">
        <f>IF($A490="","",IF($C490="","⚠️ Thiếu ngày làm gần nhất",IF(AND(TODAY()-$C490&lt;=2,$H490&lt;&gt;"Có"),"💬 Cần nhắn hỏi thăm",IF(AND($I490&lt;&gt;"",$I490&gt;=TODAY()),"📅 Đã hẹn "&amp;TEXT($I490,"dd/mm"),IF(TODAY()-$C490&gt;=2*IF($G490="",30,$G490),"🔴 Lâu rồi chưa quay lại",IF(TODAY()-$C490&gt;=IF($G490="",30,$G490),"🟡 Tới kỳ chăm sóc tiếp","🟢 Chưa tới kỳ — chưa cần làm gì"))))))</f>
        <v/>
      </c>
    </row>
    <row r="491">
      <c r="A491" s="16" t="n"/>
      <c r="B491" s="16" t="n"/>
      <c r="C491" s="17" t="n"/>
      <c r="D491" s="18" t="n"/>
      <c r="E491" s="18" t="n"/>
      <c r="F491" s="16" t="n"/>
      <c r="G491" s="16" t="n"/>
      <c r="H491" s="16" t="n"/>
      <c r="I491" s="17" t="n"/>
      <c r="J491" s="19">
        <f>IF($A491="","",IF($C491="","⚠️ Thiếu ngày làm gần nhất",IF(AND(TODAY()-$C491&lt;=2,$H491&lt;&gt;"Có"),"💬 Cần nhắn hỏi thăm",IF(AND($I491&lt;&gt;"",$I491&gt;=TODAY()),"📅 Đã hẹn "&amp;TEXT($I491,"dd/mm"),IF(TODAY()-$C491&gt;=2*IF($G491="",30,$G491),"🔴 Lâu rồi chưa quay lại",IF(TODAY()-$C491&gt;=IF($G491="",30,$G491),"🟡 Tới kỳ chăm sóc tiếp","🟢 Chưa tới kỳ — chưa cần làm gì"))))))</f>
        <v/>
      </c>
    </row>
    <row r="492">
      <c r="A492" s="16" t="n"/>
      <c r="B492" s="16" t="n"/>
      <c r="C492" s="17" t="n"/>
      <c r="D492" s="18" t="n"/>
      <c r="E492" s="18" t="n"/>
      <c r="F492" s="16" t="n"/>
      <c r="G492" s="16" t="n"/>
      <c r="H492" s="16" t="n"/>
      <c r="I492" s="17" t="n"/>
      <c r="J492" s="19">
        <f>IF($A492="","",IF($C492="","⚠️ Thiếu ngày làm gần nhất",IF(AND(TODAY()-$C492&lt;=2,$H492&lt;&gt;"Có"),"💬 Cần nhắn hỏi thăm",IF(AND($I492&lt;&gt;"",$I492&gt;=TODAY()),"📅 Đã hẹn "&amp;TEXT($I492,"dd/mm"),IF(TODAY()-$C492&gt;=2*IF($G492="",30,$G492),"🔴 Lâu rồi chưa quay lại",IF(TODAY()-$C492&gt;=IF($G492="",30,$G492),"🟡 Tới kỳ chăm sóc tiếp","🟢 Chưa tới kỳ — chưa cần làm gì"))))))</f>
        <v/>
      </c>
    </row>
    <row r="493">
      <c r="A493" s="16" t="n"/>
      <c r="B493" s="16" t="n"/>
      <c r="C493" s="17" t="n"/>
      <c r="D493" s="18" t="n"/>
      <c r="E493" s="18" t="n"/>
      <c r="F493" s="16" t="n"/>
      <c r="G493" s="16" t="n"/>
      <c r="H493" s="16" t="n"/>
      <c r="I493" s="17" t="n"/>
      <c r="J493" s="19">
        <f>IF($A493="","",IF($C493="","⚠️ Thiếu ngày làm gần nhất",IF(AND(TODAY()-$C493&lt;=2,$H493&lt;&gt;"Có"),"💬 Cần nhắn hỏi thăm",IF(AND($I493&lt;&gt;"",$I493&gt;=TODAY()),"📅 Đã hẹn "&amp;TEXT($I493,"dd/mm"),IF(TODAY()-$C493&gt;=2*IF($G493="",30,$G493),"🔴 Lâu rồi chưa quay lại",IF(TODAY()-$C493&gt;=IF($G493="",30,$G493),"🟡 Tới kỳ chăm sóc tiếp","🟢 Chưa tới kỳ — chưa cần làm gì"))))))</f>
        <v/>
      </c>
    </row>
    <row r="494">
      <c r="A494" s="16" t="n"/>
      <c r="B494" s="16" t="n"/>
      <c r="C494" s="17" t="n"/>
      <c r="D494" s="18" t="n"/>
      <c r="E494" s="18" t="n"/>
      <c r="F494" s="16" t="n"/>
      <c r="G494" s="16" t="n"/>
      <c r="H494" s="16" t="n"/>
      <c r="I494" s="17" t="n"/>
      <c r="J494" s="19">
        <f>IF($A494="","",IF($C494="","⚠️ Thiếu ngày làm gần nhất",IF(AND(TODAY()-$C494&lt;=2,$H494&lt;&gt;"Có"),"💬 Cần nhắn hỏi thăm",IF(AND($I494&lt;&gt;"",$I494&gt;=TODAY()),"📅 Đã hẹn "&amp;TEXT($I494,"dd/mm"),IF(TODAY()-$C494&gt;=2*IF($G494="",30,$G494),"🔴 Lâu rồi chưa quay lại",IF(TODAY()-$C494&gt;=IF($G494="",30,$G494),"🟡 Tới kỳ chăm sóc tiếp","🟢 Chưa tới kỳ — chưa cần làm gì"))))))</f>
        <v/>
      </c>
    </row>
    <row r="495">
      <c r="A495" s="16" t="n"/>
      <c r="B495" s="16" t="n"/>
      <c r="C495" s="17" t="n"/>
      <c r="D495" s="18" t="n"/>
      <c r="E495" s="18" t="n"/>
      <c r="F495" s="16" t="n"/>
      <c r="G495" s="16" t="n"/>
      <c r="H495" s="16" t="n"/>
      <c r="I495" s="17" t="n"/>
      <c r="J495" s="19">
        <f>IF($A495="","",IF($C495="","⚠️ Thiếu ngày làm gần nhất",IF(AND(TODAY()-$C495&lt;=2,$H495&lt;&gt;"Có"),"💬 Cần nhắn hỏi thăm",IF(AND($I495&lt;&gt;"",$I495&gt;=TODAY()),"📅 Đã hẹn "&amp;TEXT($I495,"dd/mm"),IF(TODAY()-$C495&gt;=2*IF($G495="",30,$G495),"🔴 Lâu rồi chưa quay lại",IF(TODAY()-$C495&gt;=IF($G495="",30,$G495),"🟡 Tới kỳ chăm sóc tiếp","🟢 Chưa tới kỳ — chưa cần làm gì"))))))</f>
        <v/>
      </c>
    </row>
    <row r="496">
      <c r="A496" s="16" t="n"/>
      <c r="B496" s="16" t="n"/>
      <c r="C496" s="17" t="n"/>
      <c r="D496" s="18" t="n"/>
      <c r="E496" s="18" t="n"/>
      <c r="F496" s="16" t="n"/>
      <c r="G496" s="16" t="n"/>
      <c r="H496" s="16" t="n"/>
      <c r="I496" s="17" t="n"/>
      <c r="J496" s="19">
        <f>IF($A496="","",IF($C496="","⚠️ Thiếu ngày làm gần nhất",IF(AND(TODAY()-$C496&lt;=2,$H496&lt;&gt;"Có"),"💬 Cần nhắn hỏi thăm",IF(AND($I496&lt;&gt;"",$I496&gt;=TODAY()),"📅 Đã hẹn "&amp;TEXT($I496,"dd/mm"),IF(TODAY()-$C496&gt;=2*IF($G496="",30,$G496),"🔴 Lâu rồi chưa quay lại",IF(TODAY()-$C496&gt;=IF($G496="",30,$G496),"🟡 Tới kỳ chăm sóc tiếp","🟢 Chưa tới kỳ — chưa cần làm gì"))))))</f>
        <v/>
      </c>
    </row>
    <row r="497">
      <c r="A497" s="16" t="n"/>
      <c r="B497" s="16" t="n"/>
      <c r="C497" s="17" t="n"/>
      <c r="D497" s="18" t="n"/>
      <c r="E497" s="18" t="n"/>
      <c r="F497" s="16" t="n"/>
      <c r="G497" s="16" t="n"/>
      <c r="H497" s="16" t="n"/>
      <c r="I497" s="17" t="n"/>
      <c r="J497" s="19">
        <f>IF($A497="","",IF($C497="","⚠️ Thiếu ngày làm gần nhất",IF(AND(TODAY()-$C497&lt;=2,$H497&lt;&gt;"Có"),"💬 Cần nhắn hỏi thăm",IF(AND($I497&lt;&gt;"",$I497&gt;=TODAY()),"📅 Đã hẹn "&amp;TEXT($I497,"dd/mm"),IF(TODAY()-$C497&gt;=2*IF($G497="",30,$G497),"🔴 Lâu rồi chưa quay lại",IF(TODAY()-$C497&gt;=IF($G497="",30,$G497),"🟡 Tới kỳ chăm sóc tiếp","🟢 Chưa tới kỳ — chưa cần làm gì"))))))</f>
        <v/>
      </c>
    </row>
    <row r="498">
      <c r="A498" s="16" t="n"/>
      <c r="B498" s="16" t="n"/>
      <c r="C498" s="17" t="n"/>
      <c r="D498" s="18" t="n"/>
      <c r="E498" s="18" t="n"/>
      <c r="F498" s="16" t="n"/>
      <c r="G498" s="16" t="n"/>
      <c r="H498" s="16" t="n"/>
      <c r="I498" s="17" t="n"/>
      <c r="J498" s="19">
        <f>IF($A498="","",IF($C498="","⚠️ Thiếu ngày làm gần nhất",IF(AND(TODAY()-$C498&lt;=2,$H498&lt;&gt;"Có"),"💬 Cần nhắn hỏi thăm",IF(AND($I498&lt;&gt;"",$I498&gt;=TODAY()),"📅 Đã hẹn "&amp;TEXT($I498,"dd/mm"),IF(TODAY()-$C498&gt;=2*IF($G498="",30,$G498),"🔴 Lâu rồi chưa quay lại",IF(TODAY()-$C498&gt;=IF($G498="",30,$G498),"🟡 Tới kỳ chăm sóc tiếp","🟢 Chưa tới kỳ — chưa cần làm gì"))))))</f>
        <v/>
      </c>
    </row>
    <row r="499">
      <c r="A499" s="16" t="n"/>
      <c r="B499" s="16" t="n"/>
      <c r="C499" s="17" t="n"/>
      <c r="D499" s="18" t="n"/>
      <c r="E499" s="18" t="n"/>
      <c r="F499" s="16" t="n"/>
      <c r="G499" s="16" t="n"/>
      <c r="H499" s="16" t="n"/>
      <c r="I499" s="17" t="n"/>
      <c r="J499" s="19">
        <f>IF($A499="","",IF($C499="","⚠️ Thiếu ngày làm gần nhất",IF(AND(TODAY()-$C499&lt;=2,$H499&lt;&gt;"Có"),"💬 Cần nhắn hỏi thăm",IF(AND($I499&lt;&gt;"",$I499&gt;=TODAY()),"📅 Đã hẹn "&amp;TEXT($I499,"dd/mm"),IF(TODAY()-$C499&gt;=2*IF($G499="",30,$G499),"🔴 Lâu rồi chưa quay lại",IF(TODAY()-$C499&gt;=IF($G499="",30,$G499),"🟡 Tới kỳ chăm sóc tiếp","🟢 Chưa tới kỳ — chưa cần làm gì"))))))</f>
        <v/>
      </c>
    </row>
    <row r="500">
      <c r="A500" s="16" t="n"/>
      <c r="B500" s="16" t="n"/>
      <c r="C500" s="17" t="n"/>
      <c r="D500" s="18" t="n"/>
      <c r="E500" s="18" t="n"/>
      <c r="F500" s="16" t="n"/>
      <c r="G500" s="16" t="n"/>
      <c r="H500" s="16" t="n"/>
      <c r="I500" s="17" t="n"/>
      <c r="J500" s="19">
        <f>IF($A500="","",IF($C500="","⚠️ Thiếu ngày làm gần nhất",IF(AND(TODAY()-$C500&lt;=2,$H500&lt;&gt;"Có"),"💬 Cần nhắn hỏi thăm",IF(AND($I500&lt;&gt;"",$I500&gt;=TODAY()),"📅 Đã hẹn "&amp;TEXT($I500,"dd/mm"),IF(TODAY()-$C500&gt;=2*IF($G500="",30,$G500),"🔴 Lâu rồi chưa quay lại",IF(TODAY()-$C500&gt;=IF($G500="",30,$G500),"🟡 Tới kỳ chăm sóc tiếp","🟢 Chưa tới kỳ — chưa cần làm gì"))))))</f>
        <v/>
      </c>
    </row>
    <row r="501">
      <c r="A501" s="16" t="n"/>
      <c r="B501" s="16" t="n"/>
      <c r="C501" s="17" t="n"/>
      <c r="D501" s="18" t="n"/>
      <c r="E501" s="18" t="n"/>
      <c r="F501" s="16" t="n"/>
      <c r="G501" s="16" t="n"/>
      <c r="H501" s="16" t="n"/>
      <c r="I501" s="17" t="n"/>
      <c r="J501" s="19">
        <f>IF($A501="","",IF($C501="","⚠️ Thiếu ngày làm gần nhất",IF(AND(TODAY()-$C501&lt;=2,$H501&lt;&gt;"Có"),"💬 Cần nhắn hỏi thăm",IF(AND($I501&lt;&gt;"",$I501&gt;=TODAY()),"📅 Đã hẹn "&amp;TEXT($I501,"dd/mm"),IF(TODAY()-$C501&gt;=2*IF($G501="",30,$G501),"🔴 Lâu rồi chưa quay lại",IF(TODAY()-$C501&gt;=IF($G501="",30,$G501),"🟡 Tới kỳ chăm sóc tiếp","🟢 Chưa tới kỳ — chưa cần làm gì"))))))</f>
        <v/>
      </c>
    </row>
    <row r="502">
      <c r="A502" s="16" t="n"/>
      <c r="B502" s="16" t="n"/>
      <c r="C502" s="17" t="n"/>
      <c r="D502" s="18" t="n"/>
      <c r="E502" s="18" t="n"/>
      <c r="F502" s="16" t="n"/>
      <c r="G502" s="16" t="n"/>
      <c r="H502" s="16" t="n"/>
      <c r="I502" s="17" t="n"/>
      <c r="J502" s="19">
        <f>IF($A502="","",IF($C502="","⚠️ Thiếu ngày làm gần nhất",IF(AND(TODAY()-$C502&lt;=2,$H502&lt;&gt;"Có"),"💬 Cần nhắn hỏi thăm",IF(AND($I502&lt;&gt;"",$I502&gt;=TODAY()),"📅 Đã hẹn "&amp;TEXT($I502,"dd/mm"),IF(TODAY()-$C502&gt;=2*IF($G502="",30,$G502),"🔴 Lâu rồi chưa quay lại",IF(TODAY()-$C502&gt;=IF($G502="",30,$G502),"🟡 Tới kỳ chăm sóc tiếp","🟢 Chưa tới kỳ — chưa cần làm gì"))))))</f>
        <v/>
      </c>
    </row>
    <row r="503">
      <c r="A503" s="16" t="n"/>
      <c r="B503" s="16" t="n"/>
      <c r="C503" s="17" t="n"/>
      <c r="D503" s="18" t="n"/>
      <c r="E503" s="18" t="n"/>
      <c r="F503" s="16" t="n"/>
      <c r="G503" s="16" t="n"/>
      <c r="H503" s="16" t="n"/>
      <c r="I503" s="17" t="n"/>
      <c r="J503" s="19">
        <f>IF($A503="","",IF($C503="","⚠️ Thiếu ngày làm gần nhất",IF(AND(TODAY()-$C503&lt;=2,$H503&lt;&gt;"Có"),"💬 Cần nhắn hỏi thăm",IF(AND($I503&lt;&gt;"",$I503&gt;=TODAY()),"📅 Đã hẹn "&amp;TEXT($I503,"dd/mm"),IF(TODAY()-$C503&gt;=2*IF($G503="",30,$G503),"🔴 Lâu rồi chưa quay lại",IF(TODAY()-$C503&gt;=IF($G503="",30,$G503),"🟡 Tới kỳ chăm sóc tiếp","🟢 Chưa tới kỳ — chưa cần làm gì"))))))</f>
        <v/>
      </c>
    </row>
    <row r="504">
      <c r="A504" s="16" t="n"/>
      <c r="B504" s="16" t="n"/>
      <c r="C504" s="17" t="n"/>
      <c r="D504" s="18" t="n"/>
      <c r="E504" s="18" t="n"/>
      <c r="F504" s="16" t="n"/>
      <c r="G504" s="16" t="n"/>
      <c r="H504" s="16" t="n"/>
      <c r="I504" s="17" t="n"/>
      <c r="J504" s="19">
        <f>IF($A504="","",IF($C504="","⚠️ Thiếu ngày làm gần nhất",IF(AND(TODAY()-$C504&lt;=2,$H504&lt;&gt;"Có"),"💬 Cần nhắn hỏi thăm",IF(AND($I504&lt;&gt;"",$I504&gt;=TODAY()),"📅 Đã hẹn "&amp;TEXT($I504,"dd/mm"),IF(TODAY()-$C504&gt;=2*IF($G504="",30,$G504),"🔴 Lâu rồi chưa quay lại",IF(TODAY()-$C504&gt;=IF($G504="",30,$G504),"🟡 Tới kỳ chăm sóc tiếp","🟢 Chưa tới kỳ — chưa cần làm gì"))))))</f>
        <v/>
      </c>
    </row>
  </sheetData>
  <autoFilter ref="A4:J504"/>
  <mergeCells count="2">
    <mergeCell ref="A1:J1"/>
    <mergeCell ref="A2:J2"/>
  </mergeCells>
  <dataValidations count="1">
    <dataValidation sqref="H5:H504" showDropDown="0" showInputMessage="0" showErrorMessage="0" allowBlank="1" type="list">
      <formula1>"Có,Chưa"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2" customWidth="1" min="3" max="3"/>
  </cols>
  <sheetData>
    <row r="1" ht="28" customHeight="1">
      <c r="A1" s="1" t="inlineStr">
        <is>
          <t>2. KHÁCH CẦN CHĂM SÓC HÔM NAY</t>
        </is>
      </c>
    </row>
    <row r="2">
      <c r="A2" s="2" t="inlineStr">
        <is>
          <t>Tự chạy từ sheet 「1. SỔ KHÁCH」 — chị không cần gõ gì ở đây.</t>
        </is>
      </c>
    </row>
    <row r="3">
      <c r="A3" s="20">
        <f>"Hôm nay: "&amp;TEXT(TODAY(),"dd/mm/yyyy")</f>
        <v/>
      </c>
    </row>
    <row r="5" ht="26" customHeight="1">
      <c r="A5" s="4" t="inlineStr">
        <is>
          <t>Việc hôm nay</t>
        </is>
      </c>
      <c r="B5" s="4" t="inlineStr">
        <is>
          <t>Số khách</t>
        </is>
      </c>
      <c r="C5" s="4" t="inlineStr">
        <is>
          <t>Làm gì</t>
        </is>
      </c>
    </row>
    <row r="6" ht="28" customHeight="1">
      <c r="A6" s="9" t="inlineStr">
        <is>
          <t>💬 Khách vừa làm xong — cần nhắn hỏi thăm</t>
        </is>
      </c>
      <c r="B6" s="10">
        <f>'4. CÀI ĐẶT'!$B$8</f>
        <v/>
      </c>
      <c r="C6" s="5" t="inlineStr">
        <is>
          <t>Nhắn hỏi da khách có ổn không. Không bán gì thêm.</t>
        </is>
      </c>
    </row>
    <row r="7" ht="28" customHeight="1">
      <c r="A7" s="9" t="inlineStr">
        <is>
          <t>🟡 Khách đã tới kỳ — nên nhắc quay lại</t>
        </is>
      </c>
      <c r="B7" s="10">
        <f>'4. CÀI ĐẶT'!$B$9</f>
        <v/>
      </c>
      <c r="C7" s="5" t="inlineStr">
        <is>
          <t>Nhắn nhắc nhẹ kèm gợi ý ngày trống trong tuần.</t>
        </is>
      </c>
    </row>
    <row r="8" ht="28" customHeight="1">
      <c r="A8" s="9" t="inlineStr">
        <is>
          <t>🔴 Khách lâu rồi chưa quay lại</t>
        </is>
      </c>
      <c r="B8" s="10">
        <f>'4. CÀI ĐẶT'!$B$10</f>
        <v/>
      </c>
      <c r="C8" s="5" t="inlineStr">
        <is>
          <t>Chọn 3 người, hỏi thăm trước, đừng chào bán ngay.</t>
        </is>
      </c>
    </row>
    <row r="9" ht="28" customHeight="1">
      <c r="A9" s="9" t="inlineStr">
        <is>
          <t>📅 Khách đã hẹn ngày quay lại</t>
        </is>
      </c>
      <c r="B9" s="10">
        <f>'4. CÀI ĐẶT'!$B$11</f>
        <v/>
      </c>
      <c r="C9" s="5" t="inlineStr">
        <is>
          <t>Nhắc lại trước ngày hẹn 1 hôm.</t>
        </is>
      </c>
    </row>
    <row r="11" ht="24" customHeight="1">
      <c r="A11" s="3" t="inlineStr">
        <is>
          <t>KHÁCH CÓ QUAY LẠI KHÔNG?</t>
        </is>
      </c>
    </row>
    <row r="12" ht="44" customHeight="1">
      <c r="A12" s="9" t="inlineStr">
        <is>
          <t>Tỷ lệ khách quay lại (từ 2 lần trở lên)</t>
        </is>
      </c>
      <c r="B12" s="10">
        <f>IF('4. CÀI ĐẶT'!$B$12&lt;10,"⚪",IF('4. CÀI ĐẶT'!$B$14&lt;0.3,"🔴",IF('4. CÀI ĐẶT'!$B$14&lt;0.5,"🟡","🟢"))&amp;" "&amp;TEXT('4. CÀI ĐẶT'!$B$14,"0%"))</f>
        <v/>
      </c>
      <c r="C12" s="5">
        <f>IF('4. CÀI ĐẶT'!$B$12&lt;10,"Chưa đủ — mới có "&amp;'4. CÀI ĐẶT'!$B$12&amp;" khách trong sổ. Ghi đủ 20 khách gần nhất để con số này có nghĩa.",IF('4. CÀI ĐẶT'!$B$14&lt;0.3,"Dưới 30% khách quay lại. Vấn đề không nằm ở tay nghề — spa đang thiếu những việc giữ khách ở lại.",IF('4. CÀI ĐẶT'!$B$14&lt;0.5,"Khách có quay lại nhưng chưa đều — vẫn còn việc giữ khách đang bỏ trống.","Phần lớn khách quay lại — bảy việc giữ khách của spa đang chạy tốt.")))</f>
        <v/>
      </c>
    </row>
    <row r="14" ht="44" customHeight="1">
      <c r="A14" s="9" t="inlineStr">
        <is>
          <t>Việc nên làm hôm nay</t>
        </is>
      </c>
      <c r="B14" s="12">
        <f>IF('4. CÀI ĐẶT'!$B$12=0,"Sổ khách đang trống. Chép 20 khách gần nhất vào sheet 1. SỔ KHÁCH trước đã.",IF('4. CÀI ĐẶT'!$B$8&gt;0,"Nhắn hỏi thăm "&amp;'4. CÀI ĐẶT'!$B$8&amp;" khách vừa làm xong trong 2 ngày qua.",IF('4. CÀI ĐẶT'!$B$9&gt;0,"Nhắc "&amp;'4. CÀI ĐẶT'!$B$9&amp;" khách đã tới kỳ quay lại — bắt đầu từ 3 người đầu danh sách.",IF('4. CÀI ĐẶT'!$B$10&gt;0,"Hỏi thăm "&amp;'4. CÀI ĐẶT'!$B$10&amp;" khách đang nguội. Hỏi thăm trước, đừng chào bán ngay.","Hôm nay chưa có ai cần nhắn. Giữ nếp ghi sổ sau mỗi buổi làm."))))</f>
        <v/>
      </c>
      <c r="C14" s="11" t="n"/>
    </row>
    <row r="16">
      <c r="A16" s="21" t="inlineStr">
        <is>
          <t>Cách xem danh sách tên: sang sheet 「1. SỔ KHÁCH」, bấm mũi tên lọc ở cột J “Tình trạng khách” rồi chọn nhóm chị muốn chăm.</t>
        </is>
      </c>
    </row>
    <row r="18" ht="30" customHeight="1">
      <c r="A18" s="15" t="inlineStr">
        <is>
          <t>Khách vẫn không quay lại dù spa đã làm đủ 7 việc? → Chẩn Đoán Sức Khỏe Spa cùng Đàm Thanh Hoa. [Chị dán link/QR vào đây trước khi gửi khách]</t>
        </is>
      </c>
      <c r="B18" s="13" t="n"/>
      <c r="C18" s="11" t="n"/>
    </row>
  </sheetData>
  <mergeCells count="7">
    <mergeCell ref="A11:C11"/>
    <mergeCell ref="A1:C1"/>
    <mergeCell ref="A16:C16"/>
    <mergeCell ref="A18:C18"/>
    <mergeCell ref="B14:C14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22" t="inlineStr">
        <is>
          <t>3. HƯỚNG DẪN DÙNG</t>
        </is>
      </c>
    </row>
    <row r="2" ht="22" customHeight="1">
      <c r="A2" s="23" t="inlineStr">
        <is>
          <t>Bản đồ này trả lời một câu hỏi: khách của spa chị đang thuộc về SPA, hay đang thuộc về trí nhớ của một người?</t>
        </is>
      </c>
    </row>
    <row r="3" ht="20" customHeight="1">
      <c r="A3" s="24" t="inlineStr"/>
    </row>
    <row r="4" ht="22" customHeight="1">
      <c r="A4" s="25" t="inlineStr">
        <is>
          <t>DÙNG THẾ NÀO — 5 BƯỚC</t>
        </is>
      </c>
    </row>
    <row r="5" ht="20" customHeight="1">
      <c r="A5" s="24" t="inlineStr">
        <is>
          <t>1. Bấm File → Tạo bản sao (để có bản của riêng chị, điền được).</t>
        </is>
      </c>
    </row>
    <row r="6" ht="20" customHeight="1">
      <c r="A6" s="24" t="inlineStr">
        <is>
          <t>2. Sang sheet 「0. SPA ĐANG GIỮ KHÁCH THẾ NÀO」, xóa câu trả lời mẫu rồi trả lời 7 câu của spa mình (khoảng 5 phút).</t>
        </is>
      </c>
    </row>
    <row r="7" ht="20" customHeight="1">
      <c r="A7" s="24" t="inlineStr">
        <is>
          <t>3. Đọc BƯỚC 2 — bốn con số sẽ tự hiện ra, và BƯỚC 3 — một việc nên làm ngay.</t>
        </is>
      </c>
    </row>
    <row r="8" ht="20" customHeight="1">
      <c r="A8" s="24" t="inlineStr">
        <is>
          <t>4. Sang sheet 「1. SỔ KHÁCH」, xóa 5 dòng mẫu rồi chép 20 khách gần nhất vào.</t>
        </is>
      </c>
    </row>
    <row r="9" ht="20" customHeight="1">
      <c r="A9" s="24" t="inlineStr">
        <is>
          <t>5. Mỗi sáng mở sheet 「2. KHÁCH CẦN CHĂM SÓC HÔM NAY」 — bảng tự nói hôm nay cần chăm khách nào.</t>
        </is>
      </c>
    </row>
    <row r="10" ht="20" customHeight="1">
      <c r="A10" s="24" t="inlineStr"/>
    </row>
    <row r="11" ht="22" customHeight="1">
      <c r="A11" s="25" t="inlineStr">
        <is>
          <t>KHI NÀO MỘT VIỆC GIỮ KHÁCH MỚI CHẮC CHẮN</t>
        </is>
      </c>
    </row>
    <row r="12" ht="20" customHeight="1">
      <c r="A12" s="24" t="inlineStr">
        <is>
          <t>Bảy việc trong bảng này việc nào cũng quen. Cái quyết định không phải là spa CÓ làm hay không, mà là việc đó đang nằm ở đâu.</t>
        </is>
      </c>
    </row>
    <row r="13" ht="20" customHeight="1">
      <c r="A13" s="24" t="inlineStr">
        <is>
          <t>Ví dụ việc nhắn hỏi thăm khách: nếu chỉ một người nhớ mà làm thì hôm người đó nghỉ, khách không ai hỏi thăm — rồi khách đi theo người đó.</t>
        </is>
      </c>
    </row>
    <row r="14" ht="20" customHeight="1">
      <c r="A14" s="24" t="inlineStr">
        <is>
          <t>Cũng việc đó, nếu được ghi vào sổ và có lịch nhắc thì ai làm cũng được. Khách ở lại với spa, không ở lại với một người.</t>
        </is>
      </c>
    </row>
    <row r="15" ht="20" customHeight="1">
      <c r="A15" s="24" t="inlineStr"/>
    </row>
    <row r="16" ht="22" customHeight="1">
      <c r="A16" s="25" t="inlineStr">
        <is>
          <t>Ý NGHĨA CÁC CỘT TRONG SỔ KHÁCH</t>
        </is>
      </c>
    </row>
    <row r="17" ht="20" customHeight="1">
      <c r="A17" s="24" t="inlineStr">
        <is>
          <t>• Ngày làm gần nhất: bảng dựa vào cột này để biết khách sắp tới kỳ hay đã nguội.</t>
        </is>
      </c>
    </row>
    <row r="18" ht="20" customHeight="1">
      <c r="A18" s="24" t="inlineStr">
        <is>
          <t>• Số lần khách đã tới: dùng để đếm tỷ lệ khách quay lại. Khách mới thì ghi 1.</t>
        </is>
      </c>
    </row>
    <row r="19" ht="20" customHeight="1">
      <c r="A19" s="24" t="inlineStr">
        <is>
          <t>• Chu kỳ nên quay lại (ngày): mỗi dịch vụ một khác. Để trống thì bảng tự hiểu là 30 ngày.</t>
        </is>
      </c>
    </row>
    <row r="20" ht="20" customHeight="1">
      <c r="A20" s="24" t="inlineStr">
        <is>
          <t>• Đã hỏi thăm sau buổi? Chọn Có sau khi đã nhắn hỏi khách.</t>
        </is>
      </c>
    </row>
    <row r="21" ht="20" customHeight="1">
      <c r="A21" s="24" t="inlineStr">
        <is>
          <t>• Đã hẹn ngày quay lại: điền ngày nếu khách đã chốt lịch.</t>
        </is>
      </c>
    </row>
    <row r="22" ht="20" customHeight="1">
      <c r="A22" s="24" t="inlineStr">
        <is>
          <t>• Tình trạng khách: cột này tự chạy, chị không gõ vào.</t>
        </is>
      </c>
    </row>
    <row r="23" ht="20" customHeight="1">
      <c r="A23" s="24" t="inlineStr"/>
    </row>
    <row r="24" ht="22" customHeight="1">
      <c r="A24" s="25" t="inlineStr">
        <is>
          <t>LƯU Ý KHI TẠO BẢN SAO</t>
        </is>
      </c>
    </row>
    <row r="25" ht="20" customHeight="1">
      <c r="A25" s="24" t="inlineStr">
        <is>
          <t>Vào File → Cài đặt → chọn Ngôn ngữ/Khu vực là Việt Nam, để ngày tháng và dấu chấm phân cách hiện đúng.</t>
        </is>
      </c>
    </row>
    <row r="26" ht="20" customHeight="1">
      <c r="A26" s="24" t="inlineStr"/>
    </row>
    <row r="27" ht="22" customHeight="1">
      <c r="A27" s="25" t="inlineStr">
        <is>
          <t>MỘT ĐIỀU THẬT LÒNG</t>
        </is>
      </c>
    </row>
    <row r="28" ht="20" customHeight="1">
      <c r="A28" s="24" t="inlineStr">
        <is>
          <t>Khách không quay lại thường không phải vì tay nghề. Phần lớn là vì không có gì giữ họ lại — ngoài trí nhớ của một người đang rất bận.</t>
        </is>
      </c>
    </row>
    <row r="29" ht="20" customHeight="1">
      <c r="A29" s="24" t="inlineStr">
        <is>
          <t>Đàm Thanh Hoa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20" t="inlineStr">
        <is>
          <t>BỘ ĐẾM — sheet kỹ thuật, không sửa</t>
        </is>
      </c>
    </row>
    <row r="2">
      <c r="A2" s="26" t="inlineStr">
        <is>
          <t>X — việc đã thành nếp (Có + ghi lại được)</t>
        </is>
      </c>
      <c r="B2" s="20">
        <f>COUNTIFS('0. SPA ĐANG GIỮ KHÁCH THẾ NÀO'!$B$6:$B$12,"Có",'0. SPA ĐANG GIỮ KHÁCH THẾ NÀO'!$C$6:$C$12,"Đã thành quy trình — có ghi lại, ai làm cũng theo được")</f>
        <v/>
      </c>
    </row>
    <row r="3">
      <c r="A3" s="26" t="inlineStr">
        <is>
          <t>Y — việc chỉ một người nhớ (Có + trí nhớ)</t>
        </is>
      </c>
      <c r="B3" s="20">
        <f>COUNTIFS('0. SPA ĐANG GIỮ KHÁCH THẾ NÀO'!$B$6:$B$12,"Có",'0. SPA ĐANG GIỮ KHÁCH THẾ NÀO'!$C$6:$C$12,"Chưa ghi lại — chỉ một người nhớ rồi làm")</f>
        <v/>
      </c>
    </row>
    <row r="4">
      <c r="A4" s="26" t="inlineStr">
        <is>
          <t>Z — việc chưa làm</t>
        </is>
      </c>
      <c r="B4" s="20">
        <f>COUNTIF('0. SPA ĐANG GIỮ KHÁCH THẾ NÀO'!$B$6:$B$12,"Chưa")</f>
        <v/>
      </c>
    </row>
    <row r="5">
      <c r="A5" s="26" t="inlineStr">
        <is>
          <t>Số câu đã trả lời trọn vẹn</t>
        </is>
      </c>
      <c r="B5" s="20">
        <f>B2+B3+B4</f>
        <v/>
      </c>
    </row>
    <row r="6">
      <c r="A6" s="26" t="inlineStr">
        <is>
          <t>Số câu còn thiếu</t>
        </is>
      </c>
      <c r="B6" s="20">
        <f>7-B5</f>
        <v/>
      </c>
    </row>
    <row r="8">
      <c r="A8" s="26" t="inlineStr">
        <is>
          <t>Đếm 💬 cần hỏi thăm</t>
        </is>
      </c>
      <c r="B8" s="20">
        <f>COUNTIF('1. SỔ KHÁCH'!$J$5:$J$504,"💬*")</f>
        <v/>
      </c>
    </row>
    <row r="9">
      <c r="A9" s="26" t="inlineStr">
        <is>
          <t>Đếm 🟡 tới kỳ</t>
        </is>
      </c>
      <c r="B9" s="20">
        <f>COUNTIF('1. SỔ KHÁCH'!$J$5:$J$504,"🟡*")</f>
        <v/>
      </c>
    </row>
    <row r="10">
      <c r="A10" s="26" t="inlineStr">
        <is>
          <t>Đếm 🔴 nguội</t>
        </is>
      </c>
      <c r="B10" s="20">
        <f>COUNTIF('1. SỔ KHÁCH'!$J$5:$J$504,"🔴*")</f>
        <v/>
      </c>
    </row>
    <row r="11">
      <c r="A11" s="26" t="inlineStr">
        <is>
          <t>Đếm 📅 đã hẹn</t>
        </is>
      </c>
      <c r="B11" s="20">
        <f>COUNTIF('1. SỔ KHÁCH'!$J$5:$J$504,"📅*")</f>
        <v/>
      </c>
    </row>
    <row r="12">
      <c r="A12" s="26" t="inlineStr">
        <is>
          <t>N — số khách trong sổ</t>
        </is>
      </c>
      <c r="B12" s="20">
        <f>COUNTA('1. SỔ KHÁCH'!$A$5:$A$504)</f>
        <v/>
      </c>
    </row>
    <row r="13">
      <c r="A13" s="26" t="inlineStr">
        <is>
          <t>M — số khách đã tới từ 2 lần</t>
        </is>
      </c>
      <c r="B13" s="20">
        <f>COUNTIFS('1. SỔ KHÁCH'!$A$5:$A$504,"?*",'1. SỔ KHÁCH'!$F$5:$F$504,"&gt;=2")</f>
        <v/>
      </c>
    </row>
    <row r="14">
      <c r="A14" s="26" t="inlineStr">
        <is>
          <t>Tỷ lệ khách quay lại</t>
        </is>
      </c>
      <c r="B14" s="20">
        <f>IF(B12=0,0,B13/B12)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2026-07-22T10:05:23Z</dcterms:created>
  <dcterms:modified xmlns:dcterms="http://purl.org/dc/terms/" xmlns:xsi="http://www.w3.org/2001/XMLSchema-instance" xsi:type="dcterms:W3CDTF">2026-07-22T10:05:25Z</dcterms:modified>
</cp:coreProperties>
</file>