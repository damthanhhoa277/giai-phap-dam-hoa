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OI NHANH" sheetId="1" state="visible" r:id="rId1"/>
    <sheet xmlns:r="http://schemas.openxmlformats.org/officeDocument/2006/relationships" name="1. SOP 3 NGÀY" sheetId="2" state="visible" r:id="rId2"/>
    <sheet xmlns:r="http://schemas.openxmlformats.org/officeDocument/2006/relationships" name="2. NGƯỜI MỚI TỚI ĐÂU" sheetId="3" state="visible" r:id="rId3"/>
    <sheet xmlns:r="http://schemas.openxmlformats.org/officeDocument/2006/relationships" name="3. HƯỚNG DẪN" sheetId="4" state="visible" r:id="rId4"/>
    <sheet xmlns:r="http://schemas.openxmlformats.org/officeDocument/2006/relationships" name="4. CÀI ĐẶT" sheetId="5" state="hidden" r:id="rId5"/>
  </sheets>
  <definedNames>
    <definedName name="_xlnm._FilterDatabase" localSheetId="1" hidden="1">'1. SOP 3 NGÀY'!$A$4:$G$36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3E3A32"/>
      <sz val="18"/>
    </font>
    <font>
      <name val="Calibri"/>
      <i val="1"/>
      <color rgb="006B6455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2B2822"/>
      <sz val="11"/>
    </font>
    <font>
      <name val="Calibri"/>
      <color rgb="002B2822"/>
      <sz val="11"/>
    </font>
    <font>
      <name val="Calibri"/>
      <b val="1"/>
      <color rgb="003E3A32"/>
      <sz val="14"/>
    </font>
    <font>
      <name val="Calibri"/>
      <b val="1"/>
      <color rgb="007A3E12"/>
      <sz val="12"/>
    </font>
    <font>
      <name val="Calibri"/>
      <b val="1"/>
      <color rgb="007A3E12"/>
      <sz val="11"/>
    </font>
    <font>
      <name val="Calibri"/>
      <i val="1"/>
      <color rgb="006B6455"/>
      <sz val="10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4A4438"/>
      </patternFill>
    </fill>
    <fill>
      <patternFill patternType="solid">
        <fgColor rgb="00C8A44B"/>
      </patternFill>
    </fill>
    <fill>
      <patternFill patternType="solid">
        <fgColor rgb="00FFF6D9"/>
      </patternFill>
    </fill>
    <fill>
      <patternFill patternType="solid">
        <fgColor rgb="00FBF7EF"/>
      </patternFill>
    </fill>
    <fill>
      <patternFill patternType="solid">
        <fgColor rgb="00F6E6BE"/>
      </patternFill>
    </fill>
    <fill>
      <patternFill patternType="solid">
        <fgColor rgb="00EDE6D6"/>
      </patternFill>
    </fill>
  </fills>
  <borders count="6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left/>
      <right/>
      <top style="thin">
        <color rgb="00D8D2C4"/>
      </top>
      <bottom/>
      <diagonal/>
    </border>
    <border>
      <left/>
      <right style="thin">
        <color rgb="00D8D2C4"/>
      </right>
      <top style="thin">
        <color rgb="00D8D2C4"/>
      </top>
      <bottom/>
      <diagonal/>
    </border>
    <border>
      <left/>
      <right style="thin">
        <color rgb="00D8D2C4"/>
      </right>
      <top style="thin">
        <color rgb="00D8D2C4"/>
      </top>
      <bottom style="thin">
        <color rgb="00D8D2C4"/>
      </bottom>
      <diagonal/>
    </border>
    <border>
      <left/>
      <right/>
      <top style="thin">
        <color rgb="00D8D2C4"/>
      </top>
      <bottom style="thin">
        <color rgb="00D8D2C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5" borderId="1" applyAlignment="1" pivotButton="0" quotePrefix="0" xfId="0">
      <alignment vertical="center" wrapText="1"/>
    </xf>
    <xf numFmtId="0" fontId="0" fillId="0" borderId="5" pivotButton="0" quotePrefix="0" xfId="0"/>
    <xf numFmtId="0" fontId="6" fillId="0" borderId="0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1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34" customWidth="1" min="3" max="3"/>
    <col width="22" customWidth="1" min="4" max="4"/>
  </cols>
  <sheetData>
    <row r="1" ht="30" customHeight="1">
      <c r="A1" s="1" t="inlineStr">
        <is>
          <t>🎁 BỘ KHUNG SOP 3 NGÀY CHO NHÂN VIÊN MỚI</t>
        </is>
      </c>
    </row>
    <row r="2">
      <c r="A2" s="2" t="inlineStr">
        <is>
          <t>Để một người nghỉ không còn làm loạn cả spa   ·   Đàm Thanh Hoa</t>
        </is>
      </c>
    </row>
    <row r="4" ht="24" customHeight="1">
      <c r="A4" s="3" t="inlineStr">
        <is>
          <t>BƯỚC 1 — MƯỜI VIỆC NÀY, SPA CHỊ ĐANG BÀN GIAO THẾ NÀO? (5 PHÚT)</t>
        </is>
      </c>
    </row>
    <row r="5" ht="30" customHeight="1">
      <c r="A5" s="4" t="inlineStr">
        <is>
          <t>Việc người mới phải làm được</t>
        </is>
      </c>
      <c r="B5" s="4" t="inlineStr">
        <is>
          <t>Cụ thể là gì</t>
        </is>
      </c>
      <c r="C5" s="4" t="inlineStr">
        <is>
          <t>Đang bàn giao thế nào?</t>
        </is>
      </c>
      <c r="D5" s="4" t="inlineStr">
        <is>
          <t>Kết quả</t>
        </is>
      </c>
    </row>
    <row r="6" ht="34" customHeight="1">
      <c r="A6" s="5" t="inlineStr">
        <is>
          <t>1. Đón khách &amp; chào hỏi</t>
        </is>
      </c>
      <c r="B6" s="6" t="inlineStr">
        <is>
          <t>Câu chào, hỏi nhu cầu, mời nước, dẫn khách vào phòng</t>
        </is>
      </c>
      <c r="C6" s="7" t="inlineStr">
        <is>
          <t>Chỉ bằng miệng — làm mẫu rồi bảo làm theo</t>
        </is>
      </c>
      <c r="D6" s="8">
        <f>IF(C6="","⚪ Chưa trả lời",IF(C6="Có bản viết sẵn — người mới đọc là làm được","🟢 ĐÃ THÀNH QUY TRÌNH",IF(C6="Chỉ bằng miệng — làm mẫu rồi bảo làm theo","🟡 NẰM TRONG ĐẦU NGƯỜI CŨ","🔴 CHƯA CÓ GÌ")))</f>
        <v/>
      </c>
    </row>
    <row r="7" ht="34" customHeight="1">
      <c r="A7" s="5" t="inlineStr">
        <is>
          <t>2. Chuẩn bị phòng &amp; dụng cụ trước ca</t>
        </is>
      </c>
      <c r="B7" s="6" t="inlineStr">
        <is>
          <t>Bật máy, trải khăn, soạn sản phẩm, kiểm đồ còn thiếu</t>
        </is>
      </c>
      <c r="C7" s="7" t="inlineStr">
        <is>
          <t>Chỉ bằng miệng — làm mẫu rồi bảo làm theo</t>
        </is>
      </c>
      <c r="D7" s="8">
        <f>IF(C7="","⚪ Chưa trả lời",IF(C7="Có bản viết sẵn — người mới đọc là làm được","🟢 ĐÃ THÀNH QUY TRÌNH",IF(C7="Chỉ bằng miệng — làm mẫu rồi bảo làm theo","🟡 NẰM TRONG ĐẦU NGƯỜI CŨ","🔴 CHƯA CÓ GÌ")))</f>
        <v/>
      </c>
    </row>
    <row r="8" ht="34" customHeight="1">
      <c r="A8" s="5" t="inlineStr">
        <is>
          <t>3. Vệ sinh &amp; vô trùng dụng cụ</t>
        </is>
      </c>
      <c r="B8" s="6" t="inlineStr">
        <is>
          <t>Rửa, ngâm, hấp, cất — làm sai là hại khách</t>
        </is>
      </c>
      <c r="C8" s="7" t="inlineStr">
        <is>
          <t>Có bản viết sẵn — người mới đọc là làm được</t>
        </is>
      </c>
      <c r="D8" s="8">
        <f>IF(C8="","⚪ Chưa trả lời",IF(C8="Có bản viết sẵn — người mới đọc là làm được","🟢 ĐÃ THÀNH QUY TRÌNH",IF(C8="Chỉ bằng miệng — làm mẫu rồi bảo làm theo","🟡 NẰM TRONG ĐẦU NGƯỜI CŨ","🔴 CHƯA CÓ GÌ")))</f>
        <v/>
      </c>
    </row>
    <row r="9" ht="34" customHeight="1">
      <c r="A9" s="5" t="inlineStr">
        <is>
          <t>4. Quy trình làm dịch vụ chính</t>
        </is>
      </c>
      <c r="B9" s="6" t="inlineStr">
        <is>
          <t>Từng bước, thứ tự, thời gian mỗi bước, điều tuyệt đối không làm</t>
        </is>
      </c>
      <c r="C9" s="7" t="inlineStr">
        <is>
          <t>Chỉ bằng miệng — làm mẫu rồi bảo làm theo</t>
        </is>
      </c>
      <c r="D9" s="8">
        <f>IF(C9="","⚪ Chưa trả lời",IF(C9="Có bản viết sẵn — người mới đọc là làm được","🟢 ĐÃ THÀNH QUY TRÌNH",IF(C9="Chỉ bằng miệng — làm mẫu rồi bảo làm theo","🟡 NẰM TRONG ĐẦU NGƯỜI CŨ","🔴 CHƯA CÓ GÌ")))</f>
        <v/>
      </c>
    </row>
    <row r="10" ht="34" customHeight="1">
      <c r="A10" s="5" t="inlineStr">
        <is>
          <t>5. Ghi hồ sơ khách sau buổi làm</t>
        </is>
      </c>
      <c r="B10" s="6" t="inlineStr">
        <is>
          <t>Khách làm gì, da thế nào, thích gì, kiêng gì</t>
        </is>
      </c>
      <c r="C10" s="7" t="inlineStr">
        <is>
          <t>Chưa ai chỉ — người mới tự mò</t>
        </is>
      </c>
      <c r="D10" s="8">
        <f>IF(C10="","⚪ Chưa trả lời",IF(C10="Có bản viết sẵn — người mới đọc là làm được","🟢 ĐÃ THÀNH QUY TRÌNH",IF(C10="Chỉ bằng miệng — làm mẫu rồi bảo làm theo","🟡 NẰM TRONG ĐẦU NGƯỜI CŨ","🔴 CHƯA CÓ GÌ")))</f>
        <v/>
      </c>
    </row>
    <row r="11" ht="34" customHeight="1">
      <c r="A11" s="5" t="inlineStr">
        <is>
          <t>6. Tư vấn &amp; báo giá</t>
        </is>
      </c>
      <c r="B11" s="6" t="inlineStr">
        <is>
          <t>Nói gì, không nói gì, không hứa điều spa không làm được</t>
        </is>
      </c>
      <c r="C11" s="7" t="inlineStr">
        <is>
          <t>Chỉ bằng miệng — làm mẫu rồi bảo làm theo</t>
        </is>
      </c>
      <c r="D11" s="8">
        <f>IF(C11="","⚪ Chưa trả lời",IF(C11="Có bản viết sẵn — người mới đọc là làm được","🟢 ĐÃ THÀNH QUY TRÌNH",IF(C11="Chỉ bằng miệng — làm mẫu rồi bảo làm theo","🟡 NẰM TRONG ĐẦU NGƯỜI CŨ","🔴 CHƯA CÓ GÌ")))</f>
        <v/>
      </c>
    </row>
    <row r="12" ht="34" customHeight="1">
      <c r="A12" s="5" t="inlineStr">
        <is>
          <t>7. Chốt lịch lần sau cho khách</t>
        </is>
      </c>
      <c r="B12" s="6" t="inlineStr">
        <is>
          <t>Hẹn ngày quay lại trước khi khách ra về</t>
        </is>
      </c>
      <c r="C12" s="7" t="inlineStr">
        <is>
          <t>Chưa ai chỉ — người mới tự mò</t>
        </is>
      </c>
      <c r="D12" s="8">
        <f>IF(C12="","⚪ Chưa trả lời",IF(C12="Có bản viết sẵn — người mới đọc là làm được","🟢 ĐÃ THÀNH QUY TRÌNH",IF(C12="Chỉ bằng miệng — làm mẫu rồi bảo làm theo","🟡 NẰM TRONG ĐẦU NGƯỜI CŨ","🔴 CHƯA CÓ GÌ")))</f>
        <v/>
      </c>
    </row>
    <row r="13" ht="34" customHeight="1">
      <c r="A13" s="5" t="inlineStr">
        <is>
          <t>8. Thu tiền &amp; ghi sổ thu chi</t>
        </is>
      </c>
      <c r="B13" s="6" t="inlineStr">
        <is>
          <t>Nhận tiền, ghi lại ngay, cuối ca đối chiếu</t>
        </is>
      </c>
      <c r="C13" s="7" t="inlineStr">
        <is>
          <t>Có bản viết sẵn — người mới đọc là làm được</t>
        </is>
      </c>
      <c r="D13" s="8">
        <f>IF(C13="","⚪ Chưa trả lời",IF(C13="Có bản viết sẵn — người mới đọc là làm được","🟢 ĐÃ THÀNH QUY TRÌNH",IF(C13="Chỉ bằng miệng — làm mẫu rồi bảo làm theo","🟡 NẰM TRONG ĐẦU NGƯỜI CŨ","🔴 CHƯA CÓ GÌ")))</f>
        <v/>
      </c>
    </row>
    <row r="14" ht="34" customHeight="1">
      <c r="A14" s="5" t="inlineStr">
        <is>
          <t>9. Xử lý tình huống khó</t>
        </is>
      </c>
      <c r="B14" s="6" t="inlineStr">
        <is>
          <t>Khách tới trễ, khách đòi giảm giá, khách phàn nàn</t>
        </is>
      </c>
      <c r="C14" s="7" t="inlineStr">
        <is>
          <t>Chưa ai chỉ — người mới tự mò</t>
        </is>
      </c>
      <c r="D14" s="8">
        <f>IF(C14="","⚪ Chưa trả lời",IF(C14="Có bản viết sẵn — người mới đọc là làm được","🟢 ĐÃ THÀNH QUY TRÌNH",IF(C14="Chỉ bằng miệng — làm mẫu rồi bảo làm theo","🟡 NẰM TRONG ĐẦU NGƯỜI CŨ","🔴 CHƯA CÓ GÌ")))</f>
        <v/>
      </c>
    </row>
    <row r="15" ht="34" customHeight="1">
      <c r="A15" s="5" t="inlineStr">
        <is>
          <t>10. Bàn giao cuối ca</t>
        </is>
      </c>
      <c r="B15" s="6" t="inlineStr">
        <is>
          <t>Dọn phòng, kiểm dụng cụ, báo lại chủ việc gì cần biết</t>
        </is>
      </c>
      <c r="C15" s="7" t="inlineStr">
        <is>
          <t>Chỉ bằng miệng — làm mẫu rồi bảo làm theo</t>
        </is>
      </c>
      <c r="D15" s="8">
        <f>IF(C15="","⚪ Chưa trả lời",IF(C15="Có bản viết sẵn — người mới đọc là làm được","🟢 ĐÃ THÀNH QUY TRÌNH",IF(C15="Chỉ bằng miệng — làm mẫu rồi bảo làm theo","🟡 NẰM TRONG ĐẦU NGƯỜI CŨ","🔴 CHƯA CÓ GÌ")))</f>
        <v/>
      </c>
    </row>
    <row r="17" ht="24" customHeight="1">
      <c r="A17" s="3" t="inlineStr">
        <is>
          <t>BƯỚC 2 — NGÀY MAI CÓ NGƯỜI MỚI, SPA CHỊ ĐANG Ở ĐÂU?</t>
        </is>
      </c>
    </row>
    <row r="18">
      <c r="A18" s="4" t="inlineStr">
        <is>
          <t>Chỉ số</t>
        </is>
      </c>
      <c r="B18" s="4" t="inlineStr">
        <is>
          <t>Con số</t>
        </is>
      </c>
      <c r="C18" s="4" t="inlineStr">
        <is>
          <t>Nghĩa là gì</t>
        </is>
      </c>
      <c r="D18" s="4" t="inlineStr"/>
    </row>
    <row r="19" ht="42" customHeight="1">
      <c r="A19" s="5" t="inlineStr">
        <is>
          <t>① Việc đã có bản viết sẵn</t>
        </is>
      </c>
      <c r="B19" s="9">
        <f>IF('4. CÀI ĐẶT'!$B$5&lt;10,"⚪",IF('4. CÀI ĐẶT'!$B$2&lt;=3,"🔴",IF('4. CÀI ĐẶT'!$B$2&lt;=6,"🟡","🟢"))&amp;" "&amp;'4. CÀI ĐẶT'!$B$2&amp;"/10")</f>
        <v/>
      </c>
      <c r="C19" s="6">
        <f>IF('4. CÀI ĐẶT'!$B$5&lt;10,"Chưa đủ để kết luận — chị còn "&amp;'4. CÀI ĐẶT'!$B$6&amp;" việc chưa trả lời.",IF('4. CÀI ĐẶT'!$B$2=0,"Chưa việc nào có bản viết sẵn — người mới không có gì để đọc.",'4. CÀI ĐẶT'!$B$2&amp;" việc người mới đọc là làm được, không cần ai kèm."))</f>
        <v/>
      </c>
      <c r="D19" s="10" t="n"/>
    </row>
    <row r="20" ht="42" customHeight="1">
      <c r="A20" s="5" t="inlineStr">
        <is>
          <t>② Việc chỉ bàn giao bằng miệng</t>
        </is>
      </c>
      <c r="B20" s="9">
        <f>IF('4. CÀI ĐẶT'!$B$5&lt;10,"⚪",IF('4. CÀI ĐẶT'!$B$3=0,"🟢",IF('4. CÀI ĐẶT'!$B$3&lt;=3,"🟡","🔴"))&amp;" "&amp;'4. CÀI ĐẶT'!$B$3&amp;"/10")</f>
        <v/>
      </c>
      <c r="C20" s="6">
        <f>IF('4. CÀI ĐẶT'!$B$5&lt;10,"Chưa đủ để kết luận.",IF('4. CÀI ĐẶT'!$B$3=0,"Không việc nào phụ thuộc trí nhớ người cũ.",'4. CÀI ĐẶT'!$B$3&amp;" việc đang nằm trong đầu chị hoặc người cũ — người đó nghỉ là mất theo."))</f>
        <v/>
      </c>
      <c r="D20" s="10" t="n"/>
    </row>
    <row r="21" ht="42" customHeight="1">
      <c r="A21" s="5" t="inlineStr">
        <is>
          <t>③ Việc chưa ai chỉ</t>
        </is>
      </c>
      <c r="B21" s="9">
        <f>IF('4. CÀI ĐẶT'!$B$5&lt;10,"⚪",IF('4. CÀI ĐẶT'!$B$4=0,"🟢",IF('4. CÀI ĐẶT'!$B$4&lt;=2,"🟡","🔴"))&amp;" "&amp;'4. CÀI ĐẶT'!$B$4&amp;"/10")</f>
        <v/>
      </c>
      <c r="C21" s="6">
        <f>IF('4. CÀI ĐẶT'!$B$5&lt;10,"Chưa đủ để kết luận.",IF('4. CÀI ĐẶT'!$B$4=0,"Mười việc đều có người chỉ — người mới không phải tự mò.",'4. CÀI ĐẶT'!$B$4&amp;" việc người mới phải tự mò — vừa làm vừa đoán, khách chịu hậu quả."))</f>
        <v/>
      </c>
      <c r="D21" s="10" t="n"/>
    </row>
    <row r="22" ht="42" customHeight="1">
      <c r="A22" s="5" t="inlineStr">
        <is>
          <t>④ Nếu người cũ nghỉ đột ngột thì sao?</t>
        </is>
      </c>
      <c r="B22" s="9">
        <f>IF('4. CÀI ĐẶT'!$B$5&lt;10,"⚪",IF(OR('4. CÀI ĐẶT'!$B$4&gt;=3,'4. CÀI ĐẶT'!$B$3+'4. CÀI ĐẶT'!$B$4&gt;='4. CÀI ĐẶT'!$B$2),"🔴",IF(AND('4. CÀI ĐẶT'!$B$2&gt;=7,'4. CÀI ĐẶT'!$B$4=0),"🟢","🟡")))</f>
        <v/>
      </c>
      <c r="C22" s="6">
        <f>IF('4. CÀI ĐẶT'!$B$5&lt;10,"Chưa đủ để kết luận — chị trả lời nốt "&amp;'4. CÀI ĐẶT'!$B$6&amp;" việc ở BƯỚC 1.",IF('4. CÀI ĐẶT'!$B$4&gt;=3,"Có việc chưa ai chỉ. Người mới vào là vừa làm vừa đoán — và khách là người chịu.",IF('4. CÀI ĐẶT'!$B$3+'4. CÀI ĐẶT'!$B$4&gt;='4. CÀI ĐẶT'!$B$2,"Spa đang chạy bằng trí nhớ người cũ. Người đó nghỉ là loạn — đó là lỗi hệ thống, không phải lỗi của họ.",IF(AND('4. CÀI ĐẶT'!$B$2&gt;=7,'4. CÀI ĐẶT'!$B$4=0),"Người mới đọc là làm được. Spa chị không còn phụ thuộc vào một ai.","Spa đã có phần viết sẵn nhưng chưa đủ — vẫn còn việc phải kèm bằng miệng."))))</f>
        <v/>
      </c>
      <c r="D22" s="10" t="n"/>
    </row>
    <row r="24" ht="24" customHeight="1">
      <c r="A24" s="3" t="inlineStr">
        <is>
          <t>BƯỚC 3 — MỘT VIỆC LÀM NGAY</t>
        </is>
      </c>
    </row>
    <row r="25" ht="62" customHeight="1">
      <c r="A25" s="11">
        <f>IF('4. CÀI ĐẶT'!$B$5&lt;10,"Chị trả lời nốt "&amp;'4. CÀI ĐẶT'!$B$6&amp;" việc ở BƯỚC 1 để bảng chỉ ra việc cần viết trước.",IF(C9="Chưa ai chỉ — người mới tự mò","VIẾT NGAY BẢN HƯỚNG DẪN CHO: "&amp;A9&amp;" — mở sheet 1. SOP 3 NGÀY, tìm dòng việc này rồi viết 5–7 gạch đầu dòng đúng cách spa mình đang làm. Đây là việc chưa ai chỉ, để lâu là khách chịu.",IF(C6="Chưa ai chỉ — người mới tự mò","VIẾT NGAY BẢN HƯỚNG DẪN CHO: "&amp;A6&amp;" — mở sheet 1. SOP 3 NGÀY, tìm dòng việc này rồi viết 5–7 gạch đầu dòng đúng cách spa mình đang làm. Đây là việc chưa ai chỉ, để lâu là khách chịu.",IF(C8="Chưa ai chỉ — người mới tự mò","VIẾT NGAY BẢN HƯỚNG DẪN CHO: "&amp;A8&amp;" — mở sheet 1. SOP 3 NGÀY, tìm dòng việc này rồi viết 5–7 gạch đầu dòng đúng cách spa mình đang làm. Đây là việc chưa ai chỉ, để lâu là khách chịu.",IF(C14="Chưa ai chỉ — người mới tự mò","VIẾT NGAY BẢN HƯỚNG DẪN CHO: "&amp;A14&amp;" — mở sheet 1. SOP 3 NGÀY, tìm dòng việc này rồi viết 5–7 gạch đầu dòng đúng cách spa mình đang làm. Đây là việc chưa ai chỉ, để lâu là khách chịu.",IF(C10="Chưa ai chỉ — người mới tự mò","VIẾT NGAY BẢN HƯỚNG DẪN CHO: "&amp;A10&amp;" — mở sheet 1. SOP 3 NGÀY, tìm dòng việc này rồi viết 5–7 gạch đầu dòng đúng cách spa mình đang làm. Đây là việc chưa ai chỉ, để lâu là khách chịu.",IF(C12="Chưa ai chỉ — người mới tự mò","VIẾT NGAY BẢN HƯỚNG DẪN CHO: "&amp;A12&amp;" — mở sheet 1. SOP 3 NGÀY, tìm dòng việc này rồi viết 5–7 gạch đầu dòng đúng cách spa mình đang làm. Đây là việc chưa ai chỉ, để lâu là khách chịu.",IF(C13="Chưa ai chỉ — người mới tự mò","VIẾT NGAY BẢN HƯỚNG DẪN CHO: "&amp;A13&amp;" — mở sheet 1. SOP 3 NGÀY, tìm dòng việc này rồi viết 5–7 gạch đầu dòng đúng cách spa mình đang làm. Đây là việc chưa ai chỉ, để lâu là khách chịu.",IF(C7="Chưa ai chỉ — người mới tự mò","VIẾT NGAY BẢN HƯỚNG DẪN CHO: "&amp;A7&amp;" — mở sheet 1. SOP 3 NGÀY, tìm dòng việc này rồi viết 5–7 gạch đầu dòng đúng cách spa mình đang làm. Đây là việc chưa ai chỉ, để lâu là khách chịu.",IF(C11="Chưa ai chỉ — người mới tự mò","VIẾT NGAY BẢN HƯỚNG DẪN CHO: "&amp;A11&amp;" — mở sheet 1. SOP 3 NGÀY, tìm dòng việc này rồi viết 5–7 gạch đầu dòng đúng cách spa mình đang làm. Đây là việc chưa ai chỉ, để lâu là khách chịu.",IF(C15="Chưa ai chỉ — người mới tự mò","VIẾT NGAY BẢN HƯỚNG DẪN CHO: "&amp;A15&amp;" — mở sheet 1. SOP 3 NGÀY, tìm dòng việc này rồi viết 5–7 gạch đầu dòng đúng cách spa mình đang làm. Đây là việc chưa ai chỉ, để lâu là khách chịu.",IF(C9="Chỉ bằng miệng — làm mẫu rồi bảo làm theo","VIẾT RA GIẤY VIỆC ĐANG NẰM TRONG ĐẦU: "&amp;A9&amp;" — mở sheet 1. SOP 3 NGÀY, tìm dòng việc này rồi viết 5–7 gạch đầu dòng. Viết một lần, dùng cho mọi người mới sau này.",IF(C6="Chỉ bằng miệng — làm mẫu rồi bảo làm theo","VIẾT RA GIẤY VIỆC ĐANG NẰM TRONG ĐẦU: "&amp;A6&amp;" — mở sheet 1. SOP 3 NGÀY, tìm dòng việc này rồi viết 5–7 gạch đầu dòng. Viết một lần, dùng cho mọi người mới sau này.",IF(C8="Chỉ bằng miệng — làm mẫu rồi bảo làm theo","VIẾT RA GIẤY VIỆC ĐANG NẰM TRONG ĐẦU: "&amp;A8&amp;" — mở sheet 1. SOP 3 NGÀY, tìm dòng việc này rồi viết 5–7 gạch đầu dòng. Viết một lần, dùng cho mọi người mới sau này.",IF(C14="Chỉ bằng miệng — làm mẫu rồi bảo làm theo","VIẾT RA GIẤY VIỆC ĐANG NẰM TRONG ĐẦU: "&amp;A14&amp;" — mở sheet 1. SOP 3 NGÀY, tìm dòng việc này rồi viết 5–7 gạch đầu dòng. Viết một lần, dùng cho mọi người mới sau này.",IF(C10="Chỉ bằng miệng — làm mẫu rồi bảo làm theo","VIẾT RA GIẤY VIỆC ĐANG NẰM TRONG ĐẦU: "&amp;A10&amp;" — mở sheet 1. SOP 3 NGÀY, tìm dòng việc này rồi viết 5–7 gạch đầu dòng. Viết một lần, dùng cho mọi người mới sau này.",IF(C12="Chỉ bằng miệng — làm mẫu rồi bảo làm theo","VIẾT RA GIẤY VIỆC ĐANG NẰM TRONG ĐẦU: "&amp;A12&amp;" — mở sheet 1. SOP 3 NGÀY, tìm dòng việc này rồi viết 5–7 gạch đầu dòng. Viết một lần, dùng cho mọi người mới sau này.",IF(C13="Chỉ bằng miệng — làm mẫu rồi bảo làm theo","VIẾT RA GIẤY VIỆC ĐANG NẰM TRONG ĐẦU: "&amp;A13&amp;" — mở sheet 1. SOP 3 NGÀY, tìm dòng việc này rồi viết 5–7 gạch đầu dòng. Viết một lần, dùng cho mọi người mới sau này.",IF(C7="Chỉ bằng miệng — làm mẫu rồi bảo làm theo","VIẾT RA GIẤY VIỆC ĐANG NẰM TRONG ĐẦU: "&amp;A7&amp;" — mở sheet 1. SOP 3 NGÀY, tìm dòng việc này rồi viết 5–7 gạch đầu dòng. Viết một lần, dùng cho mọi người mới sau này.",IF(C11="Chỉ bằng miệng — làm mẫu rồi bảo làm theo","VIẾT RA GIẤY VIỆC ĐANG NẰM TRONG ĐẦU: "&amp;A11&amp;" — mở sheet 1. SOP 3 NGÀY, tìm dòng việc này rồi viết 5–7 gạch đầu dòng. Viết một lần, dùng cho mọi người mới sau này.",IF(C15="Chỉ bằng miệng — làm mẫu rồi bảo làm theo","VIẾT RA GIẤY VIỆC ĐANG NẰM TRONG ĐẦU: "&amp;A15&amp;" — mở sheet 1. SOP 3 NGÀY, tìm dòng việc này rồi viết 5–7 gạch đầu dòng. Viết một lần, dùng cho mọi người mới sau này.","Mười việc đều đã có bản viết sẵn. Bước tiếp: mở sheet 1. SOP 3 NGÀY, xếp chúng vào lịch 3 ngày và dùng cho người mới đầu tiên.")))))))))))))))))))))</f>
        <v/>
      </c>
      <c r="B25" s="12" t="n"/>
      <c r="C25" s="12" t="n"/>
      <c r="D25" s="10" t="n"/>
    </row>
    <row r="27" ht="34" customHeight="1">
      <c r="A27" s="13" t="inlineStr">
        <is>
          <t>Bước tiếp theo: mở sheet 「1. SOP 3 NGÀY」 — khung 24 mục đã xếp sẵn theo Ngày 1 / Ngày 2 / Ngày 3. Chị chỉ điền nội dung của spa mình vào cột “Chị viết sẵn ở đâu”, rồi dùng cột tiến độ để theo dõi người mới.</t>
        </is>
      </c>
    </row>
    <row r="29" ht="32" customHeight="1">
      <c r="A29" s="14" t="inlineStr">
        <is>
          <t>Muốn xây hệ thống để vắng chị spa vẫn chạy → Chẩn Đoán Sức Khỏe Spa cùng Đàm Thanh Hoa. [Chị dán link/QR vào đây trước khi gửi khách]</t>
        </is>
      </c>
      <c r="B29" s="12" t="n"/>
      <c r="C29" s="12" t="n"/>
      <c r="D29" s="10" t="n"/>
    </row>
  </sheetData>
  <mergeCells count="12">
    <mergeCell ref="A1:D1"/>
    <mergeCell ref="A17:D17"/>
    <mergeCell ref="C20:D20"/>
    <mergeCell ref="A27:D27"/>
    <mergeCell ref="C21:D21"/>
    <mergeCell ref="A4:D4"/>
    <mergeCell ref="C19:D19"/>
    <mergeCell ref="A29:D29"/>
    <mergeCell ref="A25:D25"/>
    <mergeCell ref="C22:D22"/>
    <mergeCell ref="A2:D2"/>
    <mergeCell ref="A24:D24"/>
  </mergeCells>
  <dataValidations count="1">
    <dataValidation sqref="C6:C15" showDropDown="0" showInputMessage="0" showErrorMessage="0" allowBlank="1" type="list">
      <formula1>"Có bản viết sẵn — người mới đọc là làm được,Chỉ bằng miệng — làm mẫu rồi bảo làm theo,Chưa ai chỉ — người mới tự mò"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34" customWidth="1" min="4" max="4"/>
    <col width="16" customWidth="1" min="5" max="5"/>
    <col width="18" customWidth="1" min="6" max="6"/>
    <col width="26" customWidth="1" min="7" max="7"/>
  </cols>
  <sheetData>
    <row r="1" ht="28" customHeight="1">
      <c r="A1" s="1" t="inlineStr">
        <is>
          <t>1. BỘ KHUNG SOP 3 NGÀY — người mới đọc là làm được</t>
        </is>
      </c>
    </row>
    <row r="2" ht="30" customHeight="1">
      <c r="A2" s="2" t="inlineStr">
        <is>
          <t>Khung này là bộ xương — thịt là của spa chị. Với mỗi mục, chị ghi vào cột D chỗ có bản hướng dẫn (tên file, trang sổ, link, hoặc video quay bằng điện thoại). Cột F dùng để theo dõi người mới tới đâu.</t>
        </is>
      </c>
    </row>
    <row r="4" ht="36" customHeight="1">
      <c r="A4" s="4" t="inlineStr">
        <is>
          <t>Ngày</t>
        </is>
      </c>
      <c r="B4" s="4" t="inlineStr">
        <is>
          <t>Buổi</t>
        </is>
      </c>
      <c r="C4" s="4" t="inlineStr">
        <is>
          <t>Việc người mới phải nắm</t>
        </is>
      </c>
      <c r="D4" s="4" t="inlineStr">
        <is>
          <t>Chị viết sẵn ở đâu (file / trang sổ / link / video)</t>
        </is>
      </c>
      <c r="E4" s="4" t="inlineStr">
        <is>
          <t>Ai hướng dẫn</t>
        </is>
      </c>
      <c r="F4" s="4" t="inlineStr">
        <is>
          <t>Người mới đã làm được chưa?</t>
        </is>
      </c>
      <c r="G4" s="4" t="inlineStr">
        <is>
          <t>Ghi chú</t>
        </is>
      </c>
    </row>
    <row r="5" ht="32" customHeight="1">
      <c r="A5" s="15" t="inlineStr">
        <is>
          <t>Ngày 1</t>
        </is>
      </c>
      <c r="B5" s="16" t="inlineStr">
        <is>
          <t>Sáng</t>
        </is>
      </c>
      <c r="C5" s="6" t="inlineStr">
        <is>
          <t>Giới thiệu spa: chủ là ai, spa phục vụ ai, điều spa không bao giờ làm với khách</t>
        </is>
      </c>
      <c r="D5" s="17" t="n"/>
      <c r="E5" s="18" t="n"/>
      <c r="F5" s="18" t="inlineStr">
        <is>
          <t>Chưa</t>
        </is>
      </c>
      <c r="G5" s="17" t="n"/>
    </row>
    <row r="6" ht="32" customHeight="1">
      <c r="A6" s="15" t="inlineStr">
        <is>
          <t>Ngày 1</t>
        </is>
      </c>
      <c r="B6" s="16" t="inlineStr">
        <is>
          <t>Sáng</t>
        </is>
      </c>
      <c r="C6" s="6" t="inlineStr">
        <is>
          <t>Bảng giá &amp; các gói dịch vụ: tên dịch vụ, thời lượng, giá</t>
        </is>
      </c>
      <c r="D6" s="17" t="n"/>
      <c r="E6" s="18" t="n"/>
      <c r="F6" s="18" t="inlineStr">
        <is>
          <t>Chưa</t>
        </is>
      </c>
      <c r="G6" s="17" t="n"/>
    </row>
    <row r="7" ht="32" customHeight="1">
      <c r="A7" s="15" t="inlineStr">
        <is>
          <t>Ngày 1</t>
        </is>
      </c>
      <c r="B7" s="16" t="inlineStr">
        <is>
          <t>Sáng</t>
        </is>
      </c>
      <c r="C7" s="6" t="inlineStr">
        <is>
          <t>Đón khách &amp; chào hỏi: câu chào, hỏi nhu cầu, mời nước, dẫn vào phòng</t>
        </is>
      </c>
      <c r="D7" s="17" t="n"/>
      <c r="E7" s="18" t="n"/>
      <c r="F7" s="18" t="inlineStr">
        <is>
          <t>Chưa</t>
        </is>
      </c>
      <c r="G7" s="17" t="n"/>
    </row>
    <row r="8" ht="32" customHeight="1">
      <c r="A8" s="15" t="inlineStr">
        <is>
          <t>Ngày 1</t>
        </is>
      </c>
      <c r="B8" s="16" t="inlineStr">
        <is>
          <t>Sáng</t>
        </is>
      </c>
      <c r="C8" s="6" t="inlineStr">
        <is>
          <t>Nội quy &amp; giờ giấc: ca làm, đồng phục, điện thoại, ăn uống</t>
        </is>
      </c>
      <c r="D8" s="17" t="n"/>
      <c r="E8" s="18" t="n"/>
      <c r="F8" s="18" t="inlineStr">
        <is>
          <t>Chưa</t>
        </is>
      </c>
      <c r="G8" s="17" t="n"/>
    </row>
    <row r="9" ht="32" customHeight="1">
      <c r="A9" s="15" t="inlineStr">
        <is>
          <t>Ngày 1</t>
        </is>
      </c>
      <c r="B9" s="16" t="inlineStr">
        <is>
          <t>Chiều</t>
        </is>
      </c>
      <c r="C9" s="6" t="inlineStr">
        <is>
          <t>Chuẩn bị phòng, máy móc, dụng cụ trước ca</t>
        </is>
      </c>
      <c r="D9" s="17" t="n"/>
      <c r="E9" s="18" t="n"/>
      <c r="F9" s="18" t="inlineStr">
        <is>
          <t>Chưa</t>
        </is>
      </c>
      <c r="G9" s="17" t="n"/>
    </row>
    <row r="10" ht="32" customHeight="1">
      <c r="A10" s="15" t="inlineStr">
        <is>
          <t>Ngày 1</t>
        </is>
      </c>
      <c r="B10" s="16" t="inlineStr">
        <is>
          <t>Chiều</t>
        </is>
      </c>
      <c r="C10" s="6" t="inlineStr">
        <is>
          <t>Vệ sinh &amp; vô trùng dụng cụ — xem làm mẫu 1 lần, tự làm 1 lần</t>
        </is>
      </c>
      <c r="D10" s="17" t="n"/>
      <c r="E10" s="18" t="n"/>
      <c r="F10" s="18" t="inlineStr">
        <is>
          <t>Chưa</t>
        </is>
      </c>
      <c r="G10" s="17" t="n"/>
    </row>
    <row r="11" ht="32" customHeight="1">
      <c r="A11" s="15" t="inlineStr">
        <is>
          <t>Ngày 1</t>
        </is>
      </c>
      <c r="B11" s="16" t="inlineStr">
        <is>
          <t>Chiều</t>
        </is>
      </c>
      <c r="C11" s="6" t="inlineStr">
        <is>
          <t>Quan sát trọn 1 ca dịch vụ từ đón khách tới tiễn khách</t>
        </is>
      </c>
      <c r="D11" s="17" t="n"/>
      <c r="E11" s="18" t="n"/>
      <c r="F11" s="18" t="inlineStr">
        <is>
          <t>Chưa</t>
        </is>
      </c>
      <c r="G11" s="17" t="n"/>
    </row>
    <row r="12" ht="32" customHeight="1">
      <c r="A12" s="15" t="inlineStr">
        <is>
          <t>Ngày 1</t>
        </is>
      </c>
      <c r="B12" s="16" t="inlineStr">
        <is>
          <t>Chiều</t>
        </is>
      </c>
      <c r="C12" s="6" t="inlineStr">
        <is>
          <t>Bàn giao cuối ca: dọn phòng, kiểm dụng cụ, báo lại chủ</t>
        </is>
      </c>
      <c r="D12" s="17" t="n"/>
      <c r="E12" s="18" t="n"/>
      <c r="F12" s="18" t="inlineStr">
        <is>
          <t>Chưa</t>
        </is>
      </c>
      <c r="G12" s="17" t="n"/>
    </row>
    <row r="13" ht="32" customHeight="1">
      <c r="A13" s="15" t="inlineStr">
        <is>
          <t>Ngày 2</t>
        </is>
      </c>
      <c r="B13" s="16" t="inlineStr">
        <is>
          <t>Sáng</t>
        </is>
      </c>
      <c r="C13" s="6" t="inlineStr">
        <is>
          <t>Quy trình làm dịch vụ chính: đọc bản hướng dẫn, nhắc lại từng bước</t>
        </is>
      </c>
      <c r="D13" s="17" t="n"/>
      <c r="E13" s="18" t="n"/>
      <c r="F13" s="18" t="inlineStr">
        <is>
          <t>Chưa</t>
        </is>
      </c>
      <c r="G13" s="17" t="n"/>
    </row>
    <row r="14" ht="32" customHeight="1">
      <c r="A14" s="15" t="inlineStr">
        <is>
          <t>Ngày 2</t>
        </is>
      </c>
      <c r="B14" s="16" t="inlineStr">
        <is>
          <t>Sáng</t>
        </is>
      </c>
      <c r="C14" s="6" t="inlineStr">
        <is>
          <t>Tự làm 1 ca có người kèm sát bên cạnh</t>
        </is>
      </c>
      <c r="D14" s="17" t="n"/>
      <c r="E14" s="18" t="n"/>
      <c r="F14" s="18" t="inlineStr">
        <is>
          <t>Chưa</t>
        </is>
      </c>
      <c r="G14" s="17" t="n"/>
    </row>
    <row r="15" ht="32" customHeight="1">
      <c r="A15" s="15" t="inlineStr">
        <is>
          <t>Ngày 2</t>
        </is>
      </c>
      <c r="B15" s="16" t="inlineStr">
        <is>
          <t>Sáng</t>
        </is>
      </c>
      <c r="C15" s="6" t="inlineStr">
        <is>
          <t>Ghi hồ sơ khách sau buổi làm: làm gì, da thế nào, thích gì, kiêng gì</t>
        </is>
      </c>
      <c r="D15" s="17" t="n"/>
      <c r="E15" s="18" t="n"/>
      <c r="F15" s="18" t="inlineStr">
        <is>
          <t>Chưa</t>
        </is>
      </c>
      <c r="G15" s="17" t="n"/>
    </row>
    <row r="16" ht="32" customHeight="1">
      <c r="A16" s="15" t="inlineStr">
        <is>
          <t>Ngày 2</t>
        </is>
      </c>
      <c r="B16" s="16" t="inlineStr">
        <is>
          <t>Sáng</t>
        </is>
      </c>
      <c r="C16" s="6" t="inlineStr">
        <is>
          <t>Chốt lịch lần sau cho khách trước khi khách ra về</t>
        </is>
      </c>
      <c r="D16" s="17" t="n"/>
      <c r="E16" s="18" t="n"/>
      <c r="F16" s="18" t="inlineStr">
        <is>
          <t>Chưa</t>
        </is>
      </c>
      <c r="G16" s="17" t="n"/>
    </row>
    <row r="17" ht="32" customHeight="1">
      <c r="A17" s="15" t="inlineStr">
        <is>
          <t>Ngày 2</t>
        </is>
      </c>
      <c r="B17" s="16" t="inlineStr">
        <is>
          <t>Chiều</t>
        </is>
      </c>
      <c r="C17" s="6" t="inlineStr">
        <is>
          <t>Tư vấn &amp; báo giá: nói gì, không nói gì, không hứa điều spa không làm được</t>
        </is>
      </c>
      <c r="D17" s="17" t="n"/>
      <c r="E17" s="18" t="n"/>
      <c r="F17" s="18" t="inlineStr">
        <is>
          <t>Chưa</t>
        </is>
      </c>
      <c r="G17" s="17" t="n"/>
    </row>
    <row r="18" ht="32" customHeight="1">
      <c r="A18" s="15" t="inlineStr">
        <is>
          <t>Ngày 2</t>
        </is>
      </c>
      <c r="B18" s="16" t="inlineStr">
        <is>
          <t>Chiều</t>
        </is>
      </c>
      <c r="C18" s="6" t="inlineStr">
        <is>
          <t>Thu tiền &amp; ghi sổ thu chi, cuối ca đối chiếu</t>
        </is>
      </c>
      <c r="D18" s="17" t="n"/>
      <c r="E18" s="18" t="n"/>
      <c r="F18" s="18" t="inlineStr">
        <is>
          <t>Chưa</t>
        </is>
      </c>
      <c r="G18" s="17" t="n"/>
    </row>
    <row r="19" ht="32" customHeight="1">
      <c r="A19" s="15" t="inlineStr">
        <is>
          <t>Ngày 2</t>
        </is>
      </c>
      <c r="B19" s="16" t="inlineStr">
        <is>
          <t>Chiều</t>
        </is>
      </c>
      <c r="C19" s="6" t="inlineStr">
        <is>
          <t>Tự làm 1 ca nữa, người kèm chỉ đứng xa quan sát</t>
        </is>
      </c>
      <c r="D19" s="17" t="n"/>
      <c r="E19" s="18" t="n"/>
      <c r="F19" s="18" t="inlineStr">
        <is>
          <t>Chưa</t>
        </is>
      </c>
      <c r="G19" s="17" t="n"/>
    </row>
    <row r="20" ht="32" customHeight="1">
      <c r="A20" s="15" t="inlineStr">
        <is>
          <t>Ngày 2</t>
        </is>
      </c>
      <c r="B20" s="16" t="inlineStr">
        <is>
          <t>Chiều</t>
        </is>
      </c>
      <c r="C20" s="6" t="inlineStr">
        <is>
          <t>Nhận xét cuối ngày: làm tốt chỗ nào, cần sửa chỗ nào</t>
        </is>
      </c>
      <c r="D20" s="17" t="n"/>
      <c r="E20" s="18" t="n"/>
      <c r="F20" s="18" t="inlineStr">
        <is>
          <t>Chưa</t>
        </is>
      </c>
      <c r="G20" s="17" t="n"/>
    </row>
    <row r="21" ht="32" customHeight="1">
      <c r="A21" s="15" t="inlineStr">
        <is>
          <t>Ngày 3</t>
        </is>
      </c>
      <c r="B21" s="16" t="inlineStr">
        <is>
          <t>Sáng</t>
        </is>
      </c>
      <c r="C21" s="6" t="inlineStr">
        <is>
          <t>Tự làm ca thật từ đón khách tới tiễn khách</t>
        </is>
      </c>
      <c r="D21" s="17" t="n"/>
      <c r="E21" s="18" t="n"/>
      <c r="F21" s="18" t="inlineStr">
        <is>
          <t>Chưa</t>
        </is>
      </c>
      <c r="G21" s="17" t="n"/>
    </row>
    <row r="22" ht="32" customHeight="1">
      <c r="A22" s="15" t="inlineStr">
        <is>
          <t>Ngày 3</t>
        </is>
      </c>
      <c r="B22" s="16" t="inlineStr">
        <is>
          <t>Sáng</t>
        </is>
      </c>
      <c r="C22" s="6" t="inlineStr">
        <is>
          <t>Xử lý tình huống khó: khách tới trễ, đòi giảm giá, phàn nàn</t>
        </is>
      </c>
      <c r="D22" s="17" t="n"/>
      <c r="E22" s="18" t="n"/>
      <c r="F22" s="18" t="inlineStr">
        <is>
          <t>Chưa</t>
        </is>
      </c>
      <c r="G22" s="17" t="n"/>
    </row>
    <row r="23" ht="32" customHeight="1">
      <c r="A23" s="15" t="inlineStr">
        <is>
          <t>Ngày 3</t>
        </is>
      </c>
      <c r="B23" s="16" t="inlineStr">
        <is>
          <t>Sáng</t>
        </is>
      </c>
      <c r="C23" s="6" t="inlineStr">
        <is>
          <t>Khi nào phải hỏi chủ, khi nào được tự quyết</t>
        </is>
      </c>
      <c r="D23" s="17" t="n"/>
      <c r="E23" s="18" t="n"/>
      <c r="F23" s="18" t="inlineStr">
        <is>
          <t>Chưa</t>
        </is>
      </c>
      <c r="G23" s="17" t="n"/>
    </row>
    <row r="24" ht="32" customHeight="1">
      <c r="A24" s="15" t="inlineStr">
        <is>
          <t>Ngày 3</t>
        </is>
      </c>
      <c r="B24" s="16" t="inlineStr">
        <is>
          <t>Chiều</t>
        </is>
      </c>
      <c r="C24" s="6" t="inlineStr">
        <is>
          <t>Tự làm ca thứ hai, không cần ai nhắc</t>
        </is>
      </c>
      <c r="D24" s="17" t="n"/>
      <c r="E24" s="18" t="n"/>
      <c r="F24" s="18" t="inlineStr">
        <is>
          <t>Chưa</t>
        </is>
      </c>
      <c r="G24" s="17" t="n"/>
    </row>
    <row r="25" ht="32" customHeight="1">
      <c r="A25" s="15" t="inlineStr">
        <is>
          <t>Ngày 3</t>
        </is>
      </c>
      <c r="B25" s="16" t="inlineStr">
        <is>
          <t>Chiều</t>
        </is>
      </c>
      <c r="C25" s="6" t="inlineStr">
        <is>
          <t>Tự kiểm lại: đã ghi hồ sơ khách, đã chốt lịch, đã ghi tiền chưa</t>
        </is>
      </c>
      <c r="D25" s="17" t="n"/>
      <c r="E25" s="18" t="n"/>
      <c r="F25" s="18" t="inlineStr">
        <is>
          <t>Chưa</t>
        </is>
      </c>
      <c r="G25" s="17" t="n"/>
    </row>
    <row r="26" ht="32" customHeight="1">
      <c r="A26" s="15" t="inlineStr">
        <is>
          <t>Ngày 3</t>
        </is>
      </c>
      <c r="B26" s="16" t="inlineStr">
        <is>
          <t>Chiều</t>
        </is>
      </c>
      <c r="C26" s="6" t="inlineStr">
        <is>
          <t>Bàn giao cuối ngày đầy đủ</t>
        </is>
      </c>
      <c r="D26" s="17" t="n"/>
      <c r="E26" s="18" t="n"/>
      <c r="F26" s="18" t="inlineStr">
        <is>
          <t>Chưa</t>
        </is>
      </c>
      <c r="G26" s="17" t="n"/>
    </row>
    <row r="27" ht="32" customHeight="1">
      <c r="A27" s="15" t="inlineStr">
        <is>
          <t>Ngày 3</t>
        </is>
      </c>
      <c r="B27" s="16" t="inlineStr">
        <is>
          <t>Chiều</t>
        </is>
      </c>
      <c r="C27" s="6" t="inlineStr">
        <is>
          <t>Chủ chấm lại 10 việc ở sheet 0: việc nào tự làm được, việc nào còn phải kèm</t>
        </is>
      </c>
      <c r="D27" s="17" t="n"/>
      <c r="E27" s="18" t="n"/>
      <c r="F27" s="18" t="inlineStr">
        <is>
          <t>Chưa</t>
        </is>
      </c>
      <c r="G27" s="17" t="n"/>
    </row>
    <row r="28" ht="32" customHeight="1">
      <c r="A28" s="15" t="inlineStr">
        <is>
          <t>Ngày 3</t>
        </is>
      </c>
      <c r="B28" s="16" t="inlineStr">
        <is>
          <t>Chiều</t>
        </is>
      </c>
      <c r="C28" s="6" t="inlineStr">
        <is>
          <t>Hẹn mốc kiểm lại sau 7 ngày</t>
        </is>
      </c>
      <c r="D28" s="17" t="n"/>
      <c r="E28" s="18" t="n"/>
      <c r="F28" s="18" t="inlineStr">
        <is>
          <t>Chưa</t>
        </is>
      </c>
      <c r="G28" s="17" t="n"/>
    </row>
    <row r="29" ht="30" customHeight="1">
      <c r="A29" s="19" t="inlineStr">
        <is>
          <t>↓ CHỖ TRỐNG ĐỂ CHỊ THÊM VIỆC RIÊNG CỦA SPA MÌNH — điền Ngày, Buổi và việc cần dạy. Bảng ở sheet 2 tự tính thêm, chị không phải sửa gì.</t>
        </is>
      </c>
    </row>
    <row r="30" ht="30" customHeight="1">
      <c r="A30" s="18" t="n"/>
      <c r="B30" s="18" t="n"/>
      <c r="C30" s="17" t="n"/>
      <c r="D30" s="17" t="n"/>
      <c r="E30" s="18" t="n"/>
      <c r="F30" s="18" t="n"/>
      <c r="G30" s="17" t="n"/>
    </row>
    <row r="31" ht="30" customHeight="1">
      <c r="A31" s="18" t="n"/>
      <c r="B31" s="18" t="n"/>
      <c r="C31" s="17" t="n"/>
      <c r="D31" s="17" t="n"/>
      <c r="E31" s="18" t="n"/>
      <c r="F31" s="18" t="n"/>
      <c r="G31" s="17" t="n"/>
    </row>
    <row r="32" ht="30" customHeight="1">
      <c r="A32" s="18" t="n"/>
      <c r="B32" s="18" t="n"/>
      <c r="C32" s="17" t="n"/>
      <c r="D32" s="17" t="n"/>
      <c r="E32" s="18" t="n"/>
      <c r="F32" s="18" t="n"/>
      <c r="G32" s="17" t="n"/>
    </row>
    <row r="33" ht="30" customHeight="1">
      <c r="A33" s="18" t="n"/>
      <c r="B33" s="18" t="n"/>
      <c r="C33" s="17" t="n"/>
      <c r="D33" s="17" t="n"/>
      <c r="E33" s="18" t="n"/>
      <c r="F33" s="18" t="n"/>
      <c r="G33" s="17" t="n"/>
    </row>
    <row r="34" ht="30" customHeight="1">
      <c r="A34" s="18" t="n"/>
      <c r="B34" s="18" t="n"/>
      <c r="C34" s="17" t="n"/>
      <c r="D34" s="17" t="n"/>
      <c r="E34" s="18" t="n"/>
      <c r="F34" s="18" t="n"/>
      <c r="G34" s="17" t="n"/>
    </row>
    <row r="35" ht="30" customHeight="1">
      <c r="A35" s="18" t="n"/>
      <c r="B35" s="18" t="n"/>
      <c r="C35" s="17" t="n"/>
      <c r="D35" s="17" t="n"/>
      <c r="E35" s="18" t="n"/>
      <c r="F35" s="18" t="n"/>
      <c r="G35" s="17" t="n"/>
    </row>
    <row r="36" ht="30" customHeight="1">
      <c r="A36" s="18" t="n"/>
      <c r="B36" s="18" t="n"/>
      <c r="C36" s="17" t="n"/>
      <c r="D36" s="17" t="n"/>
      <c r="E36" s="18" t="n"/>
      <c r="F36" s="18" t="n"/>
      <c r="G36" s="17" t="n"/>
    </row>
    <row r="37" ht="30" customHeight="1">
      <c r="A37" s="18" t="n"/>
      <c r="B37" s="18" t="n"/>
      <c r="C37" s="17" t="n"/>
      <c r="D37" s="17" t="n"/>
      <c r="E37" s="18" t="n"/>
      <c r="F37" s="18" t="n"/>
      <c r="G37" s="17" t="n"/>
    </row>
    <row r="38" ht="44" customHeight="1">
      <c r="A38" s="20" t="inlineStr">
        <is>
          <t>Thêm việc riêng của spa chị: điền vào 8 dòng trống ở trên (hết chỗ thì bấm chuột phải một dòng → Chèn thêm 1 dòng bên dưới). Muốn bỏ mục nào không hợp với spa mình thì cứ xóa nội dung ở cột “Việc người mới phải nắm” — bảng tự tính lại.  |  Dùng lại cho người mới tiếp theo: bấm chuột phải sheet này → Sao chép, rồi đặt lại cột F về “Chưa”. Cột D giữ nguyên — đó là tài sản của spa, viết một lần dùng mãi.</t>
        </is>
      </c>
    </row>
  </sheetData>
  <autoFilter ref="A4:G36"/>
  <mergeCells count="4">
    <mergeCell ref="A38:G38"/>
    <mergeCell ref="A2:G2"/>
    <mergeCell ref="A1:G1"/>
    <mergeCell ref="A29:G29"/>
  </mergeCells>
  <dataValidations count="3">
    <dataValidation sqref="F5:F36" showDropDown="0" showInputMessage="0" showErrorMessage="0" allowBlank="1" type="list">
      <formula1>"Chưa,Đã xem qua,Tự làm được"</formula1>
    </dataValidation>
    <dataValidation sqref="A5:A36" showDropDown="0" showInputMessage="0" showErrorMessage="0" allowBlank="1" type="list">
      <formula1>"Ngày 1,Ngày 2,Ngày 3"</formula1>
    </dataValidation>
    <dataValidation sqref="B5:B36" showDropDown="0" showInputMessage="0" showErrorMessage="0" allowBlank="1" type="list">
      <formula1>"Sáng,Chiều"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2" customWidth="1" min="3" max="3"/>
  </cols>
  <sheetData>
    <row r="1" ht="28" customHeight="1">
      <c r="A1" s="1" t="inlineStr">
        <is>
          <t>2. NGƯỜI MỚI TỚI ĐÂU RỒI</t>
        </is>
      </c>
    </row>
    <row r="2">
      <c r="A2" s="2" t="inlineStr">
        <is>
          <t>Tự chạy từ sheet 「1. SOP 3 NGÀY」 — chị không cần gõ gì ở đây.</t>
        </is>
      </c>
    </row>
    <row r="4" ht="26" customHeight="1">
      <c r="A4" s="4" t="inlineStr">
        <is>
          <t>Chỉ số</t>
        </is>
      </c>
      <c r="B4" s="4" t="inlineStr">
        <is>
          <t>Con số</t>
        </is>
      </c>
      <c r="C4" s="4" t="inlineStr">
        <is>
          <t>Nghĩa là gì</t>
        </is>
      </c>
    </row>
    <row r="5" ht="32" customHeight="1">
      <c r="A5" s="5" t="inlineStr">
        <is>
          <t>Người mới tự làm được</t>
        </is>
      </c>
      <c r="B5" s="9">
        <f>'4. CÀI ĐẶT'!$B$11</f>
        <v/>
      </c>
      <c r="C5" s="6">
        <f>"Trên tổng số "&amp;'4. CÀI ĐẶT'!$B$10&amp;" mục đang có trong khung 3 ngày (kể cả mục chị tự thêm)."</f>
        <v/>
      </c>
    </row>
    <row r="6" ht="32" customHeight="1">
      <c r="A6" s="5" t="inlineStr">
        <is>
          <t>Mới xem qua, chưa tự làm</t>
        </is>
      </c>
      <c r="B6" s="9">
        <f>'4. CÀI ĐẶT'!$B$12</f>
        <v/>
      </c>
      <c r="C6" s="6">
        <f>"Còn phải đứng kèm ở "&amp;'4. CÀI ĐẶT'!$B$12&amp;" mục."</f>
        <v/>
      </c>
    </row>
    <row r="7" ht="32" customHeight="1">
      <c r="A7" s="5" t="inlineStr">
        <is>
          <t>Chưa đụng tới</t>
        </is>
      </c>
      <c r="B7" s="9">
        <f>'4. CÀI ĐẶT'!$B$13</f>
        <v/>
      </c>
      <c r="C7" s="6">
        <f>"Còn "&amp;'4. CÀI ĐẶT'!$B$13&amp;" mục chưa bắt đầu."</f>
        <v/>
      </c>
    </row>
    <row r="8" ht="32" customHeight="1">
      <c r="A8" s="5" t="inlineStr">
        <is>
          <t>Mục CHƯA có bản viết sẵn</t>
        </is>
      </c>
      <c r="B8" s="9">
        <f>'4. CÀI ĐẶT'!$B$15</f>
        <v/>
      </c>
      <c r="C8" s="6">
        <f>IF('4. CÀI ĐẶT'!$B$15=0,"Mục nào cũng có chỗ để người mới đọc lại — không phải hỏi ai.",'4. CÀI ĐẶT'!$B$15&amp;" mục vẫn đang bàn giao bằng miệng. Mỗi lần có người mới là chị phải kèm lại từ đầu.")</f>
        <v/>
      </c>
    </row>
    <row r="10" ht="24" customHeight="1">
      <c r="A10" s="3" t="inlineStr">
        <is>
          <t>NGƯỜI MỚI ĐÃ ĐỨNG CA MỘT MÌNH ĐƯỢC CHƯA?</t>
        </is>
      </c>
    </row>
    <row r="11" ht="40" customHeight="1">
      <c r="A11" s="5" t="inlineStr">
        <is>
          <t>Mức sẵn sàng</t>
        </is>
      </c>
      <c r="B11" s="9">
        <f>IF('4. CÀI ĐẶT'!$B$10=0,"⚪",IF('4. CÀI ĐẶT'!$B$14&lt;0.4,"🔴",IF('4. CÀI ĐẶT'!$B$14&lt;0.8,"🟡","🟢"))&amp;" "&amp;TEXT('4. CÀI ĐẶT'!$B$14,"0%"))</f>
        <v/>
      </c>
      <c r="C11" s="6">
        <f>IF('4. CÀI ĐẶT'!$B$10=0,"Khung đang trống — chị mở sheet 1. SOP 3 NGÀY trước đã.",IF('4. CÀI ĐẶT'!$B$14&lt;0.4,"Chưa thể để đứng ca một mình. Còn phải kèm sát.",IF('4. CÀI ĐẶT'!$B$14&lt;0.8,"Đứng ca được nhưng cần người ở gần để hỏi.","Đứng ca một mình được. Chị chuyển sang kiểm tra ngẫu nhiên thay vì kèm.")))</f>
        <v/>
      </c>
    </row>
    <row r="13" ht="46" customHeight="1">
      <c r="A13" s="5" t="inlineStr">
        <is>
          <t>Việc nên làm hôm nay</t>
        </is>
      </c>
      <c r="B13" s="11">
        <f>IF('4. CÀI ĐẶT'!$B$10=0,"Mở sheet 1. SOP 3 NGÀY và bắt đầu điền cột “Chị viết sẵn ở đâu”.",IF('4. CÀI ĐẶT'!$B$15&gt;0,"Viết bản hướng dẫn cho "&amp;'4. CÀI ĐẶT'!$B$15&amp;" mục còn trống ở cột D — mỗi mục 5–7 gạch đầu dòng là đủ.",IF('4. CÀI ĐẶT'!$B$13&gt;0,"Cho người mới bắt đầu "&amp;'4. CÀI ĐẶT'!$B$13&amp;" mục chưa đụng tới, theo đúng thứ tự Ngày 1 → Ngày 3.",IF('4. CÀI ĐẶT'!$B$12&gt;0,"Cho người mới TỰ LÀM "&amp;'4. CÀI ĐẶT'!$B$12&amp;" mục mới chỉ xem qua — đứng xa quan sát, đừng làm thay.","Người mới đã tự làm được cả 24 mục. Hẹn mốc kiểm lại sau 7 ngày."))))</f>
        <v/>
      </c>
      <c r="C13" s="10" t="n"/>
    </row>
    <row r="15" ht="28" customHeight="1">
      <c r="A15" s="20" t="inlineStr">
        <is>
          <t>Nhắc: mục nào cột D còn trống thì việc đó vẫn nằm trong đầu chị. Người mới này chạy được, nhưng người mới lần sau chị vẫn phải kèm lại từ đầu.</t>
        </is>
      </c>
    </row>
    <row r="17" ht="30" customHeight="1">
      <c r="A17" s="14" t="inlineStr">
        <is>
          <t>Muốn xây hệ thống để vắng chị spa vẫn chạy → Chẩn Đoán Sức Khỏe Spa cùng Đàm Thanh Hoa. [Chị dán link/QR vào đây trước khi gửi khách]</t>
        </is>
      </c>
      <c r="B17" s="12" t="n"/>
      <c r="C17" s="10" t="n"/>
    </row>
  </sheetData>
  <mergeCells count="6">
    <mergeCell ref="B13:C13"/>
    <mergeCell ref="A10:C10"/>
    <mergeCell ref="A1:C1"/>
    <mergeCell ref="A17:C17"/>
    <mergeCell ref="A15:C15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21" t="inlineStr">
        <is>
          <t>3. HƯỚNG DẪN DÙNG</t>
        </is>
      </c>
    </row>
    <row r="2" ht="30" customHeight="1">
      <c r="A2" s="22" t="inlineStr">
        <is>
          <t>Một người nghỉ mà cả tiệm loạn — đó là lỗi hệ thống, không phải lỗi con người. Bộ khung này để chị lấy việc ra khỏi đầu mình và đặt lên giấy.</t>
        </is>
      </c>
    </row>
    <row r="3" ht="20" customHeight="1">
      <c r="A3" s="23" t="inlineStr"/>
    </row>
    <row r="4" ht="22" customHeight="1">
      <c r="A4" s="24" t="inlineStr">
        <is>
          <t>DÙNG THẾ NÀO — 5 BƯỚC</t>
        </is>
      </c>
    </row>
    <row r="5" ht="20" customHeight="1">
      <c r="A5" s="23" t="inlineStr">
        <is>
          <t>1. Bấm File → Tạo bản sao (để có bản của riêng chị, điền được).</t>
        </is>
      </c>
    </row>
    <row r="6" ht="20" customHeight="1">
      <c r="A6" s="23" t="inlineStr">
        <is>
          <t>2. Sang sheet 「0. SOI NHANH」, xóa câu trả lời mẫu rồi chọn thật cho 10 việc (khoảng 5 phút).</t>
        </is>
      </c>
    </row>
    <row r="7" ht="20" customHeight="1">
      <c r="A7" s="23" t="inlineStr">
        <is>
          <t>3. Đọc BƯỚC 2 — bốn con số, và BƯỚC 3 — một việc cần viết ra trước nhất.</t>
        </is>
      </c>
    </row>
    <row r="8" ht="20" customHeight="1">
      <c r="A8" s="23" t="inlineStr">
        <is>
          <t>4. Sang sheet 「1. SOP 3 NGÀY」, điền cột “Chị viết sẵn ở đâu”. Chưa có gì thì viết 5–7 gạch đầu dòng, hoặc quay 1 video điện thoại rồi ghi link vào.</t>
        </is>
      </c>
    </row>
    <row r="9" ht="20" customHeight="1">
      <c r="A9" s="23" t="inlineStr">
        <is>
          <t>5. Khi có người mới, dùng cột “Người mới đã làm được chưa?” để theo dõi. Sheet 「2. NGƯỜI MỚI TỚI ĐÂU」 tự nói hôm nay nên làm gì.</t>
        </is>
      </c>
    </row>
    <row r="10" ht="20" customHeight="1">
      <c r="A10" s="23" t="inlineStr">
        <is>
          <t>Khung 24 mục là gợi ý — chị thêm việc riêng của spa mình vào 8 dòng trống cuối sheet, hoặc xóa mục không hợp. Xem mục “Muốn thêm việc của riêng spa mình” bên dưới.</t>
        </is>
      </c>
    </row>
    <row r="11" ht="20" customHeight="1">
      <c r="A11" s="23" t="inlineStr"/>
    </row>
    <row r="12" ht="22" customHeight="1">
      <c r="A12" s="24" t="inlineStr">
        <is>
          <t>BA NGÀY LÀ BA MỤC TIÊU KHÁC NHAU</t>
        </is>
      </c>
    </row>
    <row r="13" ht="20" customHeight="1">
      <c r="A13" s="23" t="inlineStr">
        <is>
          <t>• Ngày 1 — HIỂU: người mới hiểu spa phục vụ ai, làm được việc nền (chuẩn bị, vệ sinh, đón khách) và xem trọn một ca.</t>
        </is>
      </c>
    </row>
    <row r="14" ht="20" customHeight="1">
      <c r="A14" s="23" t="inlineStr">
        <is>
          <t>• Ngày 2 — LÀM ĐƯỢC: tự làm dịch vụ chính có người kèm, biết ghi hồ sơ khách, chốt lịch, thu tiền.</t>
        </is>
      </c>
    </row>
    <row r="15" ht="20" customHeight="1">
      <c r="A15" s="23" t="inlineStr">
        <is>
          <t>• Ngày 3 — CHẠY MỘT MÌNH: tự chạy ca thật, xử lý được tình huống khó, biết khi nào phải hỏi chủ.</t>
        </is>
      </c>
    </row>
    <row r="16" ht="20" customHeight="1">
      <c r="A16" s="23" t="inlineStr"/>
    </row>
    <row r="17" ht="22" customHeight="1">
      <c r="A17" s="24" t="inlineStr">
        <is>
          <t>VIẾT SOP THẾ NÀO CHO NHANH</t>
        </is>
      </c>
    </row>
    <row r="18" ht="20" customHeight="1">
      <c r="A18" s="23" t="inlineStr">
        <is>
          <t>Đừng viết văn. Mỗi việc 5–7 gạch đầu dòng, mỗi dòng một hành động, theo đúng thứ tự làm.</t>
        </is>
      </c>
    </row>
    <row r="19" ht="20" customHeight="1">
      <c r="A19" s="23" t="inlineStr">
        <is>
          <t>Cách nhanh nhất: lần tới làm việc đó, chị vừa làm vừa nói ra rồi quay bằng điện thoại. Xong dán link video vào cột D.</t>
        </is>
      </c>
    </row>
    <row r="20" ht="20" customHeight="1">
      <c r="A20" s="23" t="inlineStr">
        <is>
          <t>Viết theo cách spa mình ĐANG làm, không cần chuẩn sách vở. Sai thì sửa — có bản để sửa còn hơn nằm trong đầu.</t>
        </is>
      </c>
    </row>
    <row r="21" ht="20" customHeight="1">
      <c r="A21" s="23" t="inlineStr"/>
    </row>
    <row r="22" ht="22" customHeight="1">
      <c r="A22" s="24" t="inlineStr">
        <is>
          <t>MUỐN THÊM VIỆC CỦA RIÊNG SPA MÌNH</t>
        </is>
      </c>
    </row>
    <row r="23" ht="20" customHeight="1">
      <c r="A23" s="23" t="inlineStr">
        <is>
          <t>Khung 24 mục là phần chung của nghề. Spa nào cũng có việc riêng — pha máy đặc thù, quy tắc với khách VIP, cách giữ chìa khóa, cách nhận hàng nhà cung cấp…</t>
        </is>
      </c>
    </row>
    <row r="24" ht="20" customHeight="1">
      <c r="A24" s="23" t="inlineStr">
        <is>
          <t>Cuối sheet 「1. SOP 3 NGÀY」 có 8 dòng trống, chị điền thêm vào đó: chọn Ngày, chọn Buổi, ghi việc cần dạy. Hết 8 dòng thì bấm chuột phải một dòng → Chèn thêm 1 dòng bên dưới.</t>
        </is>
      </c>
    </row>
    <row r="25" ht="20" customHeight="1">
      <c r="A25" s="23" t="inlineStr">
        <is>
          <t>Mục nào không hợp với spa mình thì cứ xóa nội dung ở cột “Việc người mới phải nắm”. Bảng ở sheet 2 tự tính lại theo số mục thật, chị không phải sửa công thức.</t>
        </is>
      </c>
    </row>
    <row r="26" ht="20" customHeight="1">
      <c r="A26" s="23" t="inlineStr">
        <is>
          <t>Gợi ý chỗ nên thêm: việc đặc thù của dịch vụ chính · quy tắc riêng với khách quen · cách dùng máy đắt tiền · điều spa tuyệt đối không cho phép.</t>
        </is>
      </c>
    </row>
    <row r="27" ht="20" customHeight="1">
      <c r="A27" s="23" t="inlineStr"/>
    </row>
    <row r="28" ht="22" customHeight="1">
      <c r="A28" s="24" t="inlineStr">
        <is>
          <t>DÙNG LẠI CHO NGƯỜI MỚI TIẾP THEO</t>
        </is>
      </c>
    </row>
    <row r="29" ht="20" customHeight="1">
      <c r="A29" s="23" t="inlineStr">
        <is>
          <t>Bấm chuột phải sheet 「1. SOP 3 NGÀY」 → Sao chép, rồi đặt lại cột F về “Chưa”. Cột D giữ nguyên — viết một lần, dùng mãi.</t>
        </is>
      </c>
    </row>
    <row r="30" ht="20" customHeight="1">
      <c r="A30" s="23" t="inlineStr"/>
    </row>
    <row r="31" ht="22" customHeight="1">
      <c r="A31" s="24" t="inlineStr">
        <is>
          <t>LƯU Ý KHI TẠO BẢN SAO</t>
        </is>
      </c>
    </row>
    <row r="32" ht="20" customHeight="1">
      <c r="A32" s="23" t="inlineStr">
        <is>
          <t>Vào File → Cài đặt → chọn Ngôn ngữ/Khu vực là Việt Nam để số và ngày hiện đúng.</t>
        </is>
      </c>
    </row>
    <row r="33" ht="20" customHeight="1">
      <c r="A33" s="23" t="inlineStr"/>
    </row>
    <row r="34" ht="22" customHeight="1">
      <c r="A34" s="24" t="inlineStr">
        <is>
          <t>MỘT ĐIỀU THẬT LÒNG</t>
        </is>
      </c>
    </row>
    <row r="35" ht="20" customHeight="1">
      <c r="A35" s="23" t="inlineStr">
        <is>
          <t>Người thì sẽ luôn đến rồi đi. Việc của mình là xây thứ ở lại — để không ai ra đi có thể làm sập cả spa.</t>
        </is>
      </c>
    </row>
    <row r="36" ht="20" customHeight="1">
      <c r="A36" s="23" t="inlineStr">
        <is>
          <t>Đàm Thanh Hoa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25" t="inlineStr">
        <is>
          <t>BỘ ĐẾM — sheet kỹ thuật, không sửa</t>
        </is>
      </c>
    </row>
    <row r="2">
      <c r="A2" s="26" t="inlineStr">
        <is>
          <t>X — việc đã có bản viết sẵn</t>
        </is>
      </c>
      <c r="B2" s="25">
        <f>COUNTIF('0. SOI NHANH'!$C$6:$C$15,"Có bản viết sẵn — người mới đọc là làm được")</f>
        <v/>
      </c>
    </row>
    <row r="3">
      <c r="A3" s="26" t="inlineStr">
        <is>
          <t>Y — việc chỉ bàn giao bằng miệng</t>
        </is>
      </c>
      <c r="B3" s="25">
        <f>COUNTIF('0. SOI NHANH'!$C$6:$C$15,"Chỉ bằng miệng — làm mẫu rồi bảo làm theo")</f>
        <v/>
      </c>
    </row>
    <row r="4">
      <c r="A4" s="26" t="inlineStr">
        <is>
          <t>Z — việc chưa ai chỉ</t>
        </is>
      </c>
      <c r="B4" s="25">
        <f>COUNTIF('0. SOI NHANH'!$C$6:$C$15,"Chưa ai chỉ — người mới tự mò")</f>
        <v/>
      </c>
    </row>
    <row r="5">
      <c r="A5" s="26" t="inlineStr">
        <is>
          <t>Số việc đã trả lời</t>
        </is>
      </c>
      <c r="B5" s="25">
        <f>B2+B3+B4</f>
        <v/>
      </c>
    </row>
    <row r="6">
      <c r="A6" s="26" t="inlineStr">
        <is>
          <t>Số việc còn thiếu</t>
        </is>
      </c>
      <c r="B6" s="25">
        <f>10-B5</f>
        <v/>
      </c>
    </row>
    <row r="10">
      <c r="A10" s="26" t="inlineStr">
        <is>
          <t>Tổng số mục trong khung 3 ngày</t>
        </is>
      </c>
      <c r="B10" s="25">
        <f>COUNTA('1. SOP 3 NGÀY'!$C$5:$C$36)</f>
        <v/>
      </c>
    </row>
    <row r="11">
      <c r="A11" s="26" t="inlineStr">
        <is>
          <t>Mục người mới tự làm được</t>
        </is>
      </c>
      <c r="B11" s="25">
        <f>COUNTIFS('1. SOP 3 NGÀY'!$C$5:$C$36,"?*",'1. SOP 3 NGÀY'!$F$5:$F$36,"Tự làm được")</f>
        <v/>
      </c>
    </row>
    <row r="12">
      <c r="A12" s="26" t="inlineStr">
        <is>
          <t>Mục mới xem qua</t>
        </is>
      </c>
      <c r="B12" s="25">
        <f>COUNTIFS('1. SOP 3 NGÀY'!$C$5:$C$36,"?*",'1. SOP 3 NGÀY'!$F$5:$F$36,"Đã xem qua")</f>
        <v/>
      </c>
    </row>
    <row r="13">
      <c r="A13" s="26" t="inlineStr">
        <is>
          <t>Mục chưa đụng tới</t>
        </is>
      </c>
      <c r="B13" s="25">
        <f>B10-B11-B12</f>
        <v/>
      </c>
    </row>
    <row r="14">
      <c r="A14" s="26" t="inlineStr">
        <is>
          <t>Mức sẵn sàng</t>
        </is>
      </c>
      <c r="B14" s="25">
        <f>IF(B10=0,0,B11/B10)</f>
        <v/>
      </c>
    </row>
    <row r="15">
      <c r="A15" s="26" t="inlineStr">
        <is>
          <t>Mục chưa có bản viết sẵn (cột D trống)</t>
        </is>
      </c>
      <c r="B15" s="25">
        <f>B10-COUNTIFS('1. SOP 3 NGÀY'!$C$5:$C$36,"?*",'1. SOP 3 NGÀY'!$D$5:$D$36,"?*")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2026-07-22T06:57:58Z</dcterms:created>
  <dcterms:modified xmlns:dcterms="http://purl.org/dc/terms/" xmlns:xsi="http://www.w3.org/2001/XMLSchema-instance" xsi:type="dcterms:W3CDTF">2026-07-22T06:57:58Z</dcterms:modified>
</cp:coreProperties>
</file>